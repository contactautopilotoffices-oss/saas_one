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Lower Parel (New) - Meta" sheetId="2" r:id="rId6"/>
    <sheet state="visible" name="Sheet17" sheetId="3" r:id="rId7"/>
    <sheet state="visible" name="Lower Parel (New) - LinkedIn" sheetId="4" r:id="rId8"/>
    <sheet state="visible" name="Kalyan Meta " sheetId="5" r:id="rId9"/>
    <sheet state="visible" name="Andheri (New) - LinkedIn" sheetId="6" r:id="rId10"/>
    <sheet state="visible" name="Andheri (New) - Meta" sheetId="7" r:id="rId11"/>
    <sheet state="visible" name="F1 Skymark (Noida) - LinkedIn" sheetId="8" r:id="rId12"/>
    <sheet state="visible" name="Bangalore - Meta" sheetId="9" r:id="rId13"/>
    <sheet state="visible" name="Spec Options for Andheri  " sheetId="10" r:id="rId14"/>
    <sheet state="visible" name="Lower Parel (Old)" sheetId="11" r:id="rId15"/>
    <sheet state="visible" name="Andheri (Old)" sheetId="12" r:id="rId16"/>
    <sheet state="visible" name="Calc_Data" sheetId="13" r:id="rId17"/>
  </sheets>
  <definedNames>
    <definedName hidden="1" localSheetId="10" name="_xlnm._FilterDatabase">'Lower Parel (Old)'!$B$3:$R$137</definedName>
  </definedNames>
  <calcPr/>
</workbook>
</file>

<file path=xl/sharedStrings.xml><?xml version="1.0" encoding="utf-8"?>
<sst xmlns="http://schemas.openxmlformats.org/spreadsheetml/2006/main" count="4534" uniqueCount="2433">
  <si>
    <t>Executive BD Dashboard</t>
  </si>
  <si>
    <t>TOTAL LEADS</t>
  </si>
  <si>
    <t>HOT LEADS</t>
  </si>
  <si>
    <t>WARM LEADS</t>
  </si>
  <si>
    <t>LOST LEADS</t>
  </si>
  <si>
    <t>Priority Target Leads (Hot/Warm)</t>
  </si>
  <si>
    <t>Date</t>
  </si>
  <si>
    <t>Lead Name</t>
  </si>
  <si>
    <t>Company</t>
  </si>
  <si>
    <t>Location</t>
  </si>
  <si>
    <t>Campaign</t>
  </si>
  <si>
    <t>POC</t>
  </si>
  <si>
    <t>Status</t>
  </si>
  <si>
    <t>Update</t>
  </si>
  <si>
    <t>Action Required (Hold/Missing Status)</t>
  </si>
  <si>
    <t>Sr No</t>
  </si>
  <si>
    <t>Handled by</t>
  </si>
  <si>
    <t>First Name</t>
  </si>
  <si>
    <t>Last Name</t>
  </si>
  <si>
    <t>Contact Number</t>
  </si>
  <si>
    <t>Email ID</t>
  </si>
  <si>
    <t>Designation</t>
  </si>
  <si>
    <t>Company Name</t>
  </si>
  <si>
    <t>Requirement</t>
  </si>
  <si>
    <t>Mail Sent</t>
  </si>
  <si>
    <t>Lower parel</t>
  </si>
  <si>
    <t>Shravani</t>
  </si>
  <si>
    <t xml:space="preserve">Sagar </t>
  </si>
  <si>
    <t>Shelar</t>
  </si>
  <si>
    <t>9619518996/7738049724</t>
  </si>
  <si>
    <t>Homesfy</t>
  </si>
  <si>
    <t>11 Open WS</t>
  </si>
  <si>
    <t>Done</t>
  </si>
  <si>
    <t>Lost</t>
  </si>
  <si>
    <r>
      <rPr>
        <rFont val="Arial"/>
        <b/>
        <color theme="1"/>
      </rPr>
      <t xml:space="preserve">12 May: Their requirement is on hold for now. </t>
    </r>
    <r>
      <rPr>
        <rFont val="Arial"/>
        <b val="0"/>
        <color theme="1"/>
      </rPr>
      <t>8th May: The CFO will visit on Monday maybe.</t>
    </r>
    <r>
      <rPr>
        <rFont val="Arial"/>
        <b/>
        <color theme="1"/>
      </rPr>
      <t xml:space="preserve"> </t>
    </r>
    <r>
      <rPr>
        <rFont val="Arial"/>
        <b val="0"/>
        <color theme="1"/>
      </rPr>
      <t>5th May: He will call me in a while.</t>
    </r>
    <r>
      <rPr>
        <rFont val="Arial"/>
        <b/>
        <color theme="1"/>
      </rPr>
      <t xml:space="preserve"> </t>
    </r>
    <r>
      <rPr>
        <rFont val="Arial"/>
        <b val="0"/>
        <color theme="1"/>
      </rPr>
      <t>4 May: Ringing, Dropped a text saying we can close the deal at 10.5k. 2 May: Ringing. 30 April: He has a budget of 10,500 and is open to go ahead with Flexible seats.</t>
    </r>
    <r>
      <rPr>
        <rFont val="Arial"/>
        <b/>
        <color theme="1"/>
      </rPr>
      <t xml:space="preserve"> </t>
    </r>
    <r>
      <rPr>
        <rFont val="Arial"/>
        <b val="0"/>
        <color theme="1"/>
      </rPr>
      <t>28 April: The sales head visited the space. 27 April: Today he will discuss with his boss and will get back to me by EOD.</t>
    </r>
    <r>
      <rPr>
        <rFont val="Arial"/>
        <b/>
        <color theme="1"/>
      </rPr>
      <t xml:space="preserve"> </t>
    </r>
    <r>
      <rPr>
        <rFont val="Arial"/>
        <b val="0"/>
        <color theme="1"/>
      </rPr>
      <t>24 April: Ringing, Dropped a text.</t>
    </r>
    <r>
      <rPr>
        <rFont val="Arial"/>
        <b/>
        <color theme="1"/>
      </rPr>
      <t xml:space="preserve"> </t>
    </r>
    <r>
      <rPr>
        <rFont val="Arial"/>
        <b val="0"/>
        <color theme="1"/>
      </rPr>
      <t>23 April: Spoke to sushil (admin) he mentioned that his boss is not in town and might come back today and will try to visit the space in the coming week.</t>
    </r>
    <r>
      <rPr>
        <rFont val="Arial"/>
        <b/>
        <color theme="1"/>
      </rPr>
      <t xml:space="preserve"> </t>
    </r>
    <r>
      <rPr>
        <rFont val="Arial"/>
        <b val="0"/>
        <color theme="1"/>
      </rPr>
      <t>22 April: He will update me by today EOD. 21 April: Ringing.</t>
    </r>
    <r>
      <rPr>
        <rFont val="Arial"/>
        <b/>
        <color theme="1"/>
      </rPr>
      <t xml:space="preserve"> </t>
    </r>
    <r>
      <rPr>
        <rFont val="Arial"/>
        <b val="0"/>
        <color theme="1"/>
      </rPr>
      <t>20 April: Their management has still not come to a conclusion. 18 April: He wants 11 open workstations and he is offering 3 months lockin. I have asked him for atleast 6 months of lockin. He will check with his management and will get back to me.</t>
    </r>
    <r>
      <rPr>
        <rFont val="Arial"/>
        <b/>
        <color theme="1"/>
      </rPr>
      <t xml:space="preserve"> </t>
    </r>
    <r>
      <rPr>
        <rFont val="Arial"/>
        <b val="0"/>
        <color theme="1"/>
      </rPr>
      <t>17 April: He have not received any feedack from his management on visit. 16 April: Ringing.</t>
    </r>
    <r>
      <rPr>
        <rFont val="Arial"/>
        <b/>
        <color theme="1"/>
      </rPr>
      <t xml:space="preserve"> </t>
    </r>
    <r>
      <rPr>
        <rFont val="Arial"/>
        <b val="0"/>
        <color theme="1"/>
      </rPr>
      <t>15 April: He needs a video of the space we are offering him to show his management, post that he will be able to visit. 13 April: Ringing, dropped a text. 12 April: Followup msg asking about the visit plans for this week.</t>
    </r>
    <r>
      <rPr>
        <rFont val="Arial"/>
        <b/>
        <color theme="1"/>
      </rPr>
      <t xml:space="preserve"> </t>
    </r>
    <r>
      <rPr>
        <rFont val="Arial"/>
        <b val="0"/>
        <color theme="1"/>
      </rPr>
      <t>10 April: Spoke to Mr. Sushil (Admin), shared with him the images and commercials. He will let me know about the visit plans soon.</t>
    </r>
    <r>
      <rPr>
        <rFont val="Arial"/>
        <b/>
        <color theme="1"/>
      </rPr>
      <t xml:space="preserve"> </t>
    </r>
    <r>
      <rPr>
        <rFont val="Arial"/>
        <b val="0"/>
        <color theme="1"/>
      </rPr>
      <t>8 April: Their Budget is 10k to 11k not more than that.</t>
    </r>
    <r>
      <rPr>
        <rFont val="Arial"/>
        <b/>
        <color theme="1"/>
      </rPr>
      <t xml:space="preserve"> </t>
    </r>
    <r>
      <rPr>
        <rFont val="Arial"/>
        <b val="0"/>
        <color theme="1"/>
      </rPr>
      <t>7 April: Sushil (Admin) is expected to visit either today or tomorrow.</t>
    </r>
    <r>
      <rPr>
        <rFont val="Arial"/>
        <b/>
        <color theme="1"/>
      </rPr>
      <t xml:space="preserve"> </t>
    </r>
    <r>
      <rPr>
        <rFont val="Arial"/>
        <b val="0"/>
        <color theme="1"/>
      </rPr>
      <t>6 April: He needs the quotation based on that he will come for a visit tomorrow.</t>
    </r>
  </si>
  <si>
    <t xml:space="preserve">Rajesh </t>
  </si>
  <si>
    <t>Gupta</t>
  </si>
  <si>
    <r>
      <rPr>
        <rFont val="Arial"/>
        <b/>
        <color theme="1"/>
      </rPr>
      <t xml:space="preserve">18 April: He said he is not interested in shared space. </t>
    </r>
    <r>
      <rPr>
        <rFont val="Arial"/>
        <b val="0"/>
        <color theme="1"/>
      </rPr>
      <t>17 April: Ringing. 16 April: He needs a conventional office but he have asked me to share the images of the space.15April: Ringing.</t>
    </r>
    <r>
      <rPr>
        <rFont val="Arial"/>
        <b/>
        <color theme="1"/>
      </rPr>
      <t xml:space="preserve"> </t>
    </r>
    <r>
      <rPr>
        <rFont val="Arial"/>
        <b val="0"/>
        <color theme="1"/>
      </rPr>
      <t>14 April: Ringing. 13 April: Ringing. 12 April: Declined the call. 10 April: Ringing. 9 April: Ringing. 8th April: 7 April: Switch off. 6 April: Ringing, Dropped a text.</t>
    </r>
  </si>
  <si>
    <t xml:space="preserve">Bharat </t>
  </si>
  <si>
    <t>Zaveri</t>
  </si>
  <si>
    <t>The Royal Group</t>
  </si>
  <si>
    <t xml:space="preserve"> 4 Seater Cabin</t>
  </si>
  <si>
    <r>
      <rPr>
        <rFont val="Arial"/>
        <b/>
        <color theme="1"/>
      </rPr>
      <t xml:space="preserve">8th April: </t>
    </r>
    <r>
      <rPr>
        <rFont val="Arial"/>
        <b val="0"/>
        <color theme="1"/>
      </rPr>
      <t>6 April: He need a 4 seater cabin in Lower Parel West.</t>
    </r>
  </si>
  <si>
    <t>Akhil.</t>
  </si>
  <si>
    <t>Inspiring Life Communities</t>
  </si>
  <si>
    <t>26 Seater</t>
  </si>
  <si>
    <t>Warm</t>
  </si>
  <si>
    <r>
      <rPr>
        <rFont val="Arial"/>
        <b/>
        <color theme="1"/>
      </rPr>
      <t xml:space="preserve">27th May: Visit is on Saturday. </t>
    </r>
    <r>
      <rPr>
        <rFont val="Arial"/>
        <b val="0"/>
        <color theme="1"/>
      </rPr>
      <t>23 May: Ringing. 13 May: Declined my call dropped a text. 11 May: Ringing.</t>
    </r>
    <r>
      <rPr>
        <rFont val="Arial"/>
        <b/>
        <color theme="1"/>
      </rPr>
      <t xml:space="preserve"> </t>
    </r>
    <r>
      <rPr>
        <rFont val="Arial"/>
        <b val="0"/>
        <color theme="1"/>
      </rPr>
      <t>8th May: Dropped him a text.</t>
    </r>
    <r>
      <rPr>
        <rFont val="Arial"/>
        <b/>
        <color theme="1"/>
      </rPr>
      <t xml:space="preserve"> </t>
    </r>
    <r>
      <rPr>
        <rFont val="Arial"/>
        <b val="0"/>
        <color theme="1"/>
      </rPr>
      <t>5th May: He will try to visit in this coming weekend.</t>
    </r>
    <r>
      <rPr>
        <rFont val="Arial"/>
        <b/>
        <color theme="1"/>
      </rPr>
      <t xml:space="preserve"> </t>
    </r>
    <r>
      <rPr>
        <rFont val="Arial"/>
        <b val="0"/>
        <color theme="1"/>
      </rPr>
      <t>28 April: He will get back to me on 4th May. 27 April: Ringing. He is not answering my call from past 1 week. 24 April: Ringing, dropped a text.</t>
    </r>
    <r>
      <rPr>
        <rFont val="Arial"/>
        <b/>
        <color theme="1"/>
      </rPr>
      <t xml:space="preserve"> </t>
    </r>
    <r>
      <rPr>
        <rFont val="Arial"/>
        <b val="0"/>
        <color theme="1"/>
      </rPr>
      <t>23 April:Ringing, Dropped a text.</t>
    </r>
    <r>
      <rPr>
        <rFont val="Arial"/>
        <b/>
        <color theme="1"/>
      </rPr>
      <t xml:space="preserve"> </t>
    </r>
    <r>
      <rPr>
        <rFont val="Arial"/>
        <b val="0"/>
        <color theme="1"/>
      </rPr>
      <t>22 April: Dropped a text.</t>
    </r>
    <r>
      <rPr>
        <rFont val="Arial"/>
        <b/>
        <color theme="1"/>
      </rPr>
      <t xml:space="preserve"> </t>
    </r>
    <r>
      <rPr>
        <rFont val="Arial"/>
        <b val="0"/>
        <color theme="1"/>
      </rPr>
      <t>21 April: Ringing.</t>
    </r>
    <r>
      <rPr>
        <rFont val="Arial"/>
        <b/>
        <color theme="1"/>
      </rPr>
      <t xml:space="preserve"> </t>
    </r>
    <r>
      <rPr>
        <rFont val="Arial"/>
        <b val="0"/>
        <color theme="1"/>
      </rPr>
      <t>20 April: Dropped him a text.</t>
    </r>
    <r>
      <rPr>
        <rFont val="Arial"/>
        <b/>
        <color theme="1"/>
      </rPr>
      <t xml:space="preserve"> </t>
    </r>
    <r>
      <rPr>
        <rFont val="Arial"/>
        <b val="0"/>
        <color theme="1"/>
      </rPr>
      <t>18 April: He wants to visit the space tomorrow (Sunday). 17 April: Ringing. 16 April: Dropped a followup msg.</t>
    </r>
    <r>
      <rPr>
        <rFont val="Arial"/>
        <b/>
        <color theme="1"/>
      </rPr>
      <t xml:space="preserve"> </t>
    </r>
    <r>
      <rPr>
        <rFont val="Arial"/>
        <b val="0"/>
        <color theme="1"/>
      </rPr>
      <t>15 April: He will try to visit this coming Friday or Saturday. 14 April: Ringing, dropped a text. 13 April: Ringing, dropped a text. 12 April: Ringing, Followup msg asking about the vist plans for this coming week. 10 April: Followed up with him regarding the visit for today. 9 April: He will visit tomorrow at 6:30 pm. 8 April: Ringing, dropped a text. 7 April: Followed up on WhatsApp regarding this week’s visit plan; no response yet. 6 April: 26 Seater requirement he has asked me to share the commercials and images of the space on whatsapp.</t>
    </r>
  </si>
  <si>
    <t xml:space="preserve">Vaibhav </t>
  </si>
  <si>
    <t>Shinde</t>
  </si>
  <si>
    <t>Eureka Forbes Limited</t>
  </si>
  <si>
    <t xml:space="preserve">50 Seats + 1 small meeting </t>
  </si>
  <si>
    <r>
      <rPr>
        <rFont val="Arial"/>
        <b/>
        <color theme="1"/>
      </rPr>
      <t xml:space="preserve">9 April: They feel that lower parel is expensive and are now interested in Ghatkopar but still they are not sure about the budget. </t>
    </r>
    <r>
      <rPr>
        <rFont val="Arial"/>
        <b val="0"/>
        <color theme="1"/>
      </rPr>
      <t>8 April: Not Answering the call, dropped a text.</t>
    </r>
    <r>
      <rPr>
        <rFont val="Arial"/>
        <b/>
        <color theme="1"/>
      </rPr>
      <t xml:space="preserve"> </t>
    </r>
    <r>
      <rPr>
        <rFont val="Arial"/>
        <b val="0"/>
        <color theme="1"/>
      </rPr>
      <t>April: Busy on Call. 6 April: Declined the call, dropped him a text.</t>
    </r>
  </si>
  <si>
    <t xml:space="preserve">Dr Sabyasachi
</t>
  </si>
  <si>
    <t>Banerjee</t>
  </si>
  <si>
    <t>sabyasachi.b5@sabhubhe.com</t>
  </si>
  <si>
    <t>Founder</t>
  </si>
  <si>
    <t>SabHub Industries</t>
  </si>
  <si>
    <t>51-200 seats, immediate</t>
  </si>
  <si>
    <t>10 April: Today we have a virtual call at 5:30 PM. (As discussed with Mehul Sir we can not work on this lead)</t>
  </si>
  <si>
    <t>Yogini</t>
  </si>
  <si>
    <t>Patil</t>
  </si>
  <si>
    <t>info@architectonics.co.in</t>
  </si>
  <si>
    <t>CEO</t>
  </si>
  <si>
    <t>Slimwell Complete Fitness Club</t>
  </si>
  <si>
    <t>15 seats (eclosed)</t>
  </si>
  <si>
    <r>
      <rPr>
        <rFont val="Arial"/>
        <b/>
        <color theme="1"/>
      </rPr>
      <t xml:space="preserve">14 April: The founder of her company is not interested in a shared office and want to go ahead with a conventional setup. </t>
    </r>
    <r>
      <rPr>
        <rFont val="Arial"/>
        <b val="0"/>
        <color theme="1"/>
      </rPr>
      <t>13 April: She needs a enclosed space with 15 workstation shared her the images of the space.</t>
    </r>
    <r>
      <rPr>
        <rFont val="Arial"/>
        <b/>
        <color theme="1"/>
      </rPr>
      <t xml:space="preserve"> </t>
    </r>
    <r>
      <rPr>
        <rFont val="Arial"/>
        <b val="0"/>
        <color theme="1"/>
      </rPr>
      <t>12 April: Ringing, dropped a voice note. 10 April: Call was ringing but unanswered; have shared a text for follow-up.</t>
    </r>
  </si>
  <si>
    <t>Kamlesh</t>
  </si>
  <si>
    <t>Sanghvi</t>
  </si>
  <si>
    <t>sales@simplexmetal.com</t>
  </si>
  <si>
    <t>Managing Director</t>
  </si>
  <si>
    <t>Simplex Metal and Alloys</t>
  </si>
  <si>
    <t>1-20 seats, 3 months</t>
  </si>
  <si>
    <r>
      <rPr>
        <rFont val="Arial"/>
        <b/>
        <color theme="1"/>
      </rPr>
      <t xml:space="preserve">13 April: He needs a 1000sq.ft conventional office. </t>
    </r>
    <r>
      <rPr>
        <rFont val="Arial"/>
        <b val="0"/>
        <color theme="1"/>
      </rPr>
      <t>12 April: Shared with him the images of our space as he is not responding the calls.</t>
    </r>
    <r>
      <rPr>
        <rFont val="Arial"/>
        <b/>
        <color theme="1"/>
      </rPr>
      <t xml:space="preserve"> </t>
    </r>
    <r>
      <rPr>
        <rFont val="Arial"/>
        <b val="0"/>
        <color theme="1"/>
      </rPr>
      <t>10 April: He mentioned he is not comfortable sharing requirements over a call with a new contact and declined the call. I have dropped him a message instead.</t>
    </r>
    <r>
      <rPr>
        <rFont val="Arial"/>
        <b/>
        <color theme="1"/>
      </rPr>
      <t xml:space="preserve">
</t>
    </r>
  </si>
  <si>
    <t>Aldrin</t>
  </si>
  <si>
    <t>Alphonso</t>
  </si>
  <si>
    <t>aldrin@futurewave.in</t>
  </si>
  <si>
    <t>Director</t>
  </si>
  <si>
    <t>Future Wave Technologies</t>
  </si>
  <si>
    <t>1-20 seats, move-in immediately</t>
  </si>
  <si>
    <t>Cold</t>
  </si>
  <si>
    <t>10 April: Shubham is already in touch with him.</t>
  </si>
  <si>
    <t>Vijay</t>
  </si>
  <si>
    <t>Kadam</t>
  </si>
  <si>
    <t>vjkadam@clix.capital</t>
  </si>
  <si>
    <t>Administrative  Manager</t>
  </si>
  <si>
    <t>Clix Capital</t>
  </si>
  <si>
    <t>3000sq.ft</t>
  </si>
  <si>
    <t>12 April: He is looking for a office space in Andheri. He needs 3000sq.ft and his budget is 4 Lacs</t>
  </si>
  <si>
    <t>Punit</t>
  </si>
  <si>
    <t>Jain</t>
  </si>
  <si>
    <t>punit@avpmoney.com</t>
  </si>
  <si>
    <t>Self</t>
  </si>
  <si>
    <t>Avp Money Advantage</t>
  </si>
  <si>
    <t>4 Seater Cabin</t>
  </si>
  <si>
    <t>Hold</t>
  </si>
  <si>
    <r>
      <rPr>
        <rFont val="Calibri"/>
        <b/>
        <color theme="1"/>
        <sz val="11.0"/>
      </rPr>
      <t xml:space="preserve">13 May: Reachout to him on 1st June. </t>
    </r>
    <r>
      <rPr>
        <rFont val="Calibri"/>
        <b val="0"/>
        <color theme="1"/>
        <sz val="11.0"/>
      </rPr>
      <t>15 April: His requirement will be active post 2 months. 14 April: I checked with him about his visit plans, he mentioned that he will let me know soon. 13 April: He needs a 4 seater cabin. He wants to move-in within 2 months. 12 April: Ringing, dropped a text.</t>
    </r>
  </si>
  <si>
    <t xml:space="preserve">Pavan </t>
  </si>
  <si>
    <t>Java</t>
  </si>
  <si>
    <t>Hello@pavanjava.com</t>
  </si>
  <si>
    <t>Chief Troublemaker</t>
  </si>
  <si>
    <t>Pavan Java Design Studio</t>
  </si>
  <si>
    <t>10 seats + 1 Cabin + 1 meeting room</t>
  </si>
  <si>
    <r>
      <rPr>
        <rFont val="Calibri"/>
        <b/>
        <color theme="1"/>
        <sz val="11.0"/>
      </rPr>
      <t xml:space="preserve">28 April: His requirement is fulfilled and he is going ahead with a conventional space. </t>
    </r>
    <r>
      <rPr>
        <rFont val="Calibri"/>
        <b val="0"/>
        <color theme="1"/>
        <sz val="11.0"/>
      </rPr>
      <t>27 April: Ringing. 24 April: Dropped him a text. 23 April: Dropped a text. 22 April: He is not respoding the calls, dropped a text.</t>
    </r>
    <r>
      <rPr>
        <rFont val="Calibri"/>
        <b/>
        <color theme="1"/>
        <sz val="11.0"/>
      </rPr>
      <t xml:space="preserve"> </t>
    </r>
    <r>
      <rPr>
        <rFont val="Calibri"/>
        <b val="0"/>
        <color theme="1"/>
        <sz val="11.0"/>
      </rPr>
      <t>20 April: Dropped him a text. 18 April: Ringing, dropped him a text.</t>
    </r>
    <r>
      <rPr>
        <rFont val="Calibri"/>
        <b/>
        <color theme="1"/>
        <sz val="11.0"/>
      </rPr>
      <t xml:space="preserve"> </t>
    </r>
    <r>
      <rPr>
        <rFont val="Calibri"/>
        <b val="0"/>
        <color theme="1"/>
        <sz val="11.0"/>
      </rPr>
      <t>17 April: Ringing.</t>
    </r>
    <r>
      <rPr>
        <rFont val="Calibri"/>
        <b/>
        <color theme="1"/>
        <sz val="11.0"/>
      </rPr>
      <t xml:space="preserve"> </t>
    </r>
    <r>
      <rPr>
        <rFont val="Calibri"/>
        <b val="0"/>
        <color theme="1"/>
        <sz val="11.0"/>
      </rPr>
      <t>16 April: He declined the call.</t>
    </r>
    <r>
      <rPr>
        <rFont val="Calibri"/>
        <b/>
        <color theme="1"/>
        <sz val="11.0"/>
      </rPr>
      <t xml:space="preserve"> </t>
    </r>
    <r>
      <rPr>
        <rFont val="Calibri"/>
        <b val="0"/>
        <color theme="1"/>
        <sz val="11.0"/>
      </rPr>
      <t xml:space="preserve">15th April: Ringing, dropped a voice note. 14 April: Ringing, dropped a text. 13 April: Shared with him the images and commercials. </t>
    </r>
  </si>
  <si>
    <t>HK</t>
  </si>
  <si>
    <t>Bhattad</t>
  </si>
  <si>
    <t>hkbhattad@rmbevent.com</t>
  </si>
  <si>
    <t>Decision maker</t>
  </si>
  <si>
    <t>RMB Event</t>
  </si>
  <si>
    <t>1 Cabin + 10 workstation</t>
  </si>
  <si>
    <r>
      <rPr>
        <rFont val="Calibri"/>
        <b/>
        <color theme="1"/>
        <sz val="11.0"/>
      </rPr>
      <t xml:space="preserve">15th April: He is not interested in shared space. </t>
    </r>
    <r>
      <rPr>
        <rFont val="Calibri"/>
        <b val="0"/>
        <color theme="1"/>
        <sz val="11.0"/>
      </rPr>
      <t>14 April: Ringing, Dropped a text. 13 April: Need to share images.</t>
    </r>
  </si>
  <si>
    <t>Mamta</t>
  </si>
  <si>
    <t>Joshi</t>
  </si>
  <si>
    <t>info@olamor.in</t>
  </si>
  <si>
    <t>Owner and CEO</t>
  </si>
  <si>
    <t>Olamor</t>
  </si>
  <si>
    <t>Board Room Requirement.</t>
  </si>
  <si>
    <r>
      <rPr>
        <rFont val="Calibri"/>
        <b/>
        <color theme="1"/>
        <sz val="11.0"/>
      </rPr>
      <t xml:space="preserve">18 April: She has postponded her plan. </t>
    </r>
    <r>
      <rPr>
        <rFont val="Calibri"/>
        <b val="0"/>
        <color theme="1"/>
        <sz val="11.0"/>
      </rPr>
      <t>17 April: She will call me after sometime.</t>
    </r>
    <r>
      <rPr>
        <rFont val="Calibri"/>
        <b/>
        <color theme="1"/>
        <sz val="11.0"/>
      </rPr>
      <t xml:space="preserve"> </t>
    </r>
    <r>
      <rPr>
        <rFont val="Calibri"/>
        <b val="0"/>
        <color theme="1"/>
        <sz val="11.0"/>
      </rPr>
      <t>16 April: Sent a followup msg.</t>
    </r>
    <r>
      <rPr>
        <rFont val="Calibri"/>
        <b/>
        <color theme="1"/>
        <sz val="11.0"/>
      </rPr>
      <t xml:space="preserve"> </t>
    </r>
    <r>
      <rPr>
        <rFont val="Calibri"/>
        <b val="0"/>
        <color theme="1"/>
        <sz val="11.0"/>
      </rPr>
      <t>15 April: She needs a Boad Room for 3 Hours on Monday. for 14 People. Sharing with her the images of the space and commercials.</t>
    </r>
  </si>
  <si>
    <t xml:space="preserve">Hardik </t>
  </si>
  <si>
    <t>Shah</t>
  </si>
  <si>
    <t>growthmarketing@quantent.in</t>
  </si>
  <si>
    <t>na</t>
  </si>
  <si>
    <t>25 seats + 1 Cabin</t>
  </si>
  <si>
    <r>
      <rPr>
        <rFont val="Calibri, sans-serif"/>
        <b/>
        <color rgb="FF000000"/>
        <sz val="11.0"/>
      </rPr>
      <t xml:space="preserve">2 May: Vikesh and Mehul need to have a call.                                                                                                                                                         </t>
    </r>
    <r>
      <rPr>
        <rFont val="Calibri, sans-serif"/>
        <b val="0"/>
        <color rgb="FF000000"/>
        <sz val="11.0"/>
      </rPr>
      <t>29 April: Visited their office in Marathon. They have proposed 10k, and we can close around 12k.</t>
    </r>
    <r>
      <rPr>
        <rFont val="Calibri, sans-serif"/>
        <b/>
        <color rgb="FF000000"/>
        <sz val="11.0"/>
      </rPr>
      <t xml:space="preserve">
</t>
    </r>
    <r>
      <rPr>
        <rFont val="Calibri, sans-serif"/>
        <b val="0"/>
        <color rgb="FF000000"/>
        <sz val="11.0"/>
      </rPr>
      <t>28 April: The founder visited the space . 24 April: The HR Head visited the space. They want 2D layout and the requirement is 20 Seats + 1 Boss Cabin + 1 Meeting Room. 23 April: Arjuman visited the space. Need to share 2D layouts.</t>
    </r>
    <r>
      <rPr>
        <rFont val="Calibri, sans-serif"/>
        <b/>
        <color rgb="FF000000"/>
        <sz val="11.0"/>
      </rPr>
      <t xml:space="preserve"> </t>
    </r>
    <r>
      <rPr>
        <rFont val="Calibri, sans-serif"/>
        <b val="0"/>
        <color rgb="FF000000"/>
        <sz val="11.0"/>
      </rPr>
      <t>22 April: Declined the call.</t>
    </r>
    <r>
      <rPr>
        <rFont val="Calibri, sans-serif"/>
        <b/>
        <color rgb="FF000000"/>
        <sz val="11.0"/>
      </rPr>
      <t xml:space="preserve"> </t>
    </r>
    <r>
      <rPr>
        <rFont val="Calibri, sans-serif"/>
        <b val="0"/>
        <color rgb="FF000000"/>
        <sz val="11.0"/>
      </rPr>
      <t>20 April: Dropped him a text asking for a convinient time for a con call with Saniel Sir. 19 April: He needs 25 Seats + 1 Cabin. His budget is 10k to 11k per seat. Shared with him the images of the space. 18 April: Ringing, dropped a text. 17 April: Ringing. 16 April: Ringing. 15 April: Ringing, dropped a text.</t>
    </r>
  </si>
  <si>
    <t>Rishikesh</t>
  </si>
  <si>
    <t>Mishra</t>
  </si>
  <si>
    <t>rishikesh.mishra@gwm-intl.com</t>
  </si>
  <si>
    <t>Team lead</t>
  </si>
  <si>
    <t>Skybound</t>
  </si>
  <si>
    <t>20 Seats + 1Cabin</t>
  </si>
  <si>
    <r>
      <rPr>
        <rFont val="Calibri, sans-serif"/>
        <b/>
        <color rgb="FF000000"/>
        <sz val="11.0"/>
      </rPr>
      <t>27 April: He have decided to go ahead with a conventional space.</t>
    </r>
    <r>
      <rPr>
        <rFont val="Calibri, sans-serif"/>
        <b val="0"/>
        <color rgb="FF000000"/>
        <sz val="11.0"/>
      </rPr>
      <t xml:space="preserve"> 24 April: Ringing, Dropped a text.</t>
    </r>
    <r>
      <rPr>
        <rFont val="Calibri, sans-serif"/>
        <b/>
        <color rgb="FF000000"/>
        <sz val="11.0"/>
      </rPr>
      <t xml:space="preserve"> </t>
    </r>
    <r>
      <rPr>
        <rFont val="Calibri, sans-serif"/>
        <b val="0"/>
        <color rgb="FF000000"/>
        <sz val="11.0"/>
      </rPr>
      <t>23 April: Ringing, dropped a text.</t>
    </r>
    <r>
      <rPr>
        <rFont val="Calibri, sans-serif"/>
        <b/>
        <color rgb="FF000000"/>
        <sz val="11.0"/>
      </rPr>
      <t xml:space="preserve"> </t>
    </r>
    <r>
      <rPr>
        <rFont val="Calibri, sans-serif"/>
        <b val="0"/>
        <color rgb="FF000000"/>
        <sz val="11.0"/>
      </rPr>
      <t>22 April: Ringing, dropped a text. 20 April: Ringing, dropped a text.</t>
    </r>
    <r>
      <rPr>
        <rFont val="Calibri, sans-serif"/>
        <b/>
        <color rgb="FF000000"/>
        <sz val="11.0"/>
      </rPr>
      <t xml:space="preserve"> </t>
    </r>
    <r>
      <rPr>
        <rFont val="Calibri, sans-serif"/>
        <b val="0"/>
        <color rgb="FF000000"/>
        <sz val="11.0"/>
      </rPr>
      <t>18 April: Shared with him the images of the space.</t>
    </r>
    <r>
      <rPr>
        <rFont val="Calibri, sans-serif"/>
        <b/>
        <color rgb="FF000000"/>
        <sz val="11.0"/>
      </rPr>
      <t xml:space="preserve"> </t>
    </r>
    <r>
      <rPr>
        <rFont val="Calibri, sans-serif"/>
        <b val="0"/>
        <color rgb="FF000000"/>
        <sz val="11.0"/>
      </rPr>
      <t>17 April: Dropped him a text.</t>
    </r>
    <r>
      <rPr>
        <rFont val="Calibri, sans-serif"/>
        <b/>
        <color rgb="FF000000"/>
        <sz val="11.0"/>
      </rPr>
      <t xml:space="preserve"> </t>
    </r>
    <r>
      <rPr>
        <rFont val="Calibri, sans-serif"/>
        <b val="0"/>
        <color rgb="FF000000"/>
        <sz val="11.0"/>
      </rPr>
      <t>16 April: He will call me back once he is available for a call. 15 April: Ringing, dropped a text.</t>
    </r>
  </si>
  <si>
    <t xml:space="preserve">Swapnil </t>
  </si>
  <si>
    <t>Tambe</t>
  </si>
  <si>
    <t>Swapnil@planninglabs.in</t>
  </si>
  <si>
    <t>Planning Labs</t>
  </si>
  <si>
    <t>20 Seat + 1 Cabin</t>
  </si>
  <si>
    <r>
      <rPr>
        <rFont val="Arial"/>
        <b/>
        <color theme="1"/>
      </rPr>
      <t xml:space="preserve">20 April: His overall budget is 80k and our space is out of his budget. </t>
    </r>
    <r>
      <rPr>
        <rFont val="Arial"/>
        <b val="0"/>
        <color theme="1"/>
      </rPr>
      <t>18 April: Ringing, dropped him a text. 17 April: Ringing, dropped him a text. 16 April: He need 20 Seats + 1 Cabin.</t>
    </r>
  </si>
  <si>
    <t xml:space="preserve">Geetendra </t>
  </si>
  <si>
    <t>Dhhanawat</t>
  </si>
  <si>
    <t>wecare@episenz.com</t>
  </si>
  <si>
    <t>Episenz skin science</t>
  </si>
  <si>
    <t>1-20, 3 months</t>
  </si>
  <si>
    <r>
      <rPr>
        <rFont val="Arial"/>
        <b/>
        <color theme="1"/>
      </rPr>
      <t xml:space="preserve">17 April: He needs a conventional space. </t>
    </r>
    <r>
      <rPr>
        <rFont val="Arial"/>
        <b val="0"/>
        <color theme="1"/>
      </rPr>
      <t>16 April: Ringing, dropped a voice note.</t>
    </r>
  </si>
  <si>
    <t>Krishi</t>
  </si>
  <si>
    <t>Patel</t>
  </si>
  <si>
    <t>Krishi@reimaginestudio.in</t>
  </si>
  <si>
    <t>Reimagine Studio</t>
  </si>
  <si>
    <t>5 Seater Cabin</t>
  </si>
  <si>
    <r>
      <rPr>
        <rFont val="Arial"/>
        <b/>
        <color theme="1"/>
      </rPr>
      <t xml:space="preserve">24 April: His requirement is on hold. </t>
    </r>
    <r>
      <rPr>
        <rFont val="Arial"/>
        <b val="0"/>
        <color theme="1"/>
      </rPr>
      <t>20 April: The visit is schedueled on Saturday between 4pm to 5pm.</t>
    </r>
    <r>
      <rPr>
        <rFont val="Arial"/>
        <b/>
        <color theme="1"/>
      </rPr>
      <t xml:space="preserve"> </t>
    </r>
    <r>
      <rPr>
        <rFont val="Arial"/>
        <b val="0"/>
        <color theme="1"/>
      </rPr>
      <t>18 April: He will revert back on Monday. 17 April: He needs a 5 seater cabin.</t>
    </r>
  </si>
  <si>
    <t>Gaurav</t>
  </si>
  <si>
    <t>Sethi</t>
  </si>
  <si>
    <t>gaurav@intercontliner.com</t>
  </si>
  <si>
    <t>Intercontliner</t>
  </si>
  <si>
    <t>100 seats.</t>
  </si>
  <si>
    <t>Hot</t>
  </si>
  <si>
    <r>
      <rPr>
        <rFont val="Arial"/>
        <b/>
        <color theme="1"/>
      </rPr>
      <t xml:space="preserve">2 May: Meeting is done and need to share a MOM. </t>
    </r>
    <r>
      <rPr>
        <rFont val="Arial"/>
        <b val="0"/>
        <color theme="1"/>
      </rPr>
      <t>29 April: Sadhana will get back to me by today EOD with the timings for the meeting on Saturday. 28th April: Ringing.</t>
    </r>
    <r>
      <rPr>
        <rFont val="Arial"/>
        <b/>
        <color theme="1"/>
      </rPr>
      <t xml:space="preserve"> </t>
    </r>
    <r>
      <rPr>
        <rFont val="Arial"/>
        <b val="0"/>
        <color theme="1"/>
      </rPr>
      <t>27th April: Spoke with Sadhana (PA). She will get back regarding the meeting timings for Thursday or Friday. 24 April: The meeting has been postponed to next thursday or friday.</t>
    </r>
    <r>
      <rPr>
        <rFont val="Arial"/>
        <b/>
        <color theme="1"/>
      </rPr>
      <t xml:space="preserve"> </t>
    </r>
    <r>
      <rPr>
        <rFont val="Arial"/>
        <b val="0"/>
        <color theme="1"/>
      </rPr>
      <t xml:space="preserve">22 April: Meeting is schedueled for Friday or Saturday. 20 April: Declined the call, dropped a text. 18 April: He has a requirement of 100 seats. Shared with him the images of the 7000sq.ft </t>
    </r>
  </si>
  <si>
    <t>Abhishek</t>
  </si>
  <si>
    <t>marketingexecutive@earthful.me</t>
  </si>
  <si>
    <t>Earthful</t>
  </si>
  <si>
    <t>8 Seater cabin</t>
  </si>
  <si>
    <r>
      <rPr>
        <rFont val="Arial"/>
        <b/>
        <color theme="1"/>
      </rPr>
      <t xml:space="preserve">22 April: They have decided to continue in their existing coworking space. </t>
    </r>
    <r>
      <rPr>
        <rFont val="Arial"/>
        <b val="0"/>
        <color theme="1"/>
      </rPr>
      <t>19 April: He wants a space only for 45 days. Shared with him the images of the space.</t>
    </r>
  </si>
  <si>
    <t>Sadhana</t>
  </si>
  <si>
    <t>Shanbhag</t>
  </si>
  <si>
    <t>sadhana@forecastadvtg.com</t>
  </si>
  <si>
    <t>Forecast Advertising</t>
  </si>
  <si>
    <t>20 April: She is looking for around 800sq.ft only for purchase purpose. He budget is 1.5 Cr</t>
  </si>
  <si>
    <t xml:space="preserve">Mohit </t>
  </si>
  <si>
    <t>Info@kstechnogroups.com</t>
  </si>
  <si>
    <t>CEO/GM</t>
  </si>
  <si>
    <t>K S Technogroups Pvt Ltd</t>
  </si>
  <si>
    <t>8 Seater Cabin</t>
  </si>
  <si>
    <t>Not Responding</t>
  </si>
  <si>
    <r>
      <rPr>
        <rFont val="Arial"/>
        <b/>
        <color theme="1"/>
      </rPr>
      <t>28th May: Ringing.</t>
    </r>
    <r>
      <rPr>
        <rFont val="Arial"/>
        <b val="0"/>
        <color theme="1"/>
      </rPr>
      <t>27th May: OS. 25 May: Busy on call. 23 May: Busy on call. 20 May: Ringing. 18 May: OS. 13 May: Dropped him a text. 11 May: Ringing, Dropped a text.</t>
    </r>
    <r>
      <rPr>
        <rFont val="Arial"/>
        <b/>
        <color theme="1"/>
      </rPr>
      <t xml:space="preserve"> </t>
    </r>
    <r>
      <rPr>
        <rFont val="Arial"/>
        <b val="0"/>
        <color theme="1"/>
      </rPr>
      <t xml:space="preserve">8 May: Dropped a Mail. 5 May: He is not looking for an office on an immediate basis. He is currently travelling and will get back to me once he returns to Mumbai.  </t>
    </r>
    <r>
      <rPr>
        <rFont val="Arial"/>
        <b/>
        <color theme="1"/>
      </rPr>
      <t xml:space="preserve">                                                                                                                                                                                                                     </t>
    </r>
    <r>
      <rPr>
        <rFont val="Arial"/>
        <b val="0"/>
        <color theme="1"/>
      </rPr>
      <t>2 May: He is not in town currently and will get back to me after few days. 30 April: Dropped him a text.</t>
    </r>
    <r>
      <rPr>
        <rFont val="Arial"/>
        <b/>
        <color theme="1"/>
      </rPr>
      <t xml:space="preserve"> </t>
    </r>
    <r>
      <rPr>
        <rFont val="Arial"/>
        <b val="0"/>
        <color theme="1"/>
      </rPr>
      <t>27 April: He is currently travelling and will be able to reconnect by mid of this week.</t>
    </r>
    <r>
      <rPr>
        <rFont val="Arial"/>
        <b/>
        <color theme="1"/>
      </rPr>
      <t xml:space="preserve">
</t>
    </r>
    <r>
      <rPr>
        <rFont val="Arial"/>
        <b val="0"/>
        <color theme="1"/>
      </rPr>
      <t>24 April: Dropped him a followup text.</t>
    </r>
    <r>
      <rPr>
        <rFont val="Arial"/>
        <b/>
        <color theme="1"/>
      </rPr>
      <t xml:space="preserve"> </t>
    </r>
    <r>
      <rPr>
        <rFont val="Arial"/>
        <b val="0"/>
        <color theme="1"/>
      </rPr>
      <t>23 April: He is currently out of town and will get back to me once he returns. 22 April: He needs some time to discuss on this with his team. 20 April: Need to share the images of the space.</t>
    </r>
  </si>
  <si>
    <t>Raj</t>
  </si>
  <si>
    <t>Shetye</t>
  </si>
  <si>
    <t>Raj@whitebgstudio.com</t>
  </si>
  <si>
    <t>White Background Studio</t>
  </si>
  <si>
    <t>1500sq.ft</t>
  </si>
  <si>
    <r>
      <rPr>
        <rFont val="Arial"/>
        <b/>
        <color theme="1"/>
      </rPr>
      <t xml:space="preserve">22 April: His budget is not more than 2.75 lacs. </t>
    </r>
    <r>
      <rPr>
        <rFont val="Arial"/>
        <b val="0"/>
        <color theme="1"/>
      </rPr>
      <t>20 April: he needs a studio space currently he is operating from marol and is paying 3.25 lacs for a 4500sq.ft space but still he will check with his management and will get back to me.</t>
    </r>
  </si>
  <si>
    <t>Ankit</t>
  </si>
  <si>
    <t>Mehta</t>
  </si>
  <si>
    <t>ankit@starpowerindia.com</t>
  </si>
  <si>
    <t>Fleet Operator to Uber and OLA India</t>
  </si>
  <si>
    <r>
      <rPr>
        <rFont val="Arial"/>
        <b/>
        <color theme="1"/>
      </rPr>
      <t xml:space="preserve">22 April: He don't need any office. </t>
    </r>
    <r>
      <rPr>
        <rFont val="Arial"/>
        <b val="0"/>
        <color theme="1"/>
      </rPr>
      <t xml:space="preserve">20 April: Ringing, dropped </t>
    </r>
  </si>
  <si>
    <t>Girish</t>
  </si>
  <si>
    <t>Gholap</t>
  </si>
  <si>
    <t>girishgholap@rolta.com</t>
  </si>
  <si>
    <t>Sr. Manager</t>
  </si>
  <si>
    <t>Rolta</t>
  </si>
  <si>
    <t>50 Seats + 5 cabins and 1 Conference Room</t>
  </si>
  <si>
    <r>
      <rPr>
        <rFont val="Arial"/>
        <b/>
        <color theme="1"/>
      </rPr>
      <t xml:space="preserve">28th May : Ringing </t>
    </r>
    <r>
      <rPr>
        <rFont val="Arial"/>
        <b val="0"/>
        <color theme="1"/>
      </rPr>
      <t xml:space="preserve">25 May: Ringing. 23 May: He will get back to me on Monday. 20 May: Ringing. 13 May: Declined the call.                                                                                                                                                                              5 May: Dropped a followup text. </t>
    </r>
    <r>
      <rPr>
        <rFont val="Arial"/>
        <b/>
        <color theme="1"/>
      </rPr>
      <t xml:space="preserve">                                                                                                                                                                    </t>
    </r>
    <r>
      <rPr>
        <rFont val="Arial"/>
        <b val="0"/>
        <color theme="1"/>
      </rPr>
      <t>30 April: He has not got any feedback from his management yet. Asked me to call after 1 week. 27 April: Declined the call. 24 April: Ringing, Dropped a text. 23 April: He will propose it to his management today and will get back to me tomorrow. 22 April: His current office is in Mahalaxmi. Need to share images with his management and will get back to me on this in a day or two.</t>
    </r>
  </si>
  <si>
    <t>Jinang</t>
  </si>
  <si>
    <t>Dhami</t>
  </si>
  <si>
    <t>jinangdhami@mitocon.in</t>
  </si>
  <si>
    <t>Founder CEO</t>
  </si>
  <si>
    <t xml:space="preserve">Mitocon Biomed </t>
  </si>
  <si>
    <t>10 Seats + 2 Cabins</t>
  </si>
  <si>
    <r>
      <rPr>
        <rFont val="Arial"/>
        <b/>
        <color theme="1"/>
      </rPr>
      <t xml:space="preserve">14 May: He is looking for a office space in Borivali and Kandivali. </t>
    </r>
    <r>
      <rPr>
        <rFont val="Arial"/>
        <b val="0"/>
        <color theme="1"/>
      </rPr>
      <t>13 May: Ringing, Dropped a text.</t>
    </r>
    <r>
      <rPr>
        <rFont val="Arial"/>
        <b/>
        <color theme="1"/>
      </rPr>
      <t xml:space="preserve"> </t>
    </r>
    <r>
      <rPr>
        <rFont val="Arial"/>
        <b val="0"/>
        <color theme="1"/>
      </rPr>
      <t>5 May: Ringing, Shared a voice note.</t>
    </r>
    <r>
      <rPr>
        <rFont val="Arial"/>
        <b/>
        <color theme="1"/>
      </rPr>
      <t xml:space="preserve"> </t>
    </r>
    <r>
      <rPr>
        <rFont val="Arial"/>
        <b val="0"/>
        <color theme="1"/>
      </rPr>
      <t>2nd May: Ringing, dropped a text.</t>
    </r>
    <r>
      <rPr>
        <rFont val="Arial"/>
        <b/>
        <color theme="1"/>
      </rPr>
      <t xml:space="preserve"> </t>
    </r>
    <r>
      <rPr>
        <rFont val="Arial"/>
        <b val="0"/>
        <color theme="1"/>
      </rPr>
      <t>30 April: Ringing, dropped a text. 28 April: Ringing. 27 April: He have asked me to share details of Lower Parel and Andheri.</t>
    </r>
    <r>
      <rPr>
        <rFont val="Arial"/>
        <b/>
        <color theme="1"/>
      </rPr>
      <t xml:space="preserve"> </t>
    </r>
    <r>
      <rPr>
        <rFont val="Arial"/>
        <b val="0"/>
        <color theme="1"/>
      </rPr>
      <t>24 April: Ringing, Dropped a text.</t>
    </r>
    <r>
      <rPr>
        <rFont val="Arial"/>
        <b/>
        <color theme="1"/>
      </rPr>
      <t xml:space="preserve"> </t>
    </r>
    <r>
      <rPr>
        <rFont val="Arial"/>
        <b val="0"/>
        <color theme="1"/>
      </rPr>
      <t>23 April: Ringing, Dropped a text.</t>
    </r>
  </si>
  <si>
    <t>Leena</t>
  </si>
  <si>
    <t>Dabholkar</t>
  </si>
  <si>
    <t>leena@asmoloobhoy.com</t>
  </si>
  <si>
    <t>CHRO</t>
  </si>
  <si>
    <t>Moloobhoys Group of Companies</t>
  </si>
  <si>
    <t>21-50, immediately</t>
  </si>
  <si>
    <r>
      <rPr>
        <rFont val="Arial"/>
        <b/>
        <color theme="1"/>
      </rPr>
      <t xml:space="preserve">28th May: Ringing </t>
    </r>
    <r>
      <rPr>
        <rFont val="Arial"/>
        <b val="0"/>
        <color theme="1"/>
      </rPr>
      <t>25 May: Ringing. 23 May: 20 May: Ringing. 16 May: Dropped a followup mail. 13 May: Busy on call. 11 May: Ringing. 8 May: Ringing. 5 May: Ringing. 2 May: Declined the call. 30 April: Ringing.</t>
    </r>
    <r>
      <rPr>
        <rFont val="Arial"/>
        <b/>
        <color theme="1"/>
      </rPr>
      <t xml:space="preserve"> </t>
    </r>
    <r>
      <rPr>
        <rFont val="Arial"/>
        <b val="0"/>
        <color theme="1"/>
      </rPr>
      <t>28 April: Ringing. 27 April: Ringing, Dropped a text. 24 April: Ringing, Dropped a text. 23 April: Ringing, Dropped a text.</t>
    </r>
  </si>
  <si>
    <t>Vinod</t>
  </si>
  <si>
    <t>Kanore</t>
  </si>
  <si>
    <t>dsc@dsconline.in</t>
  </si>
  <si>
    <t>MD</t>
  </si>
  <si>
    <t>echartered systems</t>
  </si>
  <si>
    <t>12 -15 seats</t>
  </si>
  <si>
    <r>
      <rPr>
        <rFont val="Arial"/>
        <b/>
        <color theme="1"/>
      </rPr>
      <t xml:space="preserve">2 May: Ringing. </t>
    </r>
    <r>
      <rPr>
        <rFont val="Arial"/>
        <b val="0"/>
        <color theme="1"/>
      </rPr>
      <t>30 April: Dropped him a text. 28 April: Ringing.</t>
    </r>
    <r>
      <rPr>
        <rFont val="Arial"/>
        <b/>
        <color theme="1"/>
      </rPr>
      <t xml:space="preserve"> </t>
    </r>
    <r>
      <rPr>
        <rFont val="Arial"/>
        <b val="0"/>
        <color theme="1"/>
      </rPr>
      <t>27 April: Spoke with him over call; he mentioned he is not interested currently. Have shared a follow-up message.</t>
    </r>
    <r>
      <rPr>
        <rFont val="Arial"/>
        <b/>
        <color theme="1"/>
      </rPr>
      <t xml:space="preserve"> </t>
    </r>
    <r>
      <rPr>
        <rFont val="Arial"/>
        <b val="0"/>
        <color theme="1"/>
      </rPr>
      <t>24 April: He need 12 - 15 Seats and might increase upto to 20 Seats. Shared with him the images and location of our space.</t>
    </r>
    <r>
      <rPr>
        <rFont val="Arial"/>
        <b/>
        <color theme="1"/>
      </rPr>
      <t xml:space="preserve"> </t>
    </r>
    <r>
      <rPr>
        <rFont val="Arial"/>
        <b val="0"/>
        <color theme="1"/>
      </rPr>
      <t>23 April: Ringing, dropped a text.</t>
    </r>
  </si>
  <si>
    <t>Nishi</t>
  </si>
  <si>
    <t>Companysecretary234@mercalix.com</t>
  </si>
  <si>
    <t>Company secretary</t>
  </si>
  <si>
    <t>Mercalix business solutions private limited</t>
  </si>
  <si>
    <t>1-20, 1 month</t>
  </si>
  <si>
    <r>
      <rPr>
        <rFont val="Arial"/>
        <b/>
        <color theme="1"/>
      </rPr>
      <t xml:space="preserve">27 April: She is specifically looking for an office in Lalbaug, hence she won’t be able to proceed with the Lower Parel option. </t>
    </r>
    <r>
      <rPr>
        <rFont val="Arial"/>
        <b val="0"/>
        <color theme="1"/>
      </rPr>
      <t>25 April: Ringing. 24 April: Dropped her a text. 23 April: She needs 15 Seater enclosed cabin. Shared with her the images of the space.</t>
    </r>
  </si>
  <si>
    <t>Samit</t>
  </si>
  <si>
    <t>Jham</t>
  </si>
  <si>
    <t>ricky@vrs.ae</t>
  </si>
  <si>
    <t>Business Development</t>
  </si>
  <si>
    <t>VRS</t>
  </si>
  <si>
    <r>
      <rPr>
        <rFont val="Arial"/>
        <b/>
        <color theme="1"/>
      </rPr>
      <t xml:space="preserve">28th May: He will call me when he is interested for a visit. </t>
    </r>
    <r>
      <rPr>
        <rFont val="Arial"/>
        <b val="0"/>
        <color theme="1"/>
      </rPr>
      <t>27th May: Ringing, Dropped a text. 25 May: Rining. 23 May: Dropped a text. 18 May: He has a requirement of 4 Seater cabin and will to visit soon. 16 May: Dropped a text. 13 May: Dropped a text asking for a visit.</t>
    </r>
    <r>
      <rPr>
        <rFont val="Arial"/>
        <b/>
        <color theme="1"/>
      </rPr>
      <t xml:space="preserve"> </t>
    </r>
    <r>
      <rPr>
        <rFont val="Arial"/>
        <b val="0"/>
        <color theme="1"/>
      </rPr>
      <t>5 May: Dropped him a text.</t>
    </r>
    <r>
      <rPr>
        <rFont val="Arial"/>
        <b/>
        <color theme="1"/>
      </rPr>
      <t xml:space="preserve"> </t>
    </r>
    <r>
      <rPr>
        <rFont val="Arial"/>
        <b val="0"/>
        <color theme="1"/>
      </rPr>
      <t>2nd May: He have asked me to share details on whatsapp. 30 April: Ringing, Dropped a text. 28 April: Ringing. 27 April: Ringing, Dropped a text. 24 April: Ringing, Dropped a text. 23 April: Ringing, Dropped a text.</t>
    </r>
  </si>
  <si>
    <t>Shailesh</t>
  </si>
  <si>
    <t>shailesh.jain@mirraw</t>
  </si>
  <si>
    <t>Mirraw</t>
  </si>
  <si>
    <t>150 Seats.</t>
  </si>
  <si>
    <r>
      <rPr>
        <rFont val="Arial"/>
        <b/>
        <color theme="1"/>
      </rPr>
      <t xml:space="preserve">28th May: Ringing. </t>
    </r>
    <r>
      <rPr>
        <rFont val="Arial"/>
        <b val="0"/>
        <color theme="1"/>
      </rPr>
      <t>27th may: Ringing. 25 May: Ringing. 23 May: Ringing. 16 May: Dropped a text. 5 May: Ringing, dropped a text. 2nd May: Ringing, dropped a text. 30 April: Busy on call, Dropped a text. 28 April: Ringing. 27 April: Replied on msg. 24 April: Ringing, Dropped a text.</t>
    </r>
  </si>
  <si>
    <t>Snehkumar</t>
  </si>
  <si>
    <t>P</t>
  </si>
  <si>
    <t>sneh@evmzone.com</t>
  </si>
  <si>
    <t>Strategy</t>
  </si>
  <si>
    <t>EVM</t>
  </si>
  <si>
    <t>15 seats</t>
  </si>
  <si>
    <r>
      <rPr>
        <rFont val="Arial"/>
        <b/>
        <color theme="1"/>
      </rPr>
      <t xml:space="preserve">29th May : Got the spaces </t>
    </r>
    <r>
      <rPr>
        <rFont val="Arial"/>
        <b val="0"/>
        <color theme="1"/>
      </rPr>
      <t xml:space="preserve">27th May: Ringing. 25 May: Ringing. 23 May: Ringing, dropped a text. 16 May: Dropped a mail. 13 May: Ringing, Dropped a text. 5 May: Ringing, dropped him a text.   </t>
    </r>
    <r>
      <rPr>
        <rFont val="Arial"/>
        <b/>
        <color theme="1"/>
      </rPr>
      <t xml:space="preserve">                                                                                                                                                          </t>
    </r>
    <r>
      <rPr>
        <rFont val="Arial"/>
        <b val="0"/>
        <color theme="1"/>
      </rPr>
      <t>2 May: He will come on Monday 4PM. 28 April: He is currently in Bangalore and will be back after 1st May. Hence, he will be available for the site visit post that. 27 April: Ringing, Dropped a text. 24 April: He needs 15 Seats and will try to visit on Monday.</t>
    </r>
  </si>
  <si>
    <t xml:space="preserve">Pritam </t>
  </si>
  <si>
    <t>Soni</t>
  </si>
  <si>
    <t>pritam@workoraindia.com</t>
  </si>
  <si>
    <t>Workora India</t>
  </si>
  <si>
    <t>1-20, immediately</t>
  </si>
  <si>
    <r>
      <rPr>
        <rFont val="Arial"/>
        <b/>
        <color theme="1"/>
      </rPr>
      <t xml:space="preserve">29 April: His budget is 7k per seat. </t>
    </r>
    <r>
      <rPr>
        <rFont val="Arial"/>
        <b val="0"/>
        <color theme="1"/>
      </rPr>
      <t>27 April: Busy on call, dropped a text. 25 April: Declined the call.</t>
    </r>
  </si>
  <si>
    <t>Tushar</t>
  </si>
  <si>
    <t>Topale</t>
  </si>
  <si>
    <t>tushar.topale@cloudcounselage.com</t>
  </si>
  <si>
    <t>Founder &amp; Director</t>
  </si>
  <si>
    <t>Cloud Counselage Pvt. Ltd.</t>
  </si>
  <si>
    <t>51-100, immediate</t>
  </si>
  <si>
    <t>Note: Saniel Sir took this up.</t>
  </si>
  <si>
    <t>Chetan</t>
  </si>
  <si>
    <t>Todi</t>
  </si>
  <si>
    <t>chetan@goenkainc.com</t>
  </si>
  <si>
    <t>CFO</t>
  </si>
  <si>
    <t>Goenka INC</t>
  </si>
  <si>
    <r>
      <rPr>
        <rFont val="Arial"/>
        <b/>
        <color theme="1"/>
      </rPr>
      <t xml:space="preserve">22 May: We have made some changes in the layout shared the revised the commercials. </t>
    </r>
    <r>
      <rPr>
        <rFont val="Arial"/>
        <b val="0"/>
        <color theme="1"/>
      </rPr>
      <t>18 May: He has a budget of 2 lacs. 15 May: Shared a 2D Layout and Commercials. 13 May: Visit is done.</t>
    </r>
    <r>
      <rPr>
        <rFont val="Arial"/>
        <b/>
        <color theme="1"/>
      </rPr>
      <t xml:space="preserve"> </t>
    </r>
    <r>
      <rPr>
        <rFont val="Arial"/>
        <b val="0"/>
        <color theme="1"/>
      </rPr>
      <t xml:space="preserve">5 May: He will visit today at 5pm. </t>
    </r>
    <r>
      <rPr>
        <rFont val="Arial"/>
        <b/>
        <color theme="1"/>
      </rPr>
      <t xml:space="preserve">                                                                                                                                                                </t>
    </r>
    <r>
      <rPr>
        <rFont val="Arial"/>
        <b val="0"/>
        <color theme="1"/>
      </rPr>
      <t>2 May: Declined the call.</t>
    </r>
    <r>
      <rPr>
        <rFont val="Arial"/>
        <b/>
        <color theme="1"/>
      </rPr>
      <t xml:space="preserve"> </t>
    </r>
    <r>
      <rPr>
        <rFont val="Arial"/>
        <b val="0"/>
        <color theme="1"/>
      </rPr>
      <t>30 April: Dropped him a text. 28 April: Ringing, Dropped a text. 27 April: 4 Seater Cabin + 3 Seater Cabin + 2 Single seater cabin.</t>
    </r>
  </si>
  <si>
    <t>Archana</t>
  </si>
  <si>
    <t>Tarsty</t>
  </si>
  <si>
    <t>archana@workthatworks.org</t>
  </si>
  <si>
    <t>6 Seats</t>
  </si>
  <si>
    <t>27 April: Her budget is 45k over all for 6 Seats</t>
  </si>
  <si>
    <t>PK</t>
  </si>
  <si>
    <t>Kalnawat</t>
  </si>
  <si>
    <t>pkalnawat@otoxx.com</t>
  </si>
  <si>
    <t>Sr. Director</t>
  </si>
  <si>
    <t>Topps</t>
  </si>
  <si>
    <t>1-20 seats, immediate</t>
  </si>
  <si>
    <r>
      <rPr>
        <rFont val="Arial"/>
        <b/>
        <color theme="1"/>
      </rPr>
      <t xml:space="preserve">25 May: He took a office in in BKC.                                                                                                                                                             </t>
    </r>
    <r>
      <rPr>
        <rFont val="Arial"/>
        <b val="0"/>
        <color theme="1"/>
      </rPr>
      <t>23 May: Ringing, dropped a text.</t>
    </r>
    <r>
      <rPr>
        <rFont val="Arial"/>
        <b/>
        <color theme="1"/>
      </rPr>
      <t xml:space="preserve"> </t>
    </r>
    <r>
      <rPr>
        <rFont val="Arial"/>
        <b val="0"/>
        <color theme="1"/>
      </rPr>
      <t>16 May: Dropped a mail. 13 May: Ringing, Dropped a text.</t>
    </r>
    <r>
      <rPr>
        <rFont val="Arial"/>
        <b/>
        <color theme="1"/>
      </rPr>
      <t xml:space="preserve"> </t>
    </r>
    <r>
      <rPr>
        <rFont val="Arial"/>
        <b val="0"/>
        <color theme="1"/>
      </rPr>
      <t xml:space="preserve">5 May: Ringing, shared a voice note.     </t>
    </r>
    <r>
      <rPr>
        <rFont val="Arial"/>
        <b/>
        <color theme="1"/>
      </rPr>
      <t xml:space="preserve">                                                                                                                                                                                                         </t>
    </r>
    <r>
      <rPr>
        <rFont val="Arial"/>
        <b val="0"/>
        <color theme="1"/>
      </rPr>
      <t>2 May: He was busy in a meeting.</t>
    </r>
    <r>
      <rPr>
        <rFont val="Arial"/>
        <b/>
        <color theme="1"/>
      </rPr>
      <t xml:space="preserve"> </t>
    </r>
    <r>
      <rPr>
        <rFont val="Arial"/>
        <b val="0"/>
        <color theme="1"/>
      </rPr>
      <t>30 April: He has 10 seater requirement. Shared images and commercials with him on text. 29 April: Followup msg. 28 April: Ringing, dropped a text.</t>
    </r>
  </si>
  <si>
    <t>Vismit</t>
  </si>
  <si>
    <t>vismit@jeweltrendz.in</t>
  </si>
  <si>
    <t>Ed</t>
  </si>
  <si>
    <t>Jewel Trendz</t>
  </si>
  <si>
    <t>21-50, immediate</t>
  </si>
  <si>
    <r>
      <rPr>
        <rFont val="Arial"/>
        <b/>
        <color theme="1"/>
      </rPr>
      <t xml:space="preserve">28th May: Ringing. </t>
    </r>
    <r>
      <rPr>
        <rFont val="Arial"/>
        <b val="0"/>
        <color theme="1"/>
      </rPr>
      <t>27th May:he has asked me to msg. 25 May: Ringing. 23 May: Ringing. 16 May: Dropped a text. 13 May: Dropped a text.  5 May: Ringing, dropped a voice note.                                                                                                                                                         4 May: He will call me in 30 min to confirm the timings.</t>
    </r>
    <r>
      <rPr>
        <rFont val="Arial"/>
        <b/>
        <color theme="1"/>
      </rPr>
      <t xml:space="preserve"> </t>
    </r>
    <r>
      <rPr>
        <rFont val="Arial"/>
        <b val="0"/>
        <color theme="1"/>
      </rPr>
      <t>2 May: He will try to visit on Tuesday.</t>
    </r>
    <r>
      <rPr>
        <rFont val="Arial"/>
        <b/>
        <color theme="1"/>
      </rPr>
      <t xml:space="preserve"> </t>
    </r>
    <r>
      <rPr>
        <rFont val="Arial"/>
        <b val="0"/>
        <color theme="1"/>
      </rPr>
      <t>30 April: Ringing, Dropped him a text. 28 April: He has a requirement for 40–45 seats and is currently operating from a conventional office setup. I have shared the images and relevant details with him. He will review them and get back to me.</t>
    </r>
  </si>
  <si>
    <t>V</t>
  </si>
  <si>
    <t>Shrivastava</t>
  </si>
  <si>
    <t xml:space="preserve">7506362102 Andheri, </t>
  </si>
  <si>
    <t xml:space="preserve">vs@vitalproconsumer.com 1200 20 +3 +1 </t>
  </si>
  <si>
    <t>BH</t>
  </si>
  <si>
    <t>Vitalpro</t>
  </si>
  <si>
    <t>1-20, immediate</t>
  </si>
  <si>
    <r>
      <rPr>
        <rFont val="Arial"/>
        <b/>
        <color theme="1"/>
      </rPr>
      <t xml:space="preserve">17 May: He got a office in Kamla Mills. </t>
    </r>
    <r>
      <rPr>
        <rFont val="Arial"/>
        <b val="0"/>
        <color theme="1"/>
      </rPr>
      <t xml:space="preserve">15 May: Ringing, Dropped him a text. 13 May: Ringing. 5 May: Shared with him the commercials, he will think on it and will get back to me.                                                             </t>
    </r>
    <r>
      <rPr>
        <rFont val="Arial"/>
        <b/>
        <color theme="1"/>
      </rPr>
      <t xml:space="preserve">               </t>
    </r>
    <r>
      <rPr>
        <rFont val="Arial"/>
        <b val="0"/>
        <color theme="1"/>
      </rPr>
      <t>2 May: Ringing. 30 April: The client is looking for a conventional office setup as he is currently operating from a coworking space and now prefers a more dedicated working atmosphere along with an affordable option. He has asked me to share a lump sum costing. He will compare the commercials and get back to me.</t>
    </r>
    <r>
      <rPr>
        <rFont val="Arial"/>
        <b/>
        <color theme="1"/>
      </rPr>
      <t xml:space="preserve"> </t>
    </r>
    <r>
      <rPr>
        <rFont val="Arial"/>
        <b val="0"/>
        <color theme="1"/>
      </rPr>
      <t>28 April: He requires 25 workstations, 1 conference room, and 2 cabins. He is currently operating from a conventional office setup. I have quoted ₹16,000 per seat. I requested him to visit the space today; however, he is occupied and will get back to me tomorrow to confirm his availability for a site visit.</t>
    </r>
  </si>
  <si>
    <t>Rinku</t>
  </si>
  <si>
    <t>Appalwar</t>
  </si>
  <si>
    <t>rinku.appalwar@emmbi.com</t>
  </si>
  <si>
    <t>Emmbi Industries Limited</t>
  </si>
  <si>
    <t>51-100, 1 month</t>
  </si>
  <si>
    <r>
      <rPr>
        <rFont val="Arial"/>
        <b/>
        <color theme="1"/>
      </rPr>
      <t xml:space="preserve">28th May: Ringing. </t>
    </r>
    <r>
      <rPr>
        <rFont val="Arial"/>
        <b val="0"/>
        <color theme="1"/>
      </rPr>
      <t>27th May: Ringing. 23 May: Ringing. 16 May: Dropped a mail. 15 May: Declined the call, dropped her a text. 13 May: Busy on Call. 11 May: Declined the call.</t>
    </r>
    <r>
      <rPr>
        <rFont val="Arial"/>
        <b/>
        <color theme="1"/>
      </rPr>
      <t xml:space="preserve"> </t>
    </r>
    <r>
      <rPr>
        <rFont val="Arial"/>
        <b val="0"/>
        <color theme="1"/>
      </rPr>
      <t xml:space="preserve">5 May: Declined the call.   </t>
    </r>
    <r>
      <rPr>
        <rFont val="Arial"/>
        <b/>
        <color theme="1"/>
      </rPr>
      <t xml:space="preserve">                                                                                                                                                                                 </t>
    </r>
    <r>
      <rPr>
        <rFont val="Arial"/>
        <b val="0"/>
        <color theme="1"/>
      </rPr>
      <t>2 May: Declined the call, Dropped her a text.</t>
    </r>
    <r>
      <rPr>
        <rFont val="Arial"/>
        <b/>
        <color theme="1"/>
      </rPr>
      <t xml:space="preserve"> </t>
    </r>
    <r>
      <rPr>
        <rFont val="Arial"/>
        <b val="0"/>
        <color theme="1"/>
      </rPr>
      <t>30 April: Ringing, Dropped him a text</t>
    </r>
  </si>
  <si>
    <t>Pritesh</t>
  </si>
  <si>
    <t>Poddar</t>
  </si>
  <si>
    <t>pritesh.poddar@sfsgroup.co.in</t>
  </si>
  <si>
    <t>UBS</t>
  </si>
  <si>
    <r>
      <rPr>
        <rFont val="Arial"/>
        <b/>
        <color theme="1"/>
      </rPr>
      <t xml:space="preserve">15 May: He has a budget of 2 Lacs.                                                                                                                                                                13 May: He need some time to discuss internally. </t>
    </r>
    <r>
      <rPr>
        <rFont val="Arial"/>
        <b val="0"/>
        <color theme="1"/>
      </rPr>
      <t xml:space="preserve">11 May: Need to share the Layouts today. 6 May: 20 Seats + 3 Cabins + 1 Meeting Room. His current office is in Mittal Industrial Estate. He wantsa some lyout options also he mentioned his budget is low.                                                                              </t>
    </r>
    <r>
      <rPr>
        <rFont val="Arial"/>
        <b/>
        <color theme="1"/>
      </rPr>
      <t xml:space="preserve">                                                       </t>
    </r>
    <r>
      <rPr>
        <rFont val="Arial"/>
        <b val="0"/>
        <color theme="1"/>
      </rPr>
      <t>5 May: He mentioned that he was in a meeting and will call me back after some time.</t>
    </r>
    <r>
      <rPr>
        <rFont val="Arial"/>
        <b/>
        <color theme="1"/>
      </rPr>
      <t xml:space="preserve">
</t>
    </r>
    <r>
      <rPr>
        <rFont val="Arial"/>
        <b val="0"/>
        <color theme="1"/>
      </rPr>
      <t>2 May: Ringing, Dropped a text. 30 April: He will call me back after some time. 29 April: Ringing</t>
    </r>
  </si>
  <si>
    <t xml:space="preserve">Saurabh </t>
  </si>
  <si>
    <t>Singh</t>
  </si>
  <si>
    <t>saurabh.singh@nirmalbang.com</t>
  </si>
  <si>
    <t>Not mentioned</t>
  </si>
  <si>
    <t>Nirmal Bang Wealth</t>
  </si>
  <si>
    <r>
      <rPr>
        <rFont val="Calibri, sans-serif"/>
        <b/>
        <color rgb="FF000000"/>
        <sz val="11.0"/>
      </rPr>
      <t xml:space="preserve">11 May: Ringing. </t>
    </r>
    <r>
      <rPr>
        <rFont val="Calibri, sans-serif"/>
        <color rgb="FF000000"/>
        <sz val="11.0"/>
      </rPr>
      <t>6th May: Dropped text.</t>
    </r>
    <r>
      <rPr>
        <rFont val="Calibri, sans-serif"/>
        <b/>
        <color rgb="FF000000"/>
        <sz val="11.0"/>
      </rPr>
      <t xml:space="preserve"> </t>
    </r>
    <r>
      <rPr>
        <rFont val="Calibri, sans-serif"/>
        <color rgb="FF000000"/>
        <sz val="11.0"/>
      </rPr>
      <t xml:space="preserve">R2 May: Ringing, dropped him a text.   </t>
    </r>
    <r>
      <rPr>
        <rFont val="Calibri, sans-serif"/>
        <b/>
        <color rgb="FF000000"/>
        <sz val="11.0"/>
      </rPr>
      <t xml:space="preserve">                                                                                                                                                                                                                                   </t>
    </r>
    <r>
      <rPr>
        <rFont val="Calibri, sans-serif"/>
        <color rgb="FF000000"/>
        <sz val="11.0"/>
      </rPr>
      <t>30 April: Ringing. 29 April: Saniel SIr Spoke to him and asked me to share details on Whatsapp 20 seater + 2 Cabin + 1 Meeting Room</t>
    </r>
  </si>
  <si>
    <t>Madhurr</t>
  </si>
  <si>
    <t>Jhaawar</t>
  </si>
  <si>
    <t>madhurr@unlistedorena.com</t>
  </si>
  <si>
    <t>OPML Group</t>
  </si>
  <si>
    <r>
      <rPr>
        <rFont val="Arial"/>
        <b/>
        <color theme="1"/>
      </rPr>
      <t xml:space="preserve">28th May: Ringing. </t>
    </r>
    <r>
      <rPr>
        <rFont val="Arial"/>
        <b val="0"/>
        <color theme="1"/>
      </rPr>
      <t>27th May: Ringing. 25 May: Dropped a followup text.</t>
    </r>
    <r>
      <rPr>
        <rFont val="Arial"/>
        <b/>
        <color theme="1"/>
      </rPr>
      <t xml:space="preserve"> </t>
    </r>
    <r>
      <rPr>
        <rFont val="Arial"/>
        <b val="0"/>
        <color theme="1"/>
      </rPr>
      <t>23 May: He is a bit busy and will get back to me in few days.</t>
    </r>
    <r>
      <rPr>
        <rFont val="Arial"/>
        <b/>
        <color theme="1"/>
      </rPr>
      <t xml:space="preserve"> </t>
    </r>
    <r>
      <rPr>
        <rFont val="Arial"/>
        <b val="0"/>
        <color theme="1"/>
      </rPr>
      <t xml:space="preserve">20 May: Ringing. 16 May: Dropped a text. 15 May: Dropped him text.  13 May: Ringng, Dropped a text, 11 May: He has asked me to share the location and will try to visit in this week.. 5 May: Shared with the images of RDK's Cabin. 4th May: He wants 1 Cabin &amp; 2 Workstation and his budget is 65k. 2nd May: He will call on Monday. 30 April: He needs 400sq.ft and rest 300sq.ft workstation. 29 April: Ringing. </t>
    </r>
  </si>
  <si>
    <t>Jani</t>
  </si>
  <si>
    <t>rajv@scagroup.in</t>
  </si>
  <si>
    <t>Owner</t>
  </si>
  <si>
    <t>Self Employed</t>
  </si>
  <si>
    <r>
      <rPr>
        <rFont val="Arial"/>
        <b/>
        <color theme="1"/>
      </rPr>
      <t xml:space="preserve">28th May : Ringing. </t>
    </r>
    <r>
      <rPr>
        <rFont val="Arial"/>
        <b val="0"/>
        <color theme="1"/>
      </rPr>
      <t>27th May: Ringing. 25 May: Ringing, Dropped a text. 23 May: Ringing. 20 May: Ringing. 16 May: Dropped a text. 15 May: Ringing, Dropped a text.  11 May: Ringing, dropped a text.  6 May: Ringing, dropped a text. 5 May: Ringing, dropped a text. 29April: He has asked me to call him on 4th May.</t>
    </r>
  </si>
  <si>
    <t>rajesh@siteinvention.com</t>
  </si>
  <si>
    <t>Business Head</t>
  </si>
  <si>
    <t xml:space="preserve">Site Invention </t>
  </si>
  <si>
    <t>10 Seats + 2 Cabin, 3 Months</t>
  </si>
  <si>
    <r>
      <rPr>
        <rFont val="Arial"/>
        <b/>
        <color theme="1"/>
      </rPr>
      <t xml:space="preserve">2 May: His management is planning to go ahead with their existing office. </t>
    </r>
    <r>
      <rPr>
        <rFont val="Arial"/>
        <b val="0"/>
        <color theme="1"/>
      </rPr>
      <t>30 April: He needs 10 workstations + 2 Cabin. His current office is in Prabhadevi and is in a conventional office. Shared with him the images of our space. He will get back to me on Monday after speaking to his management.</t>
    </r>
  </si>
  <si>
    <t xml:space="preserve">Narayan </t>
  </si>
  <si>
    <t>Ingole</t>
  </si>
  <si>
    <t>narayan.ingole@etcmumbai.com</t>
  </si>
  <si>
    <t>Partner</t>
  </si>
  <si>
    <t>ETC Engineering Technology</t>
  </si>
  <si>
    <t>4 Seater cabin</t>
  </si>
  <si>
    <t>Closed</t>
  </si>
  <si>
    <r>
      <rPr>
        <rFont val="Arial"/>
        <b/>
        <color theme="1"/>
      </rPr>
      <t xml:space="preserve">21 May: We have received the deposit. </t>
    </r>
    <r>
      <rPr>
        <rFont val="Arial"/>
        <b val="0"/>
        <color theme="1"/>
      </rPr>
      <t xml:space="preserve">15 May: LOI is in Process. 11 May: 4 Seater Cabin Layout is already shared. he is asking for 3 Seater Cabin as well. 6 May: He visited the space. Need a layout.   </t>
    </r>
    <r>
      <rPr>
        <rFont val="Arial"/>
        <b/>
        <color theme="1"/>
      </rPr>
      <t xml:space="preserve">                                                                                                                                             </t>
    </r>
    <r>
      <rPr>
        <rFont val="Arial"/>
        <b val="0"/>
        <color theme="1"/>
      </rPr>
      <t xml:space="preserve">5 May: He will try to visit tomorrow.    </t>
    </r>
    <r>
      <rPr>
        <rFont val="Arial"/>
        <b/>
        <color theme="1"/>
      </rPr>
      <t xml:space="preserve">                                                                                                                                                                          </t>
    </r>
    <r>
      <rPr>
        <rFont val="Arial"/>
        <b val="0"/>
        <color theme="1"/>
      </rPr>
      <t>2 May: He will try to visit in this coming week. 30 April: He requires a 4-seater cabin. He is looking for options in Dadar but will try to visit our space to check the feasibility.</t>
    </r>
  </si>
  <si>
    <t>Shailendra</t>
  </si>
  <si>
    <t>Mahulkar</t>
  </si>
  <si>
    <t>shailendra.mahulkar@insurancedekho.com</t>
  </si>
  <si>
    <t>Zonal Sales Manager</t>
  </si>
  <si>
    <t>InsuranceDekho</t>
  </si>
  <si>
    <t>30 April: Need 30 Seats in Pune.</t>
  </si>
  <si>
    <t>Gauri</t>
  </si>
  <si>
    <t>Chheda</t>
  </si>
  <si>
    <t>accounts@getafix.in</t>
  </si>
  <si>
    <t>-</t>
  </si>
  <si>
    <t>Getafixx</t>
  </si>
  <si>
    <r>
      <rPr>
        <rFont val="Arial"/>
        <b/>
        <color theme="1"/>
      </rPr>
      <t xml:space="preserve">5 May: She is not looking for any office in present. </t>
    </r>
    <r>
      <rPr>
        <rFont val="Arial"/>
        <color theme="1"/>
      </rPr>
      <t xml:space="preserve">1 May: Ringing, dropped a text. </t>
    </r>
  </si>
  <si>
    <t xml:space="preserve">Pulak </t>
  </si>
  <si>
    <t>Roy</t>
  </si>
  <si>
    <t>pulak@enzonomix.co.in</t>
  </si>
  <si>
    <t>Enzonomix Biotech LLP</t>
  </si>
  <si>
    <r>
      <rPr>
        <rFont val="Arial"/>
        <b/>
        <color theme="1"/>
      </rPr>
      <t xml:space="preserve">11 May: He don't need an office space. 6 May: Ringing, dropped a text. </t>
    </r>
    <r>
      <rPr>
        <rFont val="Arial"/>
        <b val="0"/>
        <color theme="1"/>
      </rPr>
      <t>5 May: Ringing.</t>
    </r>
    <r>
      <rPr>
        <rFont val="Arial"/>
        <b/>
        <color theme="1"/>
      </rPr>
      <t xml:space="preserve"> </t>
    </r>
    <r>
      <rPr>
        <rFont val="Arial"/>
        <b val="0"/>
        <color theme="1"/>
      </rPr>
      <t>2 May: Ringing, dropped a text.</t>
    </r>
  </si>
  <si>
    <t>Murtaza</t>
  </si>
  <si>
    <t>Patanwala</t>
  </si>
  <si>
    <t>murtaza.patanwala@prodigedigital.com</t>
  </si>
  <si>
    <t>Manager</t>
  </si>
  <si>
    <t>Prodige Digital Pvt Ltd</t>
  </si>
  <si>
    <r>
      <rPr>
        <rFont val="Arial"/>
        <b/>
        <color theme="1"/>
      </rPr>
      <t xml:space="preserve">23 May: They went ahead with a conventional office.                                                                                                                              </t>
    </r>
    <r>
      <rPr>
        <rFont val="Arial"/>
        <color theme="1"/>
      </rPr>
      <t>20 May: His management has not yet responded. 15 May: Dropped a followup mail.</t>
    </r>
    <r>
      <rPr>
        <rFont val="Arial"/>
        <b/>
        <color theme="1"/>
      </rPr>
      <t xml:space="preserve">  </t>
    </r>
    <r>
      <rPr>
        <rFont val="Arial"/>
        <color theme="1"/>
      </rPr>
      <t>13 May: He is awaiting response from his management.</t>
    </r>
    <r>
      <rPr>
        <rFont val="Arial"/>
        <b/>
        <color theme="1"/>
      </rPr>
      <t xml:space="preserve"> </t>
    </r>
    <r>
      <rPr>
        <rFont val="Arial"/>
        <color theme="1"/>
      </rPr>
      <t>11 May: His management has not yet reverted on the proposal he shared with them. 6 May: His management is currently exploring other options as well. Once they shortlist our property for a visit, he will get back to me.                                                                                                                                                                                                                       5 May: Droppe a text. 2 May: 10 Seater Cabin. He wants images of the space and will try to visit next week.</t>
    </r>
  </si>
  <si>
    <t>Chaturvedi</t>
  </si>
  <si>
    <t>support@adityasystems.net</t>
  </si>
  <si>
    <t>Aditya Systems</t>
  </si>
  <si>
    <t>2 May: He need a virtual Office.</t>
  </si>
  <si>
    <t>Naraayanan</t>
  </si>
  <si>
    <t>vijay.n@altellect.com</t>
  </si>
  <si>
    <t>Altellect</t>
  </si>
  <si>
    <r>
      <rPr>
        <rFont val="Arial"/>
        <b/>
        <color theme="1"/>
      </rPr>
      <t xml:space="preserve">28th May : Ringing. </t>
    </r>
    <r>
      <rPr>
        <rFont val="Arial"/>
        <b val="0"/>
        <color theme="1"/>
      </rPr>
      <t>27th May: Ringing. 25 May: Ringing. 23 May: Ringing, Dropped him a text. 16 May: Dropped a mail. 15 May: Declined the call, dropped a text. 11 May: Not answering the calls. 8 May: Dropped a mail. 6 May: Ringing, dropped a text.</t>
    </r>
    <r>
      <rPr>
        <rFont val="Arial"/>
        <b/>
        <color theme="1"/>
      </rPr>
      <t xml:space="preserve"> </t>
    </r>
    <r>
      <rPr>
        <rFont val="Arial"/>
        <b val="0"/>
        <color theme="1"/>
      </rPr>
      <t xml:space="preserve">5 May: OS, dropped a text.   </t>
    </r>
    <r>
      <rPr>
        <rFont val="Arial"/>
        <b/>
        <color theme="1"/>
      </rPr>
      <t xml:space="preserve">                                                                                                                                                                          </t>
    </r>
    <r>
      <rPr>
        <rFont val="Arial"/>
        <b val="0"/>
        <color theme="1"/>
      </rPr>
      <t xml:space="preserve">4 May: Ringing, Mail sent. 2 May: Ringing, Dropped him a text. </t>
    </r>
  </si>
  <si>
    <t>Rajagopal</t>
  </si>
  <si>
    <t>Iyer</t>
  </si>
  <si>
    <t>riyer@setcoauto.com</t>
  </si>
  <si>
    <t>Marketing</t>
  </si>
  <si>
    <t>Setco Automotive Ltd.</t>
  </si>
  <si>
    <r>
      <rPr>
        <rFont val="Arial"/>
        <b/>
        <color theme="1"/>
      </rPr>
      <t xml:space="preserve">23 May: He has shared the layout option with his management and will get back to me with the inputs by Wednesday. </t>
    </r>
    <r>
      <rPr>
        <rFont val="Arial"/>
        <color theme="1"/>
      </rPr>
      <t>20 May: Ringing. 15 May: Followup Mail. 11 May: Commercials and Layout will be shared today. 5 May: Need to share the layouts.                                                                                                                                                                             4 May: Visit Done</t>
    </r>
  </si>
  <si>
    <t>Jignesh</t>
  </si>
  <si>
    <t>Maniar</t>
  </si>
  <si>
    <t>jiggy@onadsgroup.com</t>
  </si>
  <si>
    <t>Onads Communications</t>
  </si>
  <si>
    <r>
      <rPr>
        <rFont val="Arial"/>
        <b/>
        <color theme="1"/>
      </rPr>
      <t>28th May : Will call by himself if he need any office space.</t>
    </r>
    <r>
      <rPr>
        <rFont val="Arial"/>
        <b val="0"/>
        <color theme="1"/>
      </rPr>
      <t>27th May: Ringing. 23 May: Dropped a text asking him for a convenient time for a call on 26th May. 16 May: Dropped a followup mail. 15 May: Ringing, Dropped a text. 6 May: He will call me after 20 days. 5 May: Ringing, dropped a text.                                                                                                                                                                     4 May: Ringing, Dropped a text.</t>
    </r>
  </si>
  <si>
    <t>Aditya</t>
  </si>
  <si>
    <t>Mehrish</t>
  </si>
  <si>
    <t>Customer Capital</t>
  </si>
  <si>
    <t>1-20, 3 month</t>
  </si>
  <si>
    <r>
      <rPr>
        <rFont val="Arial"/>
        <b/>
        <color theme="1"/>
      </rPr>
      <t xml:space="preserve">23 May: He is not interested. </t>
    </r>
    <r>
      <rPr>
        <rFont val="Arial"/>
        <color theme="1"/>
      </rPr>
      <t>16 May: Dropped a text. 15 May: Ringing, dropped a text. 11 May: Declined the call. 8 May: Dropped him a mail. 7 May: Dropped a text. 6 May: ringing</t>
    </r>
  </si>
  <si>
    <t>Abbas</t>
  </si>
  <si>
    <t>K</t>
  </si>
  <si>
    <t>abbas.k@Dimension6Dezigns.com</t>
  </si>
  <si>
    <t>Dimension 6 Dezigns</t>
  </si>
  <si>
    <r>
      <rPr>
        <rFont val="Arial"/>
        <b/>
        <color theme="1"/>
      </rPr>
      <t xml:space="preserve">15 May: He is not interested in Managed Space because of Service Agreement. 11 May: Ringing, Dropped him a text. </t>
    </r>
    <r>
      <rPr>
        <rFont val="Arial"/>
        <b val="0"/>
        <color theme="1"/>
      </rPr>
      <t>8 May: Dropped him a mail.</t>
    </r>
    <r>
      <rPr>
        <rFont val="Arial"/>
        <b/>
        <color theme="1"/>
      </rPr>
      <t xml:space="preserve"> </t>
    </r>
    <r>
      <rPr>
        <rFont val="Arial"/>
        <b val="0"/>
        <color theme="1"/>
      </rPr>
      <t>6 May: He is exploring conventional offices.</t>
    </r>
  </si>
  <si>
    <t>Yatin</t>
  </si>
  <si>
    <t>Potnis</t>
  </si>
  <si>
    <t>yatin@resiproadvisory.com</t>
  </si>
  <si>
    <t>1-20, Immediately</t>
  </si>
  <si>
    <r>
      <rPr>
        <rFont val="Arial"/>
        <b/>
        <color theme="1"/>
      </rPr>
      <t xml:space="preserve">16 May: Dropped a text. 13 May: Ringing. 11 May: Busy on call. 8 May: The client has a budget of ₹10,000 per seat. He also has another option available in Dadar, so he mentioned that if we have something similar or within this budget range, we can connect with him further.
</t>
    </r>
    <r>
      <rPr>
        <rFont val="Arial"/>
        <b val="0"/>
        <color theme="1"/>
      </rPr>
      <t>7 May: He needs 2 Seater Cabin.</t>
    </r>
  </si>
  <si>
    <t>Prashant</t>
  </si>
  <si>
    <t>prashant@softeltech.in</t>
  </si>
  <si>
    <t>Softel Technologies Inc</t>
  </si>
  <si>
    <r>
      <rPr>
        <rFont val="Arial"/>
        <b/>
        <color theme="1"/>
      </rPr>
      <t>16 May: He is not interested because his budget is only 35k for 7 Seats.</t>
    </r>
    <r>
      <rPr>
        <rFont val="Arial"/>
        <b val="0"/>
        <color theme="1"/>
      </rPr>
      <t xml:space="preserve"> 15 May: Ringing, Dropped a text. 8 May: He need a 5 seater cabin.</t>
    </r>
  </si>
  <si>
    <t>Mohiyoddin</t>
  </si>
  <si>
    <t>Shaikh</t>
  </si>
  <si>
    <t>mohiyoddin@mgglobal.com</t>
  </si>
  <si>
    <t>Mint and Gold Global pvt ltd</t>
  </si>
  <si>
    <r>
      <rPr>
        <rFont val="Arial"/>
        <b/>
        <color theme="1"/>
      </rPr>
      <t xml:space="preserve">28th May : Ringing </t>
    </r>
    <r>
      <rPr>
        <rFont val="Arial"/>
        <b val="0"/>
        <color theme="1"/>
      </rPr>
      <t>27th May: 25 May: Ringing. 23 May: Busy on call, dropped a text. 16 May: Dropped him text. 15 May: Ringing, Dropped a text. 8 May: Ringing, dropped a text.</t>
    </r>
  </si>
  <si>
    <t>Ashwani</t>
  </si>
  <si>
    <t>Awasthi</t>
  </si>
  <si>
    <t>ashwani_awasthi@usha.com</t>
  </si>
  <si>
    <t>HR</t>
  </si>
  <si>
    <t>Usha</t>
  </si>
  <si>
    <t>15 May: He needs 5 Seats in Ludhiana. 9 May: Ringing, dropped a text.</t>
  </si>
  <si>
    <t>Sameer</t>
  </si>
  <si>
    <t>Agarwal</t>
  </si>
  <si>
    <t>info@nirmalsteel.com</t>
  </si>
  <si>
    <t>Managing Partner</t>
  </si>
  <si>
    <t>Nirmal</t>
  </si>
  <si>
    <r>
      <rPr>
        <rFont val="Arial"/>
        <b/>
        <color theme="1"/>
      </rPr>
      <t xml:space="preserve">28th May : Out of Service. </t>
    </r>
    <r>
      <rPr>
        <rFont val="Arial"/>
        <b val="0"/>
        <color theme="1"/>
      </rPr>
      <t>27th May: Ringing. 25 May: Ringing. 23 May: Ringing, dropped a text. 16 May: Dropped a mail. 15 May: Ringing, dropped a text. 12 May: Not Answering the call, dropped him a text and mail</t>
    </r>
  </si>
  <si>
    <t>Nitin</t>
  </si>
  <si>
    <t>Suvarnapathaki</t>
  </si>
  <si>
    <t>info@mdhnano.com</t>
  </si>
  <si>
    <t>MDHnano Green Lifespaces Pvt Ltd</t>
  </si>
  <si>
    <r>
      <rPr>
        <rFont val="Arial"/>
        <b/>
        <color theme="1"/>
      </rPr>
      <t xml:space="preserve">27th May: He needs a 6 Seater meeting room on hourly basis. 25 May: Ringing, dropped a text. </t>
    </r>
    <r>
      <rPr>
        <rFont val="Arial"/>
        <b val="0"/>
        <color theme="1"/>
      </rPr>
      <t>23 May: OS. 16 May: Dropped a mail. 15 May: Busy on Call. 12 May: He has asked me to call him after 3 PM today.</t>
    </r>
  </si>
  <si>
    <t>6 Seater Meeting Room.</t>
  </si>
  <si>
    <t>Rahul</t>
  </si>
  <si>
    <t>Rodrigues</t>
  </si>
  <si>
    <t>admin@edubridgeindia.com</t>
  </si>
  <si>
    <t>General Manager</t>
  </si>
  <si>
    <t>EduBridge Learning Pvt. Ltd</t>
  </si>
  <si>
    <t>12 May: He is looking for a space in Andheri. Shubham is already in touch with him, and his budget is around ₹3,000–₹4,000 per seat.</t>
  </si>
  <si>
    <t>Taraprasad</t>
  </si>
  <si>
    <t>Shukla</t>
  </si>
  <si>
    <t>info@shrikrishnaheartcare.in</t>
  </si>
  <si>
    <t>Shri Kirshna Express</t>
  </si>
  <si>
    <r>
      <rPr>
        <rFont val="Arial"/>
        <b/>
        <color theme="1"/>
      </rPr>
      <t xml:space="preserve">28th May : Out of Service. </t>
    </r>
    <r>
      <rPr>
        <rFont val="Arial"/>
        <b val="0"/>
        <color theme="1"/>
      </rPr>
      <t>27th May: Busy on Call. 25 May: OS, dropped a mail.  23 May: OS. 16 May: Dropped a mail. 15 May: OS. 12 May: OS. Dropped him a text and mail.</t>
    </r>
  </si>
  <si>
    <t>Bhaskar</t>
  </si>
  <si>
    <t>Basam</t>
  </si>
  <si>
    <t>Bhaskar.basam@tenthpin.com</t>
  </si>
  <si>
    <t>SAP FICO Solution Consultant</t>
  </si>
  <si>
    <t>Mahindra Group</t>
  </si>
  <si>
    <t>1 - 20 , 1 Month</t>
  </si>
  <si>
    <t>25 May: Replied to the mail asking for the details and pricing so i have share with him the same. 23 May: Ringing, Dropped a voice note and text. 16 May: Dropped a mail. 15 May: Ringing, Dropped a tex. 14 May: Ringing, Dropped a mail and text. 13 May: Ringing, Dropped a Voice Note</t>
  </si>
  <si>
    <t xml:space="preserve">Ketan </t>
  </si>
  <si>
    <t>Ketan@reddy.co.in</t>
  </si>
  <si>
    <t>Reddy Jewellery</t>
  </si>
  <si>
    <t>1-20 , Immediately</t>
  </si>
  <si>
    <t>13 May: He took a conventional office on lease today at Nariman Point.</t>
  </si>
  <si>
    <t>Priyesh</t>
  </si>
  <si>
    <t>Ganatra</t>
  </si>
  <si>
    <t>priyeshganatra@thecloud9corp.com</t>
  </si>
  <si>
    <t>Cloud9 Beverages</t>
  </si>
  <si>
    <t>1-20, 3 Month</t>
  </si>
  <si>
    <r>
      <rPr>
        <rFont val="Arial"/>
        <b/>
        <color theme="1"/>
      </rPr>
      <t xml:space="preserve">27th May: He don't need an office as of now. </t>
    </r>
    <r>
      <rPr>
        <rFont val="Arial"/>
        <b val="0"/>
        <color theme="1"/>
      </rPr>
      <t>23 May: Ringing, Dropped a text.</t>
    </r>
    <r>
      <rPr>
        <rFont val="Arial"/>
        <b/>
        <color theme="1"/>
      </rPr>
      <t xml:space="preserve"> </t>
    </r>
    <r>
      <rPr>
        <rFont val="Arial"/>
        <b val="0"/>
        <color theme="1"/>
      </rPr>
      <t>16 May: Ringing, Dropped a mail. 15 May: Ringing,dropped a text.</t>
    </r>
  </si>
  <si>
    <t>Harsh</t>
  </si>
  <si>
    <t>harsh@doable.works</t>
  </si>
  <si>
    <t>Doable Works</t>
  </si>
  <si>
    <t>1-20, 1 Month</t>
  </si>
  <si>
    <r>
      <rPr>
        <rFont val="Arial"/>
        <b/>
        <color theme="1"/>
      </rPr>
      <t>20 May: He has a budget of 9000 per seat.</t>
    </r>
    <r>
      <rPr>
        <rFont val="Arial"/>
        <b val="0"/>
        <color theme="1"/>
      </rPr>
      <t xml:space="preserve"> 15 May: He needs 10 Seats + 1 Cabin. His current office is in Charni Road. We can offer him the area between Uniacco and SafeGold in Area 3.</t>
    </r>
  </si>
  <si>
    <t xml:space="preserve">Abhiman </t>
  </si>
  <si>
    <t>Kulkarni</t>
  </si>
  <si>
    <t>hello@houseofpiranesi.com</t>
  </si>
  <si>
    <t>Regional Manager</t>
  </si>
  <si>
    <t>House of Piranesi</t>
  </si>
  <si>
    <r>
      <rPr>
        <rFont val="Arial"/>
        <b/>
        <color theme="1"/>
      </rPr>
      <t xml:space="preserve">28th May: Requirement is not yet active yet. </t>
    </r>
    <r>
      <rPr>
        <rFont val="Arial"/>
        <b val="0"/>
        <color theme="1"/>
      </rPr>
      <t>27th May: Ringing. 23 May: Ringing, Dropped a text. 20 May: Ringing, Dropped a mail. 19 May: Declined the call. 18 May: Ringing.16 May: Ringing, dropped him a text.</t>
    </r>
  </si>
  <si>
    <t>Parag</t>
  </si>
  <si>
    <t>Bhuptani</t>
  </si>
  <si>
    <t>parag@pencilpointdesigns.com</t>
  </si>
  <si>
    <t>PPD</t>
  </si>
  <si>
    <r>
      <rPr>
        <rFont val="Arial"/>
        <b/>
        <color theme="1"/>
      </rPr>
      <t>28th May : Call back in few days.</t>
    </r>
    <r>
      <rPr>
        <rFont val="Arial"/>
        <b val="0"/>
        <color theme="1"/>
      </rPr>
      <t>27th May: Ringing.</t>
    </r>
    <r>
      <rPr>
        <rFont val="Arial"/>
        <b/>
        <color theme="1"/>
      </rPr>
      <t xml:space="preserve"> </t>
    </r>
    <r>
      <rPr>
        <rFont val="Arial"/>
        <b val="0"/>
        <color theme="1"/>
      </rPr>
      <t>25 May: Declined the call, dropped a text and mail.</t>
    </r>
    <r>
      <rPr>
        <rFont val="Arial"/>
        <b/>
        <color theme="1"/>
      </rPr>
      <t xml:space="preserve"> </t>
    </r>
    <r>
      <rPr>
        <rFont val="Arial"/>
        <b val="0"/>
        <color theme="1"/>
      </rPr>
      <t>23 May: Declined the call. 20 May: Dropped a mail. He has a requirement of 5 Seats. 19 May: Ringing. 18 May: Ringing, dropped him a text.</t>
    </r>
  </si>
  <si>
    <t>Manish</t>
  </si>
  <si>
    <t>manish@premade.co.in</t>
  </si>
  <si>
    <t>Premade Innovations Private Limited</t>
  </si>
  <si>
    <t>21-50, 3 month</t>
  </si>
  <si>
    <r>
      <rPr>
        <rFont val="Arial"/>
        <b/>
        <color theme="1"/>
      </rPr>
      <t>28th May: Already took an conventional office in ghatkopar.</t>
    </r>
    <r>
      <rPr>
        <rFont val="Arial"/>
        <b val="0"/>
        <color theme="1"/>
      </rPr>
      <t xml:space="preserve"> 27th May: Ringing. 25 May: Ringing, dropped a mail. 23 May: Ringing, dropped a text. 20 May: Ringing, dropped a mail. 18 May: Ringing, dropped him a text.</t>
    </r>
  </si>
  <si>
    <t>Praveen Kumar</t>
  </si>
  <si>
    <t>Tripathi</t>
  </si>
  <si>
    <t>praveen.tripathi@mnmck</t>
  </si>
  <si>
    <t>Chairman</t>
  </si>
  <si>
    <t>Sagyana Private Limited</t>
  </si>
  <si>
    <r>
      <rPr>
        <rFont val="Arial"/>
        <b/>
        <color rgb="FF000000"/>
      </rPr>
      <t xml:space="preserve"> 28th May: Ringing. 27th May: Ringing. 25 May: Spoke to Pratik they have a requirement of 20 Seats + 1 Cabin + 1 Meeting Room. Shared with him the deatils of the sapce.  23 May: Ringing, dropped a text. 20 May: Dropped a text to Pratik. </t>
    </r>
    <r>
      <rPr>
        <rFont val="Arial"/>
        <b val="0"/>
        <color rgb="FF000000"/>
      </rPr>
      <t>19: He has asked me to call Mr. Pratik from his team but pratik is not answering the call. 18 May: Ringing, dropped him a text.</t>
    </r>
  </si>
  <si>
    <t>10 Seats + Cabin + meeting.</t>
  </si>
  <si>
    <t>Siddharth</t>
  </si>
  <si>
    <t>Ahuja</t>
  </si>
  <si>
    <t>siddharth@1521mp.co</t>
  </si>
  <si>
    <t>1520 Motion Pictures</t>
  </si>
  <si>
    <r>
      <rPr>
        <rFont val="Arial"/>
        <b/>
        <color theme="1"/>
      </rPr>
      <t xml:space="preserve">27th may: His Budget is 50K. </t>
    </r>
    <r>
      <rPr>
        <rFont val="Arial"/>
        <b val="0"/>
        <color theme="1"/>
      </rPr>
      <t>25 May: Shared with him the details of the space on mail as well.</t>
    </r>
    <r>
      <rPr>
        <rFont val="Arial"/>
        <b/>
        <color theme="1"/>
      </rPr>
      <t xml:space="preserve"> </t>
    </r>
    <r>
      <rPr>
        <rFont val="Arial"/>
        <b val="0"/>
        <color theme="1"/>
      </rPr>
      <t>23 May: He needs 6 Seater Cabin and has asked me to share the images of the space. He is currently travelling so he will try to visit in the 2nd week of June21 May: Ringing. 20 May: Ringing, dropped him a text.</t>
    </r>
  </si>
  <si>
    <t>Ghazal</t>
  </si>
  <si>
    <t>ghazal@unfItrd.in</t>
  </si>
  <si>
    <t>Unfltrd</t>
  </si>
  <si>
    <r>
      <rPr>
        <rFont val="Arial"/>
        <b/>
        <color theme="1"/>
      </rPr>
      <t xml:space="preserve">25 May: Tried dropping her a mail but the mail id is invalid. </t>
    </r>
    <r>
      <rPr>
        <rFont val="Arial"/>
        <b val="0"/>
        <color theme="1"/>
      </rPr>
      <t xml:space="preserve">22 May: She declined my call.21 May: She did not mention any requirement but has asked me to share the details of whatever property I have available in Lower Parel. </t>
    </r>
  </si>
  <si>
    <t>Harshini</t>
  </si>
  <si>
    <t>Sunil</t>
  </si>
  <si>
    <t>Ghadge</t>
  </si>
  <si>
    <t>sales@firstbase.co.in</t>
  </si>
  <si>
    <t>First Base Solutions Pvt. Ltd</t>
  </si>
  <si>
    <t>51-100, 3 months</t>
  </si>
  <si>
    <r>
      <rPr>
        <rFont val="Arial"/>
        <b/>
        <color theme="1"/>
      </rPr>
      <t>28th May: Ringing.</t>
    </r>
    <r>
      <rPr>
        <rFont val="Arial"/>
        <b val="0"/>
        <color theme="1"/>
      </rPr>
      <t xml:space="preserve"> 27th May: He is in a meeting and will call me back tomorrow. 23 May: He is just exploring options and has not stated any requirement. Need to call him on monday to get a meeting.</t>
    </r>
  </si>
  <si>
    <t>Roopashri</t>
  </si>
  <si>
    <t>Sinha</t>
  </si>
  <si>
    <t>connect@unicornauthorlab.com</t>
  </si>
  <si>
    <t>Global Mentor</t>
  </si>
  <si>
    <t>Unicorn Author Lab</t>
  </si>
  <si>
    <r>
      <rPr>
        <rFont val="Arial"/>
        <b/>
        <color theme="1"/>
      </rPr>
      <t xml:space="preserve">28th May: 1 seater. </t>
    </r>
    <r>
      <rPr>
        <rFont val="Arial"/>
        <b val="0"/>
        <color theme="1"/>
      </rPr>
      <t>25th Ringing. 23rd May: Ringing.</t>
    </r>
  </si>
  <si>
    <t>Vinay</t>
  </si>
  <si>
    <t>vinay@spaces-india.com</t>
  </si>
  <si>
    <r>
      <rPr>
        <rFont val="Arial"/>
        <b/>
        <color theme="1"/>
      </rPr>
      <t>28th May: 1000sq.ft. He wants me to share the details of the space.</t>
    </r>
    <r>
      <rPr>
        <rFont val="Arial"/>
        <b val="0"/>
        <color theme="1"/>
      </rPr>
      <t xml:space="preserve"> 27th May: Ringing. 25th May: Ringing</t>
    </r>
  </si>
  <si>
    <t xml:space="preserve">Nitin </t>
  </si>
  <si>
    <t>Karkote</t>
  </si>
  <si>
    <t>nitin.karkote@zensomeclothing.com</t>
  </si>
  <si>
    <t>Head Administration</t>
  </si>
  <si>
    <t>Zensome</t>
  </si>
  <si>
    <r>
      <rPr>
        <rFont val="Arial"/>
        <b/>
        <color theme="1"/>
      </rPr>
      <t>29th May: Ringing. 28th May: Declined the call.</t>
    </r>
    <r>
      <rPr>
        <rFont val="Arial"/>
        <b val="0"/>
        <color theme="1"/>
      </rPr>
      <t xml:space="preserve"> 26th May: He need 1 Open W.S. </t>
    </r>
  </si>
  <si>
    <t xml:space="preserve">Milind </t>
  </si>
  <si>
    <t>Parab</t>
  </si>
  <si>
    <t>solar@ceyoneenergy.in</t>
  </si>
  <si>
    <t>Director of Operations</t>
  </si>
  <si>
    <t>Ceyone Energy  India Pvt Ltd</t>
  </si>
  <si>
    <r>
      <rPr>
        <rFont val="Arial"/>
        <b/>
        <color theme="1"/>
      </rPr>
      <t>28th May: OS.</t>
    </r>
    <r>
      <rPr>
        <rFont val="Arial"/>
        <b val="0"/>
        <color theme="1"/>
      </rPr>
      <t xml:space="preserve"> 27th May: Ringing. </t>
    </r>
  </si>
  <si>
    <t>Suzette</t>
  </si>
  <si>
    <t>Denis</t>
  </si>
  <si>
    <t>sales@redrayengineers.com</t>
  </si>
  <si>
    <t>Red Ray Engineers</t>
  </si>
  <si>
    <r>
      <rPr>
        <rFont val="Arial"/>
        <b/>
        <color theme="1"/>
      </rPr>
      <t xml:space="preserve">29th May : Spoke on a text. </t>
    </r>
    <r>
      <rPr>
        <rFont val="Arial"/>
        <b val="0"/>
        <color theme="1"/>
      </rPr>
      <t>28th May: Ringing.</t>
    </r>
  </si>
  <si>
    <t>A</t>
  </si>
  <si>
    <t>Site Invention</t>
  </si>
  <si>
    <t>1-50</t>
  </si>
  <si>
    <t>2 June: He need a space only for 3 month from August.</t>
  </si>
  <si>
    <t>Haneesha</t>
  </si>
  <si>
    <t>Puri</t>
  </si>
  <si>
    <t>haneeshapuri1234@gmail.com</t>
  </si>
  <si>
    <t>Ambest Brandcom</t>
  </si>
  <si>
    <t>&lt;25</t>
  </si>
  <si>
    <t>3 June: She asked me to share the details and images of the available space.</t>
  </si>
  <si>
    <t>Ronit</t>
  </si>
  <si>
    <t>ronit@toonmart.in</t>
  </si>
  <si>
    <t>Mva Healthcare</t>
  </si>
  <si>
    <t>3 June: He wants a space in Marathon Futurex and his requirement is around 500sq.ft. He have asked me to share the details of the available space, he will check it and will keep me posted on it.</t>
  </si>
  <si>
    <t xml:space="preserve">V </t>
  </si>
  <si>
    <t>Gandhi</t>
  </si>
  <si>
    <t>aco@krahejagroup</t>
  </si>
  <si>
    <t>COO</t>
  </si>
  <si>
    <t>KRG</t>
  </si>
  <si>
    <t>3 June: She has asked me to share the details on whatsapp.</t>
  </si>
  <si>
    <t>Uddhav</t>
  </si>
  <si>
    <t>Seth</t>
  </si>
  <si>
    <t>uddhav@softwarehunt.com</t>
  </si>
  <si>
    <t>SoftwareHunt</t>
  </si>
  <si>
    <t xml:space="preserve">3 June: </t>
  </si>
  <si>
    <t xml:space="preserve">Seema </t>
  </si>
  <si>
    <t>Brijesh@ishwarpharma.com</t>
  </si>
  <si>
    <t>Ishwar Pharma</t>
  </si>
  <si>
    <t>1-50 Seats</t>
  </si>
  <si>
    <t>3 June: She did not mentioned any requirement. Asked me to share the details of the property we have available with us.</t>
  </si>
  <si>
    <r>
      <rPr>
        <rFont val="Arial"/>
        <b/>
        <color theme="1"/>
      </rPr>
      <t xml:space="preserve">25 May: Ringing. </t>
    </r>
    <r>
      <rPr>
        <rFont val="Arial"/>
        <b val="0"/>
        <color theme="1"/>
      </rPr>
      <t>23 May: 25 seats requirement. 20 May: Ringing. 16 May: Dropped a followup mail. 13 May: Busy on call. 11 May: Ringing. 8 May: Ringing. 5 May: Ringing. 2 May: Declined the call. 30 April: Ringing.</t>
    </r>
    <r>
      <rPr>
        <rFont val="Arial"/>
        <b/>
        <color theme="1"/>
      </rPr>
      <t xml:space="preserve"> </t>
    </r>
    <r>
      <rPr>
        <rFont val="Arial"/>
        <b val="0"/>
        <color theme="1"/>
      </rPr>
      <t>28 April: Ringing. 27 April: Ringing, Dropped a text. 24 April: Ringing, Dropped a text. 23 April: Ringing, Dropped a text.</t>
    </r>
  </si>
  <si>
    <r>
      <rPr>
        <rFont val="Arial"/>
        <b/>
        <color theme="1"/>
      </rPr>
      <t xml:space="preserve">23 May: He has shared the layout option with his management and will get back to me with the inputs by Wednesday. </t>
    </r>
    <r>
      <rPr>
        <rFont val="Arial"/>
        <color theme="1"/>
      </rPr>
      <t>20 May: Ringing. 15 May: Followup Mail. 11 May: Commercials and Layout will be shared today. 5 May: Need to share the layouts.                                                                                                                                                                             4 May: Visit Done</t>
    </r>
  </si>
  <si>
    <r>
      <rPr>
        <rFont val="Arial"/>
        <b/>
        <color rgb="FF000000"/>
      </rPr>
      <t xml:space="preserve">25 May: Spoke to Pratik they have a requirement of 20 Seats + 1 Cabin + 1 Meeting Room. Shared with him the deatils of the sapce.  23 May: Ringing, dropped a text. 20 May: Dropped a text to Pratik. </t>
    </r>
    <r>
      <rPr>
        <rFont val="Arial"/>
        <b val="0"/>
        <color rgb="FF000000"/>
      </rPr>
      <t>19: He has asked me to call Mr. Pratik from his team but pratik is not answering the call. 18 May: Ringing, dropped him a text.</t>
    </r>
  </si>
  <si>
    <r>
      <rPr>
        <rFont val="Arial"/>
        <b/>
        <color theme="1"/>
      </rPr>
      <t xml:space="preserve">25 May: Shared with him the details of the space on mail as well. </t>
    </r>
    <r>
      <rPr>
        <rFont val="Arial"/>
        <b val="0"/>
        <color theme="1"/>
      </rPr>
      <t>23 May: He needs 6 Seater Cabin and has asked me to share the images of the space. He is currently travelling so he will try to visit in the 2nd week of June21 May: Ringing. 20 May: Ringing, dropped him a text.</t>
    </r>
  </si>
  <si>
    <t>Email Sent</t>
  </si>
  <si>
    <t>Lower Parel</t>
  </si>
  <si>
    <t>Shravni / Saniel</t>
  </si>
  <si>
    <t xml:space="preserve">Sujay </t>
  </si>
  <si>
    <t>sujay@vastuhfc.com</t>
  </si>
  <si>
    <t xml:space="preserve">Head of Strategy </t>
  </si>
  <si>
    <t xml:space="preserve">Vastu Housing Finance Corporation </t>
  </si>
  <si>
    <t>101-200 seats, within 1 month</t>
  </si>
  <si>
    <t>Shravni</t>
  </si>
  <si>
    <t xml:space="preserve">Sonu </t>
  </si>
  <si>
    <t>Kumar</t>
  </si>
  <si>
    <t>sonu79595959@gmail.com</t>
  </si>
  <si>
    <t>Director International Human Resources</t>
  </si>
  <si>
    <t>Not Disclosed</t>
  </si>
  <si>
    <t>&lt;25, within 1 month</t>
  </si>
  <si>
    <t>20 April: Wrong Number</t>
  </si>
  <si>
    <t>Prof. Abhishek</t>
  </si>
  <si>
    <t>Asthana</t>
  </si>
  <si>
    <t>96194 93633</t>
  </si>
  <si>
    <t>abhishek.a@agpcorporation.com</t>
  </si>
  <si>
    <t>AY TASKK CONSULTING LLP</t>
  </si>
  <si>
    <t>&lt;25, within 1-3 months</t>
  </si>
  <si>
    <r>
      <rPr>
        <rFont val="Arial"/>
        <b/>
        <color theme="1"/>
      </rPr>
      <t xml:space="preserve">28th May: Ringing. </t>
    </r>
    <r>
      <rPr>
        <rFont val="Arial"/>
        <b val="0"/>
        <color theme="1"/>
      </rPr>
      <t>23 May: Ringing. 16 May:Ringing, dropped a text. 13: Busy on Call. 11 May: Ringing. 8 May: OS. 6 May: Ringing, dropped him a text.</t>
    </r>
    <r>
      <rPr>
        <rFont val="Arial"/>
        <b/>
        <color theme="1"/>
      </rPr>
      <t xml:space="preserve"> </t>
    </r>
    <r>
      <rPr>
        <rFont val="Arial"/>
        <b val="0"/>
        <color theme="1"/>
      </rPr>
      <t>5 May: Ringing.</t>
    </r>
    <r>
      <rPr>
        <rFont val="Arial"/>
        <b/>
        <color theme="1"/>
      </rPr>
      <t xml:space="preserve"> </t>
    </r>
    <r>
      <rPr>
        <rFont val="Arial"/>
        <b val="0"/>
        <color theme="1"/>
      </rPr>
      <t xml:space="preserve">2 May: Ringing, dropped a text. 30 April: Ringing, Dropped a text. 28 April: Ringing, Dropped a text. 27 April: Ringing. 26 April: He need 250 sq.ft Cabin and might visit on Wednesday. </t>
    </r>
  </si>
  <si>
    <t>Vishal</t>
  </si>
  <si>
    <t>Goria</t>
  </si>
  <si>
    <t>97697 24550</t>
  </si>
  <si>
    <t>vishal@ignitus.com</t>
  </si>
  <si>
    <t>Global IT Service Desk Head</t>
  </si>
  <si>
    <t>Ignitus Limited</t>
  </si>
  <si>
    <r>
      <rPr>
        <rFont val="Arial"/>
        <b/>
        <color theme="1"/>
      </rPr>
      <t xml:space="preserve">5 May: He is going ahead with a conventional office.                                                </t>
    </r>
    <r>
      <rPr>
        <rFont val="Arial"/>
        <b val="0"/>
        <color theme="1"/>
      </rPr>
      <t xml:space="preserve"> 2 May: Busy on Call, dropped a text.</t>
    </r>
    <r>
      <rPr>
        <rFont val="Arial"/>
        <b/>
        <color theme="1"/>
      </rPr>
      <t xml:space="preserve"> </t>
    </r>
    <r>
      <rPr>
        <rFont val="Arial"/>
        <b val="0"/>
        <color theme="1"/>
      </rPr>
      <t>30 April: He needs 15 Seater Cabin and the operations will be 24x7. 28 April: Ringing. 27 April: He is busy with something and asked me to call after 1 hour.</t>
    </r>
  </si>
  <si>
    <t xml:space="preserve">Shreya </t>
  </si>
  <si>
    <t>Mody</t>
  </si>
  <si>
    <t>98922 46106</t>
  </si>
  <si>
    <t>shreya@matrixrecon.com</t>
  </si>
  <si>
    <t>Founder | Director</t>
  </si>
  <si>
    <t>Block Pilot</t>
  </si>
  <si>
    <r>
      <rPr>
        <rFont val="Arial"/>
        <b/>
        <color theme="1"/>
      </rPr>
      <t xml:space="preserve">6 May: She is looking for 5 seats at 5k per seat. </t>
    </r>
    <r>
      <rPr>
        <rFont val="Arial"/>
        <b val="0"/>
        <color theme="1"/>
      </rPr>
      <t>5 May: Declined the call.</t>
    </r>
    <r>
      <rPr>
        <rFont val="Arial"/>
        <b/>
        <color theme="1"/>
      </rPr>
      <t xml:space="preserve"> </t>
    </r>
    <r>
      <rPr>
        <rFont val="Arial"/>
        <b val="0"/>
        <color theme="1"/>
      </rPr>
      <t>2 May: OS.</t>
    </r>
    <r>
      <rPr>
        <rFont val="Arial"/>
        <b/>
        <color theme="1"/>
      </rPr>
      <t xml:space="preserve"> </t>
    </r>
    <r>
      <rPr>
        <rFont val="Arial"/>
        <b val="0"/>
        <color theme="1"/>
      </rPr>
      <t xml:space="preserve">30 April: Declined the call.                    </t>
    </r>
    <r>
      <rPr>
        <rFont val="Arial"/>
        <b/>
        <color theme="1"/>
      </rPr>
      <t xml:space="preserve">                                                                                           </t>
    </r>
    <r>
      <rPr>
        <rFont val="Arial"/>
        <b val="0"/>
        <color theme="1"/>
      </rPr>
      <t>28 April: Ringing. 27 April: O.S</t>
    </r>
  </si>
  <si>
    <t>Kubadia</t>
  </si>
  <si>
    <t xml:space="preserve"> 98211 61236</t>
  </si>
  <si>
    <t>rahul.kubadia@primeleaf.in</t>
  </si>
  <si>
    <t>Director &amp; Chief Software Architect</t>
  </si>
  <si>
    <t>Primeleaf Consulting (P) Ltd</t>
  </si>
  <si>
    <t>&lt;25, 3-6 months</t>
  </si>
  <si>
    <t xml:space="preserve">28 April: He needs a office on outright basis. </t>
  </si>
  <si>
    <t xml:space="preserve">Pradeep </t>
  </si>
  <si>
    <t>pradeep@imageomedia.com</t>
  </si>
  <si>
    <t>Imageo Media LLP</t>
  </si>
  <si>
    <r>
      <rPr>
        <rFont val="Arial"/>
        <b/>
        <color theme="1"/>
      </rPr>
      <t>23 May: He is travelling and has asked to call post 15 days.</t>
    </r>
    <r>
      <rPr>
        <rFont val="Arial"/>
        <b val="0"/>
        <color theme="1"/>
      </rPr>
      <t xml:space="preserve"> 16 May: Ringing, dropped a text.</t>
    </r>
    <r>
      <rPr>
        <rFont val="Arial"/>
        <b/>
        <color theme="1"/>
      </rPr>
      <t xml:space="preserve"> </t>
    </r>
    <r>
      <rPr>
        <rFont val="Arial"/>
        <b val="0"/>
        <color theme="1"/>
      </rPr>
      <t>13 May: Declined the call. 11 May: Busy on call. 8 May: He need some time to discuss with his team. 6 May: Ringing, dropped a text. 5 May: Ringing, dropped a text. 4 May: Ringing, Dropped a text.</t>
    </r>
    <r>
      <rPr>
        <rFont val="Arial"/>
        <b/>
        <color theme="1"/>
      </rPr>
      <t xml:space="preserve"> </t>
    </r>
    <r>
      <rPr>
        <rFont val="Arial"/>
        <b val="0"/>
        <color theme="1"/>
      </rPr>
      <t>2 May: Followup msg regarding his visit on Tuesday and Wednesday. 30 April: he will try to visit on Tuesday or Wednesday. 28 April: Spoke to Pradeep regarding his requirement for a 3-seater cabin. Shared images of the space with him; he will review and get back.</t>
    </r>
  </si>
  <si>
    <t>Suresh</t>
  </si>
  <si>
    <t>Kewalramani</t>
  </si>
  <si>
    <t>98200 58567</t>
  </si>
  <si>
    <t>suresh@gips.co.in</t>
  </si>
  <si>
    <t>GIPS Management &amp; Personnel Consultants</t>
  </si>
  <si>
    <r>
      <rPr>
        <rFont val="Arial"/>
        <b/>
        <color theme="1"/>
      </rPr>
      <t>16 May: The client informed us that his son, who is the decision maker for this office requirement, is currently out of station and will return after 10 days. He has requested us to reconnect once his son is back.</t>
    </r>
    <r>
      <rPr>
        <rFont val="Arial"/>
        <b val="0"/>
        <color theme="1"/>
      </rPr>
      <t>13 May: Busy on call. 11 May: Dropped a text. 8 May: Ringing. 6 May: He is in a meeting and will get back to me in a while. 5 May: Shared layout with him on mail. 4 May: Share with him the layout. 2 May: He wants layout. 29 April: 6 workstations + 1 cabin + 1 conference room (8–10 seats).</t>
    </r>
  </si>
  <si>
    <t xml:space="preserve">Amit </t>
  </si>
  <si>
    <t>99678 13782</t>
  </si>
  <si>
    <t>Admin@icapitalacademy.com</t>
  </si>
  <si>
    <t>Designated Partner</t>
  </si>
  <si>
    <t>ICAPITAL Academy and Corporate Advisory LLP</t>
  </si>
  <si>
    <r>
      <rPr>
        <rFont val="Arial"/>
        <b/>
        <color theme="1"/>
      </rPr>
      <t xml:space="preserve">28th May : He will get back on 8th june. </t>
    </r>
    <r>
      <rPr>
        <rFont val="Arial"/>
        <b val="0"/>
        <color theme="1"/>
      </rPr>
      <t xml:space="preserve">23 May: Call on Monday. 16 May: He is currently out of station and will get back to me once he is back.  13 May: Dropped a text. 11 May: Ringing. 8 May: Declined the call. 6 May: Dropped a text asking for his visit plans for this week. 5 May: Ringing, dropped a text.    </t>
    </r>
    <r>
      <rPr>
        <rFont val="Arial"/>
        <b/>
        <color theme="1"/>
      </rPr>
      <t xml:space="preserve">                                                                              </t>
    </r>
    <r>
      <rPr>
        <rFont val="Arial"/>
        <b val="0"/>
        <color theme="1"/>
      </rPr>
      <t>2 May: Ringing, Dropped a text.</t>
    </r>
    <r>
      <rPr>
        <rFont val="Arial"/>
        <b/>
        <color theme="1"/>
      </rPr>
      <t xml:space="preserve"> </t>
    </r>
    <r>
      <rPr>
        <rFont val="Arial"/>
        <b val="0"/>
        <color theme="1"/>
      </rPr>
      <t>29 April: Amit needs 3 to 4 open workstations. Need to share images and details on WhatsApp</t>
    </r>
    <r>
      <rPr>
        <rFont val="Arial"/>
        <b/>
        <color theme="1"/>
      </rPr>
      <t xml:space="preserve">
</t>
    </r>
  </si>
  <si>
    <t>sa@kennis.in</t>
  </si>
  <si>
    <t>Kennis Ventures Pvt Ltd</t>
  </si>
  <si>
    <t>&lt;25, immediate</t>
  </si>
  <si>
    <r>
      <rPr>
        <rFont val="Arial"/>
        <b/>
        <color theme="1"/>
      </rPr>
      <t xml:space="preserve">6 May: He has finalised a coventional office in Goregaon because his budget is below 10k a seat. </t>
    </r>
    <r>
      <rPr>
        <rFont val="Arial"/>
        <color theme="1"/>
      </rPr>
      <t>5 May: Ringing, dropped a text. 2 May: His current office is in Goregaon. He needs 25 Seats + 2 Cabin. 1 May: Asked me to call tomorrow.</t>
    </r>
  </si>
  <si>
    <t>Chaudhari</t>
  </si>
  <si>
    <t>manish.c@dousefire.com</t>
  </si>
  <si>
    <t xml:space="preserve">Business Head </t>
  </si>
  <si>
    <t>Innovatus Engineering Solutions</t>
  </si>
  <si>
    <r>
      <rPr>
        <rFont val="Arial"/>
        <b/>
        <color theme="1"/>
      </rPr>
      <t xml:space="preserve">6 May: He need a 3 seater cabin. He is interested in locations like Thane and Navi Mumbai. </t>
    </r>
    <r>
      <rPr>
        <rFont val="Arial"/>
        <b val="0"/>
        <color theme="1"/>
      </rPr>
      <t>5 May: Ringing Dropped a text.</t>
    </r>
  </si>
  <si>
    <r>
      <rPr>
        <rFont val="Arial"/>
        <b/>
        <color theme="1"/>
      </rPr>
      <t xml:space="preserve">5th May: He has finalised another office and he will get back to me if he needs any offive n Future. </t>
    </r>
    <r>
      <rPr>
        <rFont val="Arial"/>
        <color theme="1"/>
      </rPr>
      <t>3 May: Ringing. 2 May: He have asked me to share the details. 1 May: Have asked me to call tomo at 10am</t>
    </r>
  </si>
  <si>
    <t>Handled By</t>
  </si>
  <si>
    <t xml:space="preserve">Kalyan </t>
  </si>
  <si>
    <t xml:space="preserve">Shubham </t>
  </si>
  <si>
    <t xml:space="preserve">Kutty </t>
  </si>
  <si>
    <t>kutty@primemepprojects.com</t>
  </si>
  <si>
    <t>VP</t>
  </si>
  <si>
    <t>Prime MEP</t>
  </si>
  <si>
    <t xml:space="preserve">20 seats, 2 cabins </t>
  </si>
  <si>
    <r>
      <rPr>
        <rFont val="Arial"/>
        <b/>
        <color rgb="FF000000"/>
      </rPr>
      <t xml:space="preserve">11 June: Spoke he said he is not in Mumbai yet and will come in Next week touch base then </t>
    </r>
    <r>
      <rPr>
        <rFont val="Arial"/>
        <b val="0"/>
        <color rgb="FF000000"/>
      </rPr>
      <t>08 June: Ringing, Dropped a text 04 June: Ringing, dropped a text 01 June: Spoke for a follow up on visit he said curently travelling and will come on next week Tuesday will visit then 30 May: Spoke and shared the details he said he is busy drop a message, he will check with the team and revert</t>
    </r>
  </si>
  <si>
    <t xml:space="preserve">Not responsive </t>
  </si>
  <si>
    <t xml:space="preserve">Darshan </t>
  </si>
  <si>
    <t xml:space="preserve">Kadam </t>
  </si>
  <si>
    <t>darshan@dkholdings.in</t>
  </si>
  <si>
    <t xml:space="preserve">DK holdings </t>
  </si>
  <si>
    <r>
      <rPr>
        <rFont val="Arial"/>
        <b/>
        <color rgb="FF000000"/>
      </rPr>
      <t xml:space="preserve">04 June: Ringing, dropped a text  </t>
    </r>
    <r>
      <rPr>
        <rFont val="Arial"/>
        <b val="0"/>
        <color rgb="FF000000"/>
      </rPr>
      <t>01 June: Disconnected the call, dropped a text</t>
    </r>
    <r>
      <rPr>
        <rFont val="Arial"/>
        <b/>
        <color rgb="FF000000"/>
      </rPr>
      <t xml:space="preserve">  </t>
    </r>
    <r>
      <rPr>
        <rFont val="Arial"/>
        <b val="0"/>
        <color rgb="FF000000"/>
      </rPr>
      <t>30 May: Ringing, Dropped a text</t>
    </r>
    <r>
      <rPr>
        <rFont val="Arial"/>
        <b/>
        <color rgb="FF000000"/>
      </rPr>
      <t xml:space="preserve"> </t>
    </r>
  </si>
  <si>
    <t xml:space="preserve">Gaurav </t>
  </si>
  <si>
    <t xml:space="preserve">Hire </t>
  </si>
  <si>
    <t>info@aquaenfinity.com</t>
  </si>
  <si>
    <t xml:space="preserve">Director </t>
  </si>
  <si>
    <t>Aqua Enfinity Tech pvt ltd</t>
  </si>
  <si>
    <r>
      <rPr>
        <rFont val="Arial"/>
        <b/>
        <color rgb="FF000000"/>
      </rPr>
      <t xml:space="preserve">11 June: switch off, dropped a text </t>
    </r>
    <r>
      <rPr>
        <rFont val="Arial"/>
        <b val="0"/>
        <color rgb="FF000000"/>
      </rPr>
      <t>08 June: Ringing, Dropped a text 04 June: Ringing, dropped a text</t>
    </r>
    <r>
      <rPr>
        <rFont val="Arial"/>
        <b/>
        <color rgb="FF000000"/>
      </rPr>
      <t xml:space="preserve"> </t>
    </r>
    <r>
      <rPr>
        <rFont val="Arial"/>
        <b val="0"/>
        <color rgb="FF000000"/>
      </rPr>
      <t>01 June: Spoke he said the requirement is not yet decided internally like how many seats, he said share the basic details and he will discuss this internally and get back</t>
    </r>
    <r>
      <rPr>
        <rFont val="Arial"/>
        <b/>
        <color rgb="FF000000"/>
      </rPr>
      <t xml:space="preserve"> </t>
    </r>
    <r>
      <rPr>
        <rFont val="Arial"/>
        <b val="0"/>
        <color rgb="FF000000"/>
      </rPr>
      <t>30 May: Ringing, Dropped a text</t>
    </r>
    <r>
      <rPr>
        <rFont val="Arial"/>
        <b/>
        <color rgb="FF000000"/>
      </rPr>
      <t xml:space="preserve"> </t>
    </r>
  </si>
  <si>
    <t xml:space="preserve">Vikas </t>
  </si>
  <si>
    <t xml:space="preserve">Jeshnani </t>
  </si>
  <si>
    <t>vikasjeshnani@mymoneykarma.com</t>
  </si>
  <si>
    <t xml:space="preserve">VP </t>
  </si>
  <si>
    <t xml:space="preserve">My Money karma </t>
  </si>
  <si>
    <r>
      <rPr>
        <rFont val="Arial"/>
        <b/>
        <color rgb="FF000000"/>
      </rPr>
      <t xml:space="preserve">11 June: Ringing, Dropped a text he called back saying share details needs 4 seats in Kalyan Discuss this  </t>
    </r>
    <r>
      <rPr>
        <rFont val="Arial"/>
        <b val="0"/>
        <color rgb="FF000000"/>
      </rPr>
      <t>08 June: Both are ringing, dropped a text 04 June: Called Rabi he said he is travelling and call back</t>
    </r>
    <r>
      <rPr>
        <rFont val="Arial"/>
        <b/>
        <color rgb="FF000000"/>
      </rPr>
      <t xml:space="preserve"> </t>
    </r>
    <r>
      <rPr>
        <rFont val="Arial"/>
        <b val="0"/>
        <color rgb="FF000000"/>
      </rPr>
      <t>01 June: He has shared the number of his Admin guy (Rabi) Spoke to him he said he is busy and will connect by EOD today</t>
    </r>
    <r>
      <rPr>
        <rFont val="Arial"/>
        <b/>
        <color rgb="FF000000"/>
      </rPr>
      <t xml:space="preserve"> </t>
    </r>
    <r>
      <rPr>
        <rFont val="Arial"/>
        <b val="0"/>
        <color rgb="FF000000"/>
      </rPr>
      <t xml:space="preserve">30 May: Spoke he said he will connect me with the relevant person, they only want 2-3 seats </t>
    </r>
  </si>
  <si>
    <t xml:space="preserve">Ankit </t>
  </si>
  <si>
    <t>Tiwari</t>
  </si>
  <si>
    <t>hr@sofitvas.com</t>
  </si>
  <si>
    <t>Sofitvas</t>
  </si>
  <si>
    <r>
      <rPr>
        <rFont val="Arial"/>
        <b/>
        <color rgb="FF000000"/>
      </rPr>
      <t xml:space="preserve">11 June: Spoke he said there is no requirement stop calling and disconnected </t>
    </r>
    <r>
      <rPr>
        <rFont val="Arial"/>
        <b val="0"/>
        <color rgb="FF000000"/>
      </rPr>
      <t>08 June: Ringing, Dropped a text 04 June: Ringing, dropped a text 01 June: Ringing, dropped a text</t>
    </r>
    <r>
      <rPr>
        <rFont val="Arial"/>
        <b/>
        <color rgb="FF000000"/>
      </rPr>
      <t xml:space="preserve"> </t>
    </r>
    <r>
      <rPr>
        <rFont val="Arial"/>
        <b val="0"/>
        <color rgb="FF000000"/>
      </rPr>
      <t>30 May: Ringing, Dropped a text</t>
    </r>
    <r>
      <rPr>
        <rFont val="Arial"/>
        <b/>
        <color rgb="FF000000"/>
      </rPr>
      <t xml:space="preserve"> </t>
    </r>
  </si>
  <si>
    <t xml:space="preserve">Yusuf </t>
  </si>
  <si>
    <t>Sayed</t>
  </si>
  <si>
    <t>yusuf@nextusglobalservices.com</t>
  </si>
  <si>
    <t>Nextus Global Services Pt Ltd</t>
  </si>
  <si>
    <t>75-100</t>
  </si>
  <si>
    <r>
      <rPr>
        <rFont val="Arial"/>
        <b/>
        <color rgb="FF000000"/>
      </rPr>
      <t xml:space="preserve">11 June: Ringing, Dropped a text </t>
    </r>
    <r>
      <rPr>
        <rFont val="Arial"/>
        <b val="0"/>
        <color rgb="FF000000"/>
      </rPr>
      <t xml:space="preserve">08 June: Ringing, Dropped a text 04 June: Ringing, dropped a text 01 June: Ringing, dropped a text 30 May: Ringing, Dropped a text </t>
    </r>
  </si>
  <si>
    <t xml:space="preserve">Sudhir </t>
  </si>
  <si>
    <t>Tathe</t>
  </si>
  <si>
    <t>sudhir.tathe@dmcfs.in</t>
  </si>
  <si>
    <t>Admin</t>
  </si>
  <si>
    <t>Nakshatra Skill Development Pvt Ltd</t>
  </si>
  <si>
    <t>51-75</t>
  </si>
  <si>
    <r>
      <rPr>
        <rFont val="Arial"/>
        <b/>
        <color rgb="FF000000"/>
      </rPr>
      <t xml:space="preserve">11 June: Spoke, he said there is no internal approval from the management yet and he said he will update opfront </t>
    </r>
    <r>
      <rPr>
        <rFont val="Arial"/>
        <b val="0"/>
        <color rgb="FF000000"/>
      </rPr>
      <t>08 June: Ringing, Dropped a text 04 June: Spoke he said he has shared the details ahead in the management no revert yet rom them, he will reach out once he get update</t>
    </r>
    <r>
      <rPr>
        <rFont val="Arial"/>
        <b/>
        <color rgb="FF000000"/>
      </rPr>
      <t xml:space="preserve"> </t>
    </r>
    <r>
      <rPr>
        <rFont val="Arial"/>
        <b val="0"/>
        <color rgb="FF000000"/>
      </rPr>
      <t xml:space="preserve">01 June: Spoke he said currently busy in some personal work asked me to connect tomorrow 30 May: Spoke, He has a 50 w.s requirement and he looking for space but the move-in timeline is after 3 months currently exploring. Current office space is of 25 seats in Kadakpada </t>
    </r>
  </si>
  <si>
    <t xml:space="preserve">Sunil </t>
  </si>
  <si>
    <t xml:space="preserve">Nair </t>
  </si>
  <si>
    <t>info@multitekrobotics.com</t>
  </si>
  <si>
    <t>Self emloyeed</t>
  </si>
  <si>
    <r>
      <rPr>
        <rFont val="Arial"/>
        <b/>
        <color rgb="FF000000"/>
      </rPr>
      <t xml:space="preserve">11 June: Ringing, Dropped a text </t>
    </r>
    <r>
      <rPr>
        <rFont val="Arial"/>
        <b val="0"/>
        <color rgb="FF000000"/>
      </rPr>
      <t>08 June: Ringing, Dropped a text 04 June: Ringing, dropped a text he replied saying out of station as of now</t>
    </r>
    <r>
      <rPr>
        <rFont val="Arial"/>
        <b/>
        <color rgb="FF000000"/>
      </rPr>
      <t xml:space="preserve"> </t>
    </r>
    <r>
      <rPr>
        <rFont val="Arial"/>
        <b val="0"/>
        <color rgb="FF000000"/>
      </rPr>
      <t xml:space="preserve">01 June: Spoke he said they have a requirement of almost 10-15 seats, his current office is in Kalyan East, near to station of baout 900 sqft and he is paying for a furnished space of Rs. 30,000 per month. He said share the details he will check and let us know. Shared the layout as well. </t>
    </r>
  </si>
  <si>
    <t xml:space="preserve">Animesh </t>
  </si>
  <si>
    <t xml:space="preserve">Pandey </t>
  </si>
  <si>
    <t>info@nextgen-lead-network.com</t>
  </si>
  <si>
    <t>NEXTGENLEADNETWORK</t>
  </si>
  <si>
    <r>
      <rPr>
        <rFont val="Arial"/>
        <b/>
        <color rgb="FF000000"/>
      </rPr>
      <t xml:space="preserve">02 June: He visited the space its a BPO They want 15 w.s around 4-5k budget he said he will get back in the evening. He called back saying he wants Desktop setup as well in 5k Budget and they will only work night shift. Discuss this </t>
    </r>
    <r>
      <rPr>
        <rFont val="Arial"/>
        <b val="0"/>
        <color rgb="FF000000"/>
      </rPr>
      <t xml:space="preserve">01 June: Switch off, dropped a text, He recalled me saying he needs 15 seats and wants to see the space tomorrow and close within this week </t>
    </r>
  </si>
  <si>
    <t xml:space="preserve">Chinmay </t>
  </si>
  <si>
    <t xml:space="preserve">Kulkarni </t>
  </si>
  <si>
    <t>chinmay@eventsaayojan.com</t>
  </si>
  <si>
    <t xml:space="preserve">Proprietor </t>
  </si>
  <si>
    <t xml:space="preserve">Ayojan Events </t>
  </si>
  <si>
    <r>
      <rPr>
        <rFont val="Arial"/>
        <b/>
        <color rgb="FF000000"/>
      </rPr>
      <t xml:space="preserve">04 June: Ringing, Dropped a text he called back saying the requirement is fullfilled </t>
    </r>
    <r>
      <rPr>
        <rFont val="Arial"/>
        <b val="0"/>
        <color rgb="FF000000"/>
      </rPr>
      <t xml:space="preserve">01 June: Ringing, Dropped a text </t>
    </r>
  </si>
  <si>
    <t xml:space="preserve">Dinesh </t>
  </si>
  <si>
    <t>dinesh@elixirtech.com</t>
  </si>
  <si>
    <t>Senior BD</t>
  </si>
  <si>
    <t>ECOX</t>
  </si>
  <si>
    <t xml:space="preserve">01 June: Spoke he said the team has hold the requirement as of now and disconnected the call, I will drop a text and stay in touch for future requirement </t>
  </si>
  <si>
    <t xml:space="preserve">Tibe </t>
  </si>
  <si>
    <t>connect@tibeallianz.com</t>
  </si>
  <si>
    <t>Tibe Allianz PVT LTD</t>
  </si>
  <si>
    <r>
      <rPr>
        <rFont val="Arial"/>
        <b/>
        <color rgb="FF000000"/>
      </rPr>
      <t xml:space="preserve">11 June: Ringing, Dropped a text </t>
    </r>
    <r>
      <rPr>
        <rFont val="Arial"/>
        <b val="0"/>
        <color rgb="FF000000"/>
      </rPr>
      <t>08 June: Ringing, Dropped a text 04 June: Ringing, dropped a text</t>
    </r>
    <r>
      <rPr>
        <rFont val="Arial"/>
        <b/>
        <color rgb="FF000000"/>
      </rPr>
      <t xml:space="preserve"> </t>
    </r>
    <r>
      <rPr>
        <rFont val="Arial"/>
        <b val="0"/>
        <color rgb="FF000000"/>
      </rPr>
      <t xml:space="preserve">01 June: Ringing, Dropped a text </t>
    </r>
  </si>
  <si>
    <t xml:space="preserve">Kedar </t>
  </si>
  <si>
    <t xml:space="preserve">Chavan </t>
  </si>
  <si>
    <t>kchavan@marcommagency.com</t>
  </si>
  <si>
    <t>owner</t>
  </si>
  <si>
    <t xml:space="preserve">Marcomm Agency </t>
  </si>
  <si>
    <r>
      <rPr>
        <rFont val="Arial"/>
        <b/>
        <color rgb="FF000000"/>
      </rPr>
      <t xml:space="preserve">11 June: Spoke, he said he is looking for 2-4 seats not in Bail bazaar but in Khadakpada only. Discuss this </t>
    </r>
    <r>
      <rPr>
        <rFont val="Arial"/>
        <b val="0"/>
        <color rgb="FF000000"/>
      </rPr>
      <t xml:space="preserve">08 June: Ringing, Dropped a text 04 June: Ringing, Dropped a voice note and text on WP  01 June: Ringing, Dropped a text and voice note </t>
    </r>
  </si>
  <si>
    <t xml:space="preserve">Nabil </t>
  </si>
  <si>
    <t xml:space="preserve">Tade </t>
  </si>
  <si>
    <t>nabi@tabe.com</t>
  </si>
  <si>
    <t xml:space="preserve">Ceo </t>
  </si>
  <si>
    <t>Tade and brothers</t>
  </si>
  <si>
    <r>
      <rPr>
        <rFont val="Arial"/>
        <b/>
        <color rgb="FF000000"/>
      </rPr>
      <t xml:space="preserve">04 June: Spoke he said he has not put any inquiry and dont want any space </t>
    </r>
    <r>
      <rPr>
        <rFont val="Arial"/>
        <b val="0"/>
        <color rgb="FF000000"/>
      </rPr>
      <t>01 June: Ringing, Dropped a text</t>
    </r>
    <r>
      <rPr>
        <rFont val="Arial"/>
        <b/>
        <color rgb="FF000000"/>
      </rPr>
      <t xml:space="preserve"> </t>
    </r>
  </si>
  <si>
    <t xml:space="preserve">Anup </t>
  </si>
  <si>
    <t xml:space="preserve">Kumar </t>
  </si>
  <si>
    <t>abc@in.com</t>
  </si>
  <si>
    <t>A T Sales</t>
  </si>
  <si>
    <t>10 max</t>
  </si>
  <si>
    <r>
      <rPr>
        <rFont val="Arial"/>
        <b/>
        <color rgb="FF000000"/>
      </rPr>
      <t xml:space="preserve">04 June: Ringing, Dropped a text </t>
    </r>
    <r>
      <rPr>
        <rFont val="Arial"/>
        <b val="0"/>
        <color rgb="FF000000"/>
      </rPr>
      <t xml:space="preserve">01 June: Spoke he has a requirement of 10 seats in kalyan. Its a startup and dont want to share the space with anyone and wants a separate office with separate washrooms only. Budget is Rs. 25,000. Discuss this internally </t>
    </r>
  </si>
  <si>
    <t xml:space="preserve">Prasad </t>
  </si>
  <si>
    <t>Mudhokar</t>
  </si>
  <si>
    <t>mudholkar.prasad@qbs.co.in</t>
  </si>
  <si>
    <t>Quantum Marketing services</t>
  </si>
  <si>
    <r>
      <rPr>
        <rFont val="Arial"/>
        <b/>
        <color rgb="FF000000"/>
      </rPr>
      <t xml:space="preserve">11 June: Ringing, Dropped a text </t>
    </r>
    <r>
      <rPr>
        <rFont val="Arial"/>
        <b val="0"/>
        <color rgb="FF000000"/>
      </rPr>
      <t xml:space="preserve">08 June: Ringing, Dropped a text 04 June: Ringing, Dropped a text 01 June: Ringing, Dropped a text </t>
    </r>
  </si>
  <si>
    <t xml:space="preserve">AmitKumar </t>
  </si>
  <si>
    <t xml:space="preserve">Verma </t>
  </si>
  <si>
    <t>amitkumar.verma@atozjobs.in</t>
  </si>
  <si>
    <t>ATOZ</t>
  </si>
  <si>
    <r>
      <rPr>
        <rFont val="Arial"/>
        <b/>
        <color rgb="FF000000"/>
      </rPr>
      <t xml:space="preserve">11 June: Ringing, Dropped a text </t>
    </r>
    <r>
      <rPr>
        <rFont val="Arial"/>
        <b val="0"/>
        <color rgb="FF000000"/>
      </rPr>
      <t xml:space="preserve">08 June: Tried calling, didn't answer my call 04 June: Spoke he has a 5-6 seater requirement and currently operating from a residential space. Shared the details with him 01 June: Ringing, Dropped a text </t>
    </r>
  </si>
  <si>
    <t xml:space="preserve">Durgesh </t>
  </si>
  <si>
    <t xml:space="preserve">Singh </t>
  </si>
  <si>
    <t>info@holidaysassit.in</t>
  </si>
  <si>
    <t>Holidaysassist</t>
  </si>
  <si>
    <t>4-5 seats</t>
  </si>
  <si>
    <r>
      <rPr>
        <rFont val="Arial"/>
        <b/>
        <color rgb="FF000000"/>
      </rPr>
      <t xml:space="preserve">11 June: Ringing, Dropped a text  </t>
    </r>
    <r>
      <rPr>
        <rFont val="Arial"/>
        <b val="0"/>
        <color rgb="FF000000"/>
      </rPr>
      <t xml:space="preserve">08 June: Ringing, Dropped a text 04 June: Spoke he said I have shared the details with my management but there is no reply yet he will follow up and get back 02 June: Spoke he said he needs 4-5 seats only and asked me to share the details discuss this internally 01 June: Ringing, Dropped a text, He replied saying He will call in sometime </t>
    </r>
  </si>
  <si>
    <t xml:space="preserve">Inventory </t>
  </si>
  <si>
    <t xml:space="preserve">Andheri </t>
  </si>
  <si>
    <t>Other Andheri Properties</t>
  </si>
  <si>
    <t xml:space="preserve">Perbjyot </t>
  </si>
  <si>
    <t>perbjyot@ifiber.in</t>
  </si>
  <si>
    <t>Founder and Managing Director</t>
  </si>
  <si>
    <t>INNOVATIVE FIBER SOLUTION PVT LTD</t>
  </si>
  <si>
    <t xml:space="preserve">50 w.s, 2-3 Cabins and 1 conference room </t>
  </si>
  <si>
    <r>
      <rPr>
        <rFont val="Arial"/>
        <b/>
        <color rgb="FF000000"/>
      </rPr>
      <t xml:space="preserve">23 May: Spoke for a follow up he said he cannot go beyond 5 lakhs. Discussed this with the team we cannot go with this budget </t>
    </r>
    <r>
      <rPr>
        <rFont val="Arial"/>
        <b val="0"/>
        <color rgb="FF000000"/>
      </rPr>
      <t>22 May: Ringing, dropped a text</t>
    </r>
    <r>
      <rPr>
        <rFont val="Arial"/>
        <b/>
        <color rgb="FF000000"/>
      </rPr>
      <t xml:space="preserve"> </t>
    </r>
    <r>
      <rPr>
        <rFont val="Arial"/>
        <b val="0"/>
        <color rgb="FF000000"/>
      </rPr>
      <t>12 May: Disconnected the call, dropped a text 11 May: Ringing, Droppe a text</t>
    </r>
    <r>
      <rPr>
        <rFont val="Arial"/>
        <b/>
        <color rgb="FF000000"/>
      </rPr>
      <t xml:space="preserve"> </t>
    </r>
    <r>
      <rPr>
        <rFont val="Arial"/>
        <b val="0"/>
        <color rgb="FF000000"/>
      </rPr>
      <t>07 May: Disconnected my call, Dropped a text</t>
    </r>
    <r>
      <rPr>
        <rFont val="Arial"/>
        <b/>
        <color rgb="FF000000"/>
      </rPr>
      <t xml:space="preserve"> </t>
    </r>
    <r>
      <rPr>
        <rFont val="Arial"/>
        <b val="0"/>
        <color rgb="FF000000"/>
      </rPr>
      <t>05 May: Tried Calling he didn't Answer, I have dropped a Msg over whatsapp</t>
    </r>
    <r>
      <rPr>
        <rFont val="Arial"/>
        <b/>
        <color rgb="FF000000"/>
      </rPr>
      <t xml:space="preserve"> </t>
    </r>
    <r>
      <rPr>
        <rFont val="Arial"/>
        <b val="0"/>
        <color rgb="FF000000"/>
      </rPr>
      <t>04 May: Spoke. He said He will share his counter over mail</t>
    </r>
    <r>
      <rPr>
        <rFont val="Arial"/>
        <b/>
        <color rgb="FF000000"/>
      </rPr>
      <t xml:space="preserve"> </t>
    </r>
    <r>
      <rPr>
        <rFont val="Arial"/>
        <b val="0"/>
        <color rgb="FF000000"/>
      </rPr>
      <t>02 May: He replied saying this cannot work because this is way beyond his budget, I Have asked for counter offer</t>
    </r>
    <r>
      <rPr>
        <rFont val="Arial"/>
        <b/>
        <color rgb="FF000000"/>
      </rPr>
      <t xml:space="preserve"> </t>
    </r>
    <r>
      <rPr>
        <rFont val="Arial"/>
        <b val="0"/>
        <color rgb="FF000000"/>
      </rPr>
      <t>30 April: Layout and Commecial Deck sent 29 April: Spoke he said he needs 50 seats not 45 revise the layout and share commercials</t>
    </r>
    <r>
      <rPr>
        <rFont val="Arial"/>
        <b/>
        <color rgb="FF000000"/>
      </rPr>
      <t xml:space="preserve"> </t>
    </r>
    <r>
      <rPr>
        <rFont val="Arial"/>
        <b val="0"/>
        <color rgb="FF000000"/>
      </rPr>
      <t>28 April: Ringing, Dropped a text</t>
    </r>
    <r>
      <rPr>
        <rFont val="Arial"/>
        <b/>
        <color rgb="FF000000"/>
      </rPr>
      <t xml:space="preserve"> </t>
    </r>
    <r>
      <rPr>
        <rFont val="Arial"/>
        <b val="0"/>
        <color rgb="FF000000"/>
      </rPr>
      <t>27 April: Shared the Layout, he said he will check and revert</t>
    </r>
    <r>
      <rPr>
        <rFont val="Arial"/>
        <b/>
        <color rgb="FF000000"/>
      </rPr>
      <t xml:space="preserve"> </t>
    </r>
    <r>
      <rPr>
        <rFont val="Arial"/>
        <b val="0"/>
        <color rgb="FF000000"/>
      </rPr>
      <t>25 Apirl: Site Visit done, Showed Landmark and CNB Square. Next steps actioned layout and share costing</t>
    </r>
    <r>
      <rPr>
        <rFont val="Arial"/>
        <b/>
        <color rgb="FF000000"/>
      </rPr>
      <t xml:space="preserve"> </t>
    </r>
    <r>
      <rPr>
        <rFont val="Arial"/>
        <b val="0"/>
        <color rgb="FF000000"/>
      </rPr>
      <t>24 April: Took a Follow up, he said will do the site visit tomorrow at 11am, I have captured the same in email and waiting for his confimation on the same</t>
    </r>
    <r>
      <rPr>
        <rFont val="Arial"/>
        <b/>
        <color rgb="FF000000"/>
      </rPr>
      <t xml:space="preserve"> </t>
    </r>
    <r>
      <rPr>
        <rFont val="Arial"/>
        <b val="0"/>
        <color rgb="FF000000"/>
      </rPr>
      <t>22 April: Spoke to him he said I am caught up for the entire day, call tomorrow 21 April: Shared. The first cut Inventory options over mail, Spoke to him he has shortlisted option of WEH And Chakala for inspection 19 April : Spoke. He is looking for a 50-seater office space with 2–3 cabins and 1 conference room. Preferred micro-markets are Western Express Highway to Airport Road / Marol. I have requested a meeting with him, however, he has asked us to share suitable options first, post which he will be open to meeting. Current office location is Goregaon.The move-in timeline is currently not specific</t>
    </r>
  </si>
  <si>
    <t>Not responsive</t>
  </si>
  <si>
    <t xml:space="preserve">Minal </t>
  </si>
  <si>
    <t>Parekh</t>
  </si>
  <si>
    <t>99300 21888</t>
  </si>
  <si>
    <t>minal.parekh@perchtechnologies.com</t>
  </si>
  <si>
    <t>Director- Digitisation and Workplace Manager</t>
  </si>
  <si>
    <t>PERCH TECHNOLOGIES PRIVATE LIMITED</t>
  </si>
  <si>
    <t>30-35 w.s, 3 cabins, 1 board room, 1 Director Cabins, 2 small meeting room Collapsible. Pantry and cafetria</t>
  </si>
  <si>
    <r>
      <rPr>
        <rFont val="Arial"/>
        <b/>
        <color rgb="FF000000"/>
      </rPr>
      <t xml:space="preserve">09 June: disconnected my call, dropped a text </t>
    </r>
    <r>
      <rPr>
        <rFont val="Arial"/>
        <b val="0"/>
        <color rgb="FF000000"/>
      </rPr>
      <t>04 June: Switched off, Dropped a text</t>
    </r>
    <r>
      <rPr>
        <rFont val="Arial"/>
        <b/>
        <color rgb="FF000000"/>
      </rPr>
      <t xml:space="preserve"> </t>
    </r>
    <r>
      <rPr>
        <rFont val="Arial"/>
        <b val="0"/>
        <color rgb="FF000000"/>
      </rPr>
      <t>02 June: Switched off, I have dropped a text</t>
    </r>
    <r>
      <rPr>
        <rFont val="Arial"/>
        <b/>
        <color rgb="FF000000"/>
      </rPr>
      <t xml:space="preserve"> </t>
    </r>
    <r>
      <rPr>
        <rFont val="Arial"/>
        <b val="0"/>
        <color rgb="FF000000"/>
      </rPr>
      <t>25 May: Switched off. I have dropped a Text and reminder on mail</t>
    </r>
    <r>
      <rPr>
        <rFont val="Arial"/>
        <b/>
        <color rgb="FF000000"/>
      </rPr>
      <t xml:space="preserve"> </t>
    </r>
    <r>
      <rPr>
        <rFont val="Arial"/>
        <b val="0"/>
        <color rgb="FF000000"/>
      </rPr>
      <t>22 May: ringing, dropped a message.</t>
    </r>
    <r>
      <rPr>
        <rFont val="Arial"/>
        <b/>
        <color rgb="FF000000"/>
      </rPr>
      <t xml:space="preserve"> </t>
    </r>
    <r>
      <rPr>
        <rFont val="Arial"/>
        <b val="0"/>
        <color rgb="FF000000"/>
      </rPr>
      <t>12 May: Tried calling from other personal number not responsive</t>
    </r>
    <r>
      <rPr>
        <rFont val="Arial"/>
        <b/>
        <color rgb="FF000000"/>
      </rPr>
      <t xml:space="preserve"> </t>
    </r>
    <r>
      <rPr>
        <rFont val="Arial"/>
        <b val="0"/>
        <color rgb="FF000000"/>
      </rPr>
      <t>07 May: Disconnected my call, Dropped a text</t>
    </r>
    <r>
      <rPr>
        <rFont val="Arial"/>
        <b/>
        <color rgb="FF000000"/>
      </rPr>
      <t xml:space="preserve"> </t>
    </r>
    <r>
      <rPr>
        <rFont val="Arial"/>
        <b val="0"/>
        <color rgb="FF000000"/>
      </rPr>
      <t>05 May: Ringing, dropped a Follow up mail</t>
    </r>
    <r>
      <rPr>
        <rFont val="Arial"/>
        <b/>
        <color rgb="FF000000"/>
      </rPr>
      <t xml:space="preserve"> </t>
    </r>
    <r>
      <rPr>
        <rFont val="Arial"/>
        <b val="0"/>
        <color rgb="FF000000"/>
      </rPr>
      <t>30 April: Ringing, Didn't Answer, dropped a msg</t>
    </r>
    <r>
      <rPr>
        <rFont val="Arial"/>
        <b/>
        <color rgb="FF000000"/>
      </rPr>
      <t xml:space="preserve"> </t>
    </r>
    <r>
      <rPr>
        <rFont val="Arial"/>
        <b val="0"/>
        <color rgb="FF000000"/>
      </rPr>
      <t>29 April: Ringing, Dropped a voice note and Whatsapp, follow up mail sent</t>
    </r>
    <r>
      <rPr>
        <rFont val="Arial"/>
        <b/>
        <color rgb="FF000000"/>
      </rPr>
      <t xml:space="preserve"> </t>
    </r>
    <r>
      <rPr>
        <rFont val="Arial"/>
        <b val="0"/>
        <color rgb="FF000000"/>
      </rPr>
      <t>27 April: Ringing, Dropped a Voice note and WP Text 24 April: Ringing, Dropped a text and voice note</t>
    </r>
    <r>
      <rPr>
        <rFont val="Arial"/>
        <b/>
        <color rgb="FF000000"/>
      </rPr>
      <t xml:space="preserve"> </t>
    </r>
    <r>
      <rPr>
        <rFont val="Arial"/>
        <b val="0"/>
        <color rgb="FF000000"/>
      </rPr>
      <t>22 April: Sent First cut inventory deck tried calling didn't answer dropped a text 20 April: Spoke. She is looking for 30-35 seater office space along with 3 cabins, 1 Board room of 10-12 seats, 1 director Cabin and 2 small meeting room all collapsible along with store room and pantry and Cafetria. Location from WEH to Chakala only good A grade building preffered. Move in time line 3 months from now. Meeting asked for virtual call she said next week as she is travelling.</t>
    </r>
    <r>
      <rPr>
        <rFont val="Arial"/>
        <b/>
        <color rgb="FF000000"/>
      </rPr>
      <t xml:space="preserve"> </t>
    </r>
    <r>
      <rPr>
        <rFont val="Arial"/>
        <b val="0"/>
        <color rgb="FF000000"/>
      </rPr>
      <t xml:space="preserve">19 April: Ringing, dropped a voice note and WP. </t>
    </r>
  </si>
  <si>
    <t>Crescent Solitaire</t>
  </si>
  <si>
    <t xml:space="preserve">Vishal </t>
  </si>
  <si>
    <t xml:space="preserve">10 seats - 2 months </t>
  </si>
  <si>
    <r>
      <rPr>
        <rFont val="Arial"/>
        <b/>
        <color rgb="FF000000"/>
      </rPr>
      <t xml:space="preserve">09 June: Ringing, Dropped a text </t>
    </r>
    <r>
      <rPr>
        <rFont val="Arial"/>
        <b val="0"/>
        <color rgb="FF000000"/>
      </rPr>
      <t>26 MAy: Harshini spoke, he said the requirement is on hold reachout in next week again</t>
    </r>
    <r>
      <rPr>
        <rFont val="Arial"/>
        <b/>
        <color rgb="FF000000"/>
      </rPr>
      <t xml:space="preserve"> </t>
    </r>
    <r>
      <rPr>
        <rFont val="Arial"/>
        <b val="0"/>
        <color rgb="FF000000"/>
      </rPr>
      <t>25 May: Ringing, Dropped a text</t>
    </r>
    <r>
      <rPr>
        <rFont val="Arial"/>
        <b/>
        <color rgb="FF000000"/>
      </rPr>
      <t xml:space="preserve"> </t>
    </r>
    <r>
      <rPr>
        <rFont val="Arial"/>
        <b val="0"/>
        <color rgb="FF000000"/>
      </rPr>
      <t>22 May: Ringing, call forwarded, dropped a text</t>
    </r>
    <r>
      <rPr>
        <rFont val="Arial"/>
        <b/>
        <color rgb="FF000000"/>
      </rPr>
      <t xml:space="preserve"> </t>
    </r>
    <r>
      <rPr>
        <rFont val="Arial"/>
        <b val="0"/>
        <color rgb="FF000000"/>
      </rPr>
      <t>12 May: Tried calling disconnected the call dropped a text 11 May: Ringing, Dropped a text</t>
    </r>
    <r>
      <rPr>
        <rFont val="Arial"/>
        <b/>
        <color rgb="FF000000"/>
      </rPr>
      <t xml:space="preserve"> </t>
    </r>
    <r>
      <rPr>
        <rFont val="Arial"/>
        <b val="0"/>
        <color rgb="FF000000"/>
      </rPr>
      <t>07 May: Spoke he said he will visit tomorrow 05 May: Spoke He said he will visit on Friday</t>
    </r>
    <r>
      <rPr>
        <rFont val="Arial"/>
        <b/>
        <color rgb="FF000000"/>
      </rPr>
      <t xml:space="preserve"> </t>
    </r>
    <r>
      <rPr>
        <rFont val="Arial"/>
        <b val="0"/>
        <color rgb="FF000000"/>
      </rPr>
      <t>28 April: Spoke, he said he will visit in next week as he is caught up with other task reachout on Tuesday next week</t>
    </r>
    <r>
      <rPr>
        <rFont val="Arial"/>
        <b/>
        <color rgb="FF000000"/>
      </rPr>
      <t xml:space="preserve"> </t>
    </r>
    <r>
      <rPr>
        <rFont val="Arial"/>
        <b val="0"/>
        <color rgb="FF000000"/>
      </rPr>
      <t>27 April: Spoke. He said he is busy as of now and will try to Visit the Sakinaka option tomorrow</t>
    </r>
    <r>
      <rPr>
        <rFont val="Arial"/>
        <b/>
        <color rgb="FF000000"/>
      </rPr>
      <t xml:space="preserve"> </t>
    </r>
    <r>
      <rPr>
        <rFont val="Arial"/>
        <b val="0"/>
        <color rgb="FF000000"/>
      </rPr>
      <t xml:space="preserve"> 24 April: Ringing, Dropped a Text asking for visit and discuss this with the team 23 April: Spoke he confirmed saying 10 seats but 24/7 operational and he wants pricing he is ok with 6 months lockin.</t>
    </r>
    <r>
      <rPr>
        <rFont val="Arial"/>
        <b/>
        <color rgb="FF000000"/>
      </rPr>
      <t xml:space="preserve"> </t>
    </r>
    <r>
      <rPr>
        <rFont val="Arial"/>
        <b val="0"/>
        <color rgb="FF000000"/>
      </rPr>
      <t>22 April: Ringing, Dropped a Text</t>
    </r>
    <r>
      <rPr>
        <rFont val="Arial"/>
        <b/>
        <color rgb="FF000000"/>
      </rPr>
      <t xml:space="preserve"> </t>
    </r>
    <r>
      <rPr>
        <rFont val="Arial"/>
        <b val="0"/>
        <color rgb="FF000000"/>
      </rPr>
      <t xml:space="preserve">20 April: Spoke, he said he is driving call back in an hour. Spoke he wants a BPO Setup for 10 people, I have pitched Sakinaka at Rs. 8k per seat. Shared the details over WP. Move in time line 2-3 months </t>
    </r>
  </si>
  <si>
    <t xml:space="preserve">Sanjay </t>
  </si>
  <si>
    <t>Panikar</t>
  </si>
  <si>
    <t>86984 68146</t>
  </si>
  <si>
    <t>sanjay@efficacyglobal.com</t>
  </si>
  <si>
    <t>Co-Founder</t>
  </si>
  <si>
    <t>Edjust</t>
  </si>
  <si>
    <t>25-50, immediately</t>
  </si>
  <si>
    <r>
      <rPr>
        <rFont val="Arial"/>
        <b/>
        <color rgb="FF000000"/>
      </rPr>
      <t xml:space="preserve">23 April: Shared the first cut inventory options. Spoke to him he is saying and we were discussing options he said my I cannot go beyond 3 lakhs. I tried Pitching Sakinaka but he said I want something which is close to Chakala and Marol only </t>
    </r>
    <r>
      <rPr>
        <rFont val="Arial"/>
        <b val="0"/>
        <color rgb="FF000000"/>
      </rPr>
      <t>20 April: Spoke, he is looking for 30-50 seater office space and 2 cabins for 24/7 operations. Looking in Marol and Sakinaka and wants a C grade building beacuse they have a very strict budget. Asked for meeting he said options and commercials first then only he can meet. If commercials fit in he can move ASAP</t>
    </r>
  </si>
  <si>
    <t>Reema</t>
  </si>
  <si>
    <t>84339 43579</t>
  </si>
  <si>
    <t>reema.gupta@mahagram.in</t>
  </si>
  <si>
    <t>Sales Project head</t>
  </si>
  <si>
    <t>One Klick Payment</t>
  </si>
  <si>
    <t>&lt;25, immediately</t>
  </si>
  <si>
    <t>22 April: No incoming calls available on this number nor this is a Whatsapp number. The mail ID is incorrect.</t>
  </si>
  <si>
    <t>Dr. Indronil</t>
  </si>
  <si>
    <t xml:space="preserve"> Mukhopadhyay </t>
  </si>
  <si>
    <t>86572 03647</t>
  </si>
  <si>
    <t>ceo@evoquin.in</t>
  </si>
  <si>
    <t>Evoquin Movers</t>
  </si>
  <si>
    <r>
      <rPr>
        <rFont val="Arial"/>
        <b/>
        <color theme="1"/>
      </rPr>
      <t xml:space="preserve">07 May: Spoke he said the requirement is on hold and He has a inventory of his friend in turbhe around 300 seats furnished 2 floor I have asked to share the detaisl </t>
    </r>
    <r>
      <rPr>
        <rFont val="Arial"/>
        <b val="0"/>
        <color theme="1"/>
      </rPr>
      <t>05 May: Spoke but he was driving coundn't hear he asked me to drop a text</t>
    </r>
    <r>
      <rPr>
        <rFont val="Arial"/>
        <b/>
        <color theme="1"/>
      </rPr>
      <t xml:space="preserve"> </t>
    </r>
    <r>
      <rPr>
        <rFont val="Arial"/>
        <b val="0"/>
        <color theme="1"/>
      </rPr>
      <t>02 May: Ringing, Dropped a text</t>
    </r>
    <r>
      <rPr>
        <rFont val="Arial"/>
        <b/>
        <color theme="1"/>
      </rPr>
      <t xml:space="preserve"> </t>
    </r>
    <r>
      <rPr>
        <rFont val="Arial"/>
        <b val="0"/>
        <color theme="1"/>
      </rPr>
      <t>29 April: Ringing, dropped a text</t>
    </r>
    <r>
      <rPr>
        <rFont val="Arial"/>
        <b/>
        <color theme="1"/>
      </rPr>
      <t xml:space="preserve"> </t>
    </r>
    <r>
      <rPr>
        <rFont val="Arial"/>
        <b val="0"/>
        <color theme="1"/>
      </rPr>
      <t>27 April: Ringing, Dropped a text</t>
    </r>
    <r>
      <rPr>
        <rFont val="Arial"/>
        <b/>
        <color theme="1"/>
      </rPr>
      <t xml:space="preserve"> </t>
    </r>
    <r>
      <rPr>
        <rFont val="Arial"/>
        <b val="0"/>
        <color theme="1"/>
      </rPr>
      <t>24 April: Ringing, Dropped a text 23 April: Spoke. He wants 2 open w.s and doesn't want to go to Sakinaka. He is okay with LP. Shared the details on whatsapp he replied saying Will come back to you once make up my mind.</t>
    </r>
  </si>
  <si>
    <t xml:space="preserve">Hozefa </t>
  </si>
  <si>
    <t xml:space="preserve">Attari </t>
  </si>
  <si>
    <t>76207 46251</t>
  </si>
  <si>
    <t>hozefa.attari@networkbay.net</t>
  </si>
  <si>
    <t>Networkbay Retail</t>
  </si>
  <si>
    <t xml:space="preserve">5 w.s </t>
  </si>
  <si>
    <r>
      <rPr>
        <rFont val="Arial"/>
        <b/>
        <color theme="1"/>
      </rPr>
      <t xml:space="preserve">09 June: Ringing, Dropped a text </t>
    </r>
    <r>
      <rPr>
        <rFont val="Arial"/>
        <b val="0"/>
        <color theme="1"/>
      </rPr>
      <t xml:space="preserve">06 June: Ringing, Dropped a text 04 June: Ringing, Dropped a text 01 June: Ringing, dropped a Text 25 May: Ringing, Dropped a text he replied saying yes i did. i will revert when we are ready. thanks! 22 May: Rushab sir took this up they only need 5 w.s. I have shared the details of both Lower parel and sakinaka </t>
    </r>
  </si>
  <si>
    <t xml:space="preserve">Kinjal </t>
  </si>
  <si>
    <t xml:space="preserve">Panchal </t>
  </si>
  <si>
    <t xml:space="preserve"> Kinjal.panchal@rajgrouponline.com</t>
  </si>
  <si>
    <t xml:space="preserve"> Director</t>
  </si>
  <si>
    <t>Raj Vijtech Pvt Ltd</t>
  </si>
  <si>
    <t>20 seats and 2 cubicals.</t>
  </si>
  <si>
    <r>
      <rPr>
        <rFont val="Arial"/>
        <b/>
        <color theme="1"/>
      </rPr>
      <t xml:space="preserve">09 June: Disconnect my call, dropped a voice note and Text </t>
    </r>
    <r>
      <rPr>
        <rFont val="Arial"/>
        <b val="0"/>
        <color theme="1"/>
      </rPr>
      <t>06 June: Ringing, dropped a text 04 June: Ringing, dropped a text She replied saying shared the details of Lower parel only with images and costing.</t>
    </r>
    <r>
      <rPr>
        <rFont val="Arial"/>
        <b/>
        <color theme="1"/>
      </rPr>
      <t xml:space="preserve"> </t>
    </r>
    <r>
      <rPr>
        <rFont val="Arial"/>
        <b val="0"/>
        <color theme="1"/>
      </rPr>
      <t>01 June: Ringing, Dropped a text and voice note</t>
    </r>
    <r>
      <rPr>
        <rFont val="Arial"/>
        <b/>
        <color theme="1"/>
      </rPr>
      <t xml:space="preserve"> </t>
    </r>
    <r>
      <rPr>
        <rFont val="Arial"/>
        <b val="0"/>
        <color theme="1"/>
      </rPr>
      <t>27 May: Ringing, Dropped a text</t>
    </r>
    <r>
      <rPr>
        <rFont val="Arial"/>
        <b/>
        <color theme="1"/>
      </rPr>
      <t xml:space="preserve"> </t>
    </r>
    <r>
      <rPr>
        <rFont val="Arial"/>
        <b val="0"/>
        <color theme="1"/>
      </rPr>
      <t>25 May: I have dropped a follow up text as she said she is travelling.</t>
    </r>
    <r>
      <rPr>
        <rFont val="Arial"/>
        <b/>
        <color theme="1"/>
      </rPr>
      <t xml:space="preserve"> </t>
    </r>
    <r>
      <rPr>
        <rFont val="Arial"/>
        <b val="0"/>
        <color theme="1"/>
      </rPr>
      <t xml:space="preserve"> 24 May: Spoke to Kinjal. They are exploring options in LP and Andheri both. She is traveling this week and will be back on June 4th and will visit both LP and Crescent. I have shared the details over whatsapp. The requirement is 20 seats and 2 cubicals.</t>
    </r>
  </si>
  <si>
    <t xml:space="preserve">Vijay </t>
  </si>
  <si>
    <t xml:space="preserve">Bhandari </t>
  </si>
  <si>
    <t>99100 48637</t>
  </si>
  <si>
    <t>vijay.bhandari@noesis.co.in</t>
  </si>
  <si>
    <t>NOESIS</t>
  </si>
  <si>
    <t>51-100</t>
  </si>
  <si>
    <r>
      <rPr>
        <rFont val="Arial"/>
        <b/>
        <color theme="1"/>
      </rPr>
      <t xml:space="preserve">01 June: Disconnected my call, I have dropped a text he replied saying its closed  </t>
    </r>
    <r>
      <rPr>
        <rFont val="Arial"/>
        <b val="0"/>
        <color theme="1"/>
      </rPr>
      <t>28 May: Ringing, Dropped a text</t>
    </r>
    <r>
      <rPr>
        <rFont val="Arial"/>
        <b/>
        <color theme="1"/>
      </rPr>
      <t xml:space="preserve"> </t>
    </r>
    <r>
      <rPr>
        <rFont val="Arial"/>
        <b val="0"/>
        <color theme="1"/>
      </rPr>
      <t>27 May: Disconnected my call, I will Message him</t>
    </r>
    <r>
      <rPr>
        <rFont val="Arial"/>
        <b/>
        <color theme="1"/>
      </rPr>
      <t xml:space="preserve"> </t>
    </r>
    <r>
      <rPr>
        <rFont val="Arial"/>
        <b val="0"/>
        <color theme="1"/>
      </rPr>
      <t>25 May: Ringing, Dropped a text he replied saying where do we have options I said I can offer you multiple invenotries</t>
    </r>
    <r>
      <rPr>
        <rFont val="Arial"/>
        <b/>
        <color theme="1"/>
      </rPr>
      <t xml:space="preserve"> </t>
    </r>
    <r>
      <rPr>
        <rFont val="Arial"/>
        <b val="0"/>
        <color theme="1"/>
      </rPr>
      <t>24 May: Disconnected my call I will drop a message</t>
    </r>
  </si>
  <si>
    <t xml:space="preserve"> Budhadev</t>
  </si>
  <si>
    <t>nitin.budhadev@virtualclone.in</t>
  </si>
  <si>
    <t xml:space="preserve">Head of Sales and Marketing </t>
  </si>
  <si>
    <t>Virtual Clone</t>
  </si>
  <si>
    <t>25 seats</t>
  </si>
  <si>
    <r>
      <rPr>
        <rFont val="Arial"/>
        <b/>
        <color theme="1"/>
      </rPr>
      <t xml:space="preserve">01 June: Spoke, he said Crescent and LP both wont work if we have something in Timesquare, but his budget is 10k per seat only discuss this </t>
    </r>
    <r>
      <rPr>
        <rFont val="Arial"/>
        <b val="0"/>
        <color theme="1"/>
      </rPr>
      <t>27 May: Spoke. He said the distance from Sakinaka to Crescent is bit too much he is checking for the visit and will let us know on the same, also he gave me a headsup that the conclusion would be in July only 25 May: Ringing, Dropped a text he replied will call in 10 mins. Spoke and shared the details of sakinaka</t>
    </r>
  </si>
  <si>
    <t xml:space="preserve">Vedant </t>
  </si>
  <si>
    <t xml:space="preserve">Choudhary </t>
  </si>
  <si>
    <t>vedant@transtrade.co.in</t>
  </si>
  <si>
    <t>Cellpage</t>
  </si>
  <si>
    <r>
      <rPr>
        <rFont val="Arial"/>
        <b/>
        <color theme="1"/>
      </rPr>
      <t xml:space="preserve">28 May: Spoke he said he is no more looking for space and disconnected the call </t>
    </r>
    <r>
      <rPr>
        <rFont val="Arial"/>
        <b val="0"/>
        <color theme="1"/>
      </rPr>
      <t xml:space="preserve">27 May:Spoke he said he is busy right now, he will call back 26 May: Asked me to Call back in 30 mins. Tried callig didn't answer my call. </t>
    </r>
  </si>
  <si>
    <t xml:space="preserve">Udit </t>
  </si>
  <si>
    <t>Saraswat</t>
  </si>
  <si>
    <t>96349 82692</t>
  </si>
  <si>
    <t xml:space="preserve"> Udit.saraswat@darienaerospace.com</t>
  </si>
  <si>
    <t>Darien Aerospace</t>
  </si>
  <si>
    <t xml:space="preserve">6 seats and 1 boss cabin </t>
  </si>
  <si>
    <r>
      <rPr>
        <rFont val="Arial"/>
        <b/>
        <color theme="1"/>
      </rPr>
      <t xml:space="preserve">09: June: Ringing, dropped a text even Vishal his admin who visited is not answering the calls and text </t>
    </r>
    <r>
      <rPr>
        <rFont val="Arial"/>
        <b val="0"/>
        <color theme="1"/>
      </rPr>
      <t>06 June: Ringing, dropped a tex t04 June: Ringing, dropped a text</t>
    </r>
    <r>
      <rPr>
        <rFont val="Arial"/>
        <b/>
        <color theme="1"/>
      </rPr>
      <t xml:space="preserve"> </t>
    </r>
    <r>
      <rPr>
        <rFont val="Arial"/>
        <b val="0"/>
        <color theme="1"/>
      </rPr>
      <t>01 June: Tried Calling both, Ringing, dropped a text</t>
    </r>
    <r>
      <rPr>
        <rFont val="Arial"/>
        <b/>
        <color theme="1"/>
      </rPr>
      <t xml:space="preserve"> </t>
    </r>
    <r>
      <rPr>
        <rFont val="Arial"/>
        <b val="0"/>
        <color theme="1"/>
      </rPr>
      <t>29 May: Spoke second visit done and will get a confirmation by Monday</t>
    </r>
    <r>
      <rPr>
        <rFont val="Arial"/>
        <b/>
        <color theme="1"/>
      </rPr>
      <t xml:space="preserve"> </t>
    </r>
    <r>
      <rPr>
        <rFont val="Arial"/>
        <b val="0"/>
        <color theme="1"/>
      </rPr>
      <t>28 May: Visit done by Mr. Vishal (Admin) he liked the space mostly there is a second visit of his senior tomorrow and then they will share commercial offer 27 May: Spoke. He said call back after 10 mins. Spoke he want 5-6 seats strongly pitched sakinaka but he is exploring a space which is near MIDC, His admin will try to visit today in sakinaka</t>
    </r>
  </si>
  <si>
    <t xml:space="preserve">Feroze </t>
  </si>
  <si>
    <t xml:space="preserve"> feroz.shaikh@nischint.app</t>
  </si>
  <si>
    <t xml:space="preserve"> Chief Technology Officer</t>
  </si>
  <si>
    <t xml:space="preserve"> NISCHINT</t>
  </si>
  <si>
    <r>
      <rPr>
        <rFont val="Arial"/>
        <b/>
        <color theme="1"/>
      </rPr>
      <t xml:space="preserve">04 June: Spoke he wants 5 seats in Andheri West only not Crescent or nor Lp Works for him, discuss this </t>
    </r>
    <r>
      <rPr>
        <rFont val="Arial"/>
        <b val="0"/>
        <color theme="1"/>
      </rPr>
      <t xml:space="preserve">02 June: Ringing, Dropped a text </t>
    </r>
  </si>
  <si>
    <t>Sudhendranath</t>
  </si>
  <si>
    <t>98330 45451</t>
  </si>
  <si>
    <t xml:space="preserve"> anup.s@kompass.co.in</t>
  </si>
  <si>
    <t>Raadhi Advisors</t>
  </si>
  <si>
    <t>4 seater Cabin</t>
  </si>
  <si>
    <r>
      <rPr>
        <rFont val="Arial"/>
        <b/>
        <color theme="1"/>
      </rPr>
      <t xml:space="preserve">09 June: Ringing, dropped a text </t>
    </r>
    <r>
      <rPr>
        <rFont val="Arial"/>
        <b val="0"/>
        <color theme="1"/>
      </rPr>
      <t>06 June: He said he is in a meeting will call back 04 June: Ringing, Dropped a text spoke he said he will probably come on 2 days</t>
    </r>
    <r>
      <rPr>
        <rFont val="Arial"/>
        <b/>
        <color theme="1"/>
      </rPr>
      <t xml:space="preserve"> </t>
    </r>
    <r>
      <rPr>
        <rFont val="Arial"/>
        <b val="0"/>
        <color theme="1"/>
      </rPr>
      <t>02 June: Spoke. He needs a 4 seater Cabin space. Sakinaka won't work for him. Lp works and I have shared the Layout and the details over whatsapp. He will probably visit tomorrow 1st half.</t>
    </r>
  </si>
  <si>
    <t xml:space="preserve">Sandeep </t>
  </si>
  <si>
    <t xml:space="preserve">Gaglani </t>
  </si>
  <si>
    <t>98198 68383</t>
  </si>
  <si>
    <t xml:space="preserve"> gaglani.sandeep@baerlocher.com</t>
  </si>
  <si>
    <t>Chief Finance Officer - India</t>
  </si>
  <si>
    <t xml:space="preserve"> Baerlocher India</t>
  </si>
  <si>
    <t>25-50</t>
  </si>
  <si>
    <r>
      <rPr>
        <rFont val="Arial"/>
        <b/>
        <color theme="1"/>
      </rPr>
      <t xml:space="preserve">09 June: Ringing, Dropped a text </t>
    </r>
    <r>
      <rPr>
        <rFont val="Arial"/>
        <b val="0"/>
        <color theme="1"/>
      </rPr>
      <t xml:space="preserve">06 June: Ringing, Dropped a text 04 June: Ringing, dropped a text </t>
    </r>
  </si>
  <si>
    <t xml:space="preserve">Mohd </t>
  </si>
  <si>
    <t xml:space="preserve">Khalid </t>
  </si>
  <si>
    <t>support@bharatamai.com</t>
  </si>
  <si>
    <t xml:space="preserve"> Founder</t>
  </si>
  <si>
    <t>Bharatam AI</t>
  </si>
  <si>
    <t xml:space="preserve">04 June: Spoke he said he is just gathering information and the requirement will be live after 2 months, he need 5-10 seats I have pitched Crescent solitaire. Sent an mail as well </t>
  </si>
  <si>
    <t xml:space="preserve">Huzefa </t>
  </si>
  <si>
    <t xml:space="preserve">Kaka </t>
  </si>
  <si>
    <t>80970 94049</t>
  </si>
  <si>
    <t>huzefa.kaka@jhsconsulting.in</t>
  </si>
  <si>
    <t>JHS Consulting  Pvt Ltd</t>
  </si>
  <si>
    <t>100 seats</t>
  </si>
  <si>
    <t>05 June: Ringing, Dropped a text. Spoke he said he has a requirement of 150 seats. He is currently sitting in Marol and wants a MOS Model only. Location preffered are Andheri-Kurla Road, Dadar,, Lower parel, Nariman Point, BKC and kalina. But he cleared that his budget is only Rs. 6 Lakhs. He said if you can give me something which is in their budget then only suggest other wise leave it. Discuss this internally first.</t>
  </si>
  <si>
    <t xml:space="preserve">Biswajit </t>
  </si>
  <si>
    <t>Das</t>
  </si>
  <si>
    <t xml:space="preserve"> biswajitdas@mediawareonline.com</t>
  </si>
  <si>
    <t xml:space="preserve"> Mediaware Infotech Pvt Ltd</t>
  </si>
  <si>
    <t xml:space="preserve">35 w.s and 4 cabins </t>
  </si>
  <si>
    <t xml:space="preserve">08 June: Ringing, Dropped a Text he replied saying they want 35 seats and 4 cabins near chakala. Send introductory deck and options </t>
  </si>
  <si>
    <t>Alefiya</t>
  </si>
  <si>
    <t>hkurlawala@gmail.com</t>
  </si>
  <si>
    <t>Burhani Interiors</t>
  </si>
  <si>
    <r>
      <rPr>
        <rFont val="Arial"/>
        <b/>
        <color theme="1"/>
      </rPr>
      <t xml:space="preserve">09 June: Spoke, they are unable to understand seems to be a wrong input from the person filled the form its an aged lady who doesn't understand all of this </t>
    </r>
    <r>
      <rPr>
        <rFont val="Arial"/>
        <b val="0"/>
        <color theme="1"/>
      </rPr>
      <t xml:space="preserve">08 June: Ringing, Dropped a Text </t>
    </r>
  </si>
  <si>
    <t xml:space="preserve">Yadav </t>
  </si>
  <si>
    <t>70582 31771</t>
  </si>
  <si>
    <t>vikas.yadav@kpfs.co.in</t>
  </si>
  <si>
    <t>Head of Human Resources</t>
  </si>
  <si>
    <t>Kalpa Prisha Fund Services</t>
  </si>
  <si>
    <t>101-200</t>
  </si>
  <si>
    <r>
      <rPr>
        <rFont val="Arial"/>
        <b/>
        <color theme="1"/>
      </rPr>
      <t xml:space="preserve">09 June: Spoke, he said he is busy in a meeting call back </t>
    </r>
    <r>
      <rPr>
        <rFont val="Arial"/>
        <b val="0"/>
        <color theme="1"/>
      </rPr>
      <t xml:space="preserve">08 June: Ringing, Dropped a Text </t>
    </r>
  </si>
  <si>
    <t>Sidhesh</t>
  </si>
  <si>
    <t>Kudalkar</t>
  </si>
  <si>
    <t>babaso.pawar@affle.com</t>
  </si>
  <si>
    <t>mediasmart</t>
  </si>
  <si>
    <t xml:space="preserve">25 w.s, 1 board room, 4 seater meeting room </t>
  </si>
  <si>
    <r>
      <rPr>
        <rFont val="Arial"/>
        <b/>
        <color theme="1"/>
      </rPr>
      <t xml:space="preserve">09 June: Busy on another call, Dropped a text he replied and shared the requirement over text and I have shared an Introductory mail and will share the first cut inventory options shortly  </t>
    </r>
    <r>
      <rPr>
        <rFont val="Arial"/>
        <b val="0"/>
        <color theme="1"/>
      </rPr>
      <t xml:space="preserve">08 June: Ringing, Dropped a Text </t>
    </r>
  </si>
  <si>
    <t xml:space="preserve">Ravi </t>
  </si>
  <si>
    <t xml:space="preserve">Dhadhania </t>
  </si>
  <si>
    <t xml:space="preserve"> 96196 79636</t>
  </si>
  <si>
    <t>ravi@dnacapadv.com</t>
  </si>
  <si>
    <t>Indimonk Technologies Private Limited</t>
  </si>
  <si>
    <t>2 cabins, 1 conference (3-4 seats) and 3-4 w.s</t>
  </si>
  <si>
    <t xml:space="preserve">09 June: Disconnected my call, dropped a text. He called back he has requirement. I have pitched Sakinaka Crescent solitaire and sent the details over whatsapp </t>
  </si>
  <si>
    <t>Daivya</t>
  </si>
  <si>
    <t xml:space="preserve">Sharma </t>
  </si>
  <si>
    <t>daivya@signellent.com</t>
  </si>
  <si>
    <t>Signellent Technologies India Pvt. Ltd.</t>
  </si>
  <si>
    <t xml:space="preserve">25 w.s, 4 cabins and 1 conference room </t>
  </si>
  <si>
    <t>11 June: Spoke. He is looking for a 25 seater with 4 cabins and 1 conference room. Micro-markets preferred are  Goregaon, Jogeshwari and Malad. His current office is in Borivali (E) they are relocating because building is going under redevelopment. It's an IT company. Their Client base is Co-Working companies to help and manage the Entire IT set-up. One of his client is Awfis.</t>
  </si>
  <si>
    <t>Devarajan</t>
  </si>
  <si>
    <t>Ramachandran</t>
  </si>
  <si>
    <t xml:space="preserve"> rdevarajan@popularinfotech.com</t>
  </si>
  <si>
    <t xml:space="preserve"> Bazaar247 MCommerce Pvt. Ltd.</t>
  </si>
  <si>
    <t xml:space="preserve">Less then 25 seats </t>
  </si>
  <si>
    <t xml:space="preserve">12 June: Spoke, He wants a co working space for about or less then 25 people.I have pitched Crescent Solitaire and shared the details over wp. He said he will visit today or tomorrow. </t>
  </si>
  <si>
    <t xml:space="preserve">Bhavyan </t>
  </si>
  <si>
    <t xml:space="preserve">Kothari </t>
  </si>
  <si>
    <t>98197 00631</t>
  </si>
  <si>
    <t>bhavyan@infinitysystems.in</t>
  </si>
  <si>
    <t xml:space="preserve">Owner </t>
  </si>
  <si>
    <t>Infinity Systems</t>
  </si>
  <si>
    <t xml:space="preserve">12 June: Busy on another call, dropped a text He called back and he is looking for a Turnkey solution he took a new office in Ghatopar of arond 700 sqft. I asked for a meeting he has send me an address and we can meet in Vidyavihar in their current office. </t>
  </si>
  <si>
    <t xml:space="preserve">Raul </t>
  </si>
  <si>
    <t xml:space="preserve">Rodrigues </t>
  </si>
  <si>
    <t>EduBridge Learning PVT LTD</t>
  </si>
  <si>
    <t xml:space="preserve">70-75 W.s open, 25 seats enclosed, 6 cabins and 1 conference </t>
  </si>
  <si>
    <r>
      <rPr>
        <rFont val="Arial"/>
        <b/>
        <color rgb="FF000000"/>
      </rPr>
      <t xml:space="preserve">11 April: Spoke he said currently they are not looking for space due to Budget issue </t>
    </r>
    <r>
      <rPr>
        <rFont val="Arial"/>
        <b val="0"/>
        <color rgb="FF000000"/>
      </rPr>
      <t>09 April: Spoke he said the budget is the main issue however I have shared the details of the Sakinaka space</t>
    </r>
    <r>
      <rPr>
        <rFont val="Arial"/>
        <b/>
        <color rgb="FF000000"/>
      </rPr>
      <t xml:space="preserve"> </t>
    </r>
    <r>
      <rPr>
        <rFont val="Arial"/>
        <b val="0"/>
        <color rgb="FF000000"/>
      </rPr>
      <t>04 April: Discuss with the team on this 02 April: Spoke to Mr. Raul; he shared the requirement. They are open to any location as long as it is well connected. They are very stringent on budget, with a maximum stretch of ₹3,500 per seat.</t>
    </r>
  </si>
  <si>
    <t xml:space="preserve">Munir </t>
  </si>
  <si>
    <t>Zovean Global PVT LTD</t>
  </si>
  <si>
    <r>
      <rPr>
        <rFont val="Arial"/>
        <b/>
        <color rgb="FF000000"/>
      </rPr>
      <t xml:space="preserve">04 April: Spoke, She doen't Want any space and has not inquired </t>
    </r>
    <r>
      <rPr>
        <rFont val="Arial"/>
        <b val="0"/>
        <color rgb="FF000000"/>
      </rPr>
      <t xml:space="preserve">02 April: Ringing, Dropped A Text </t>
    </r>
  </si>
  <si>
    <t xml:space="preserve">3 seats </t>
  </si>
  <si>
    <r>
      <rPr>
        <rFont val="Arial"/>
        <b/>
        <color rgb="FF000000"/>
      </rPr>
      <t xml:space="preserve">04 April: Spoke for a followup he said the requirement is fullfilled </t>
    </r>
    <r>
      <rPr>
        <rFont val="Arial"/>
        <b val="0"/>
        <color rgb="FF000000"/>
      </rPr>
      <t xml:space="preserve">02 Arpil: He want 2-3 seats in Andheri I have shared the details of sakinaka </t>
    </r>
  </si>
  <si>
    <t xml:space="preserve">Neetu </t>
  </si>
  <si>
    <t xml:space="preserve">Neetara Advisory </t>
  </si>
  <si>
    <t>3 seats</t>
  </si>
  <si>
    <t xml:space="preserve">02 April: She is the one Independent Director in Grow. I already Spoke to her and had a virtual call with her as well needs 3 seats but not in Sakinaka and not even lower parel </t>
  </si>
  <si>
    <t xml:space="preserve">Mustakem </t>
  </si>
  <si>
    <t xml:space="preserve">Qureshi </t>
  </si>
  <si>
    <t>Rego</t>
  </si>
  <si>
    <t>3-4 seats 24/7</t>
  </si>
  <si>
    <r>
      <rPr>
        <rFont val="Arial"/>
        <b/>
        <color rgb="FF000000"/>
      </rPr>
      <t xml:space="preserve">12 may: Spoke internally its not feasible for us to run 24/7 </t>
    </r>
    <r>
      <rPr>
        <rFont val="Arial"/>
        <b val="0"/>
        <color rgb="FF000000"/>
      </rPr>
      <t>11 MAy: Spoke he wants 1 seat 24*7 give an update on the same</t>
    </r>
    <r>
      <rPr>
        <rFont val="Arial"/>
        <b/>
        <color rgb="FF000000"/>
      </rPr>
      <t xml:space="preserve"> </t>
    </r>
    <r>
      <rPr>
        <rFont val="Arial"/>
        <b val="0"/>
        <color rgb="FF000000"/>
      </rPr>
      <t>05 May: He visited the space and shortlisted the option he now want the qoute of 3 seats in which 1 seat would be 24/7 discuss this</t>
    </r>
    <r>
      <rPr>
        <rFont val="Arial"/>
        <b/>
        <color rgb="FF000000"/>
      </rPr>
      <t xml:space="preserve"> </t>
    </r>
    <r>
      <rPr>
        <rFont val="Arial"/>
        <b val="0"/>
        <color rgb="FF000000"/>
      </rPr>
      <t>29 April: busy on call dropped a text 27 April: Ringing, dropped a text 23 April: He said he is not available today connect in next week 22 April: Spoke. He wants to see the unit today but Abhijeet is not available today so i have aksed the client to visit tomorrow  20 April: Busy on call, Dropped a WP</t>
    </r>
    <r>
      <rPr>
        <rFont val="Arial"/>
        <b/>
        <color rgb="FF000000"/>
      </rPr>
      <t xml:space="preserve"> </t>
    </r>
    <r>
      <rPr>
        <rFont val="Arial"/>
        <b val="0"/>
        <color rgb="FF000000"/>
      </rPr>
      <t>17 April: Busy on call, dropped a text</t>
    </r>
    <r>
      <rPr>
        <rFont val="Arial"/>
        <b/>
        <color rgb="FF000000"/>
      </rPr>
      <t xml:space="preserve"> </t>
    </r>
    <r>
      <rPr>
        <rFont val="Arial"/>
        <b val="0"/>
        <color rgb="FF000000"/>
      </rPr>
      <t>15 April: He said he is travelling and has not checked the details will check and let us know 12 April: Spoke He wants 3-4 seats for 24/7 shared the details of both Sakinaka and LP</t>
    </r>
    <r>
      <rPr>
        <rFont val="Arial"/>
        <b/>
        <color rgb="FF000000"/>
      </rPr>
      <t xml:space="preserve"> </t>
    </r>
    <r>
      <rPr>
        <rFont val="Arial"/>
        <b val="0"/>
        <color rgb="FF000000"/>
      </rPr>
      <t xml:space="preserve">09 April: Busy on call, Dropped a msg 06 April: Ringing, Dropped A Text 04 April: Ringing, Dropped A Text 02 April: Ringing, Dropped A Text </t>
    </r>
  </si>
  <si>
    <t>Nishad</t>
  </si>
  <si>
    <t>Malabar Gold</t>
  </si>
  <si>
    <t xml:space="preserve">20 seats </t>
  </si>
  <si>
    <r>
      <rPr>
        <rFont val="Arial"/>
        <b/>
        <color rgb="FF000000"/>
      </rPr>
      <t xml:space="preserve">11 April: Called for follow up he said he got one </t>
    </r>
    <r>
      <rPr>
        <rFont val="Arial"/>
        <b val="0"/>
        <color rgb="FF000000"/>
      </rPr>
      <t xml:space="preserve">09 April: Spoke he needs a residential space where he can fit in 20 seats, I tried pitching him Sakinaka but he said he wants a space which is on Aqua Line metro and his budget is on 50-60k 06 April: Ringing, Dropped A Text 04 April: Ringing, Dropped A Text 02 April: Ringing, Dropped A Text </t>
    </r>
  </si>
  <si>
    <t>Kapre</t>
  </si>
  <si>
    <t>Blue Skies Business management Group</t>
  </si>
  <si>
    <t xml:space="preserve">2 seats </t>
  </si>
  <si>
    <r>
      <rPr>
        <rFont val="Arial"/>
        <b/>
        <color rgb="FF000000"/>
      </rPr>
      <t xml:space="preserve">11 May: Ringing, Dropped a text he replied saying sakinaka doesn't work niether Lower parel works </t>
    </r>
    <r>
      <rPr>
        <rFont val="Arial"/>
        <b val="0"/>
        <color rgb="FF000000"/>
      </rPr>
      <t>06 May: Spoke he said he said Sakinaka won't work for him he needs something which is close to Andheri Railway station only not even LP 04 May: Ringin, Dropped a text 29 April: Ringing, dropped a text 27 April: Ringing, Dropped a Text</t>
    </r>
    <r>
      <rPr>
        <rFont val="Arial"/>
        <b/>
        <color rgb="FF000000"/>
      </rPr>
      <t xml:space="preserve"> </t>
    </r>
    <r>
      <rPr>
        <rFont val="Arial"/>
        <b val="0"/>
        <color rgb="FF000000"/>
      </rPr>
      <t>24 April: Ringing, to pitch Lower parel but didn't answer, dropped a text</t>
    </r>
    <r>
      <rPr>
        <rFont val="Arial"/>
        <b/>
        <color rgb="FF000000"/>
      </rPr>
      <t xml:space="preserve"> </t>
    </r>
    <r>
      <rPr>
        <rFont val="Arial"/>
        <b val="0"/>
        <color rgb="FF000000"/>
      </rPr>
      <t>22 April: Ringing, dropped a text 17 April: Spoke, he said doesn't want to go to Sakinaka 15 April: Ringing, Dropped a Text</t>
    </r>
    <r>
      <rPr>
        <rFont val="Arial"/>
        <b/>
        <color rgb="FF000000"/>
      </rPr>
      <t xml:space="preserve"> </t>
    </r>
    <r>
      <rPr>
        <rFont val="Arial"/>
        <b val="0"/>
        <color rgb="FF000000"/>
      </rPr>
      <t>06 April: Spoke, he has a 2 seater requirement in Andheri east and doesn't wants to go to sakinaka Discuss this</t>
    </r>
    <r>
      <rPr>
        <rFont val="Arial"/>
        <b/>
        <color rgb="FF000000"/>
      </rPr>
      <t xml:space="preserve"> </t>
    </r>
    <r>
      <rPr>
        <rFont val="Arial"/>
        <b val="0"/>
        <color rgb="FF000000"/>
      </rPr>
      <t xml:space="preserve">04 April: Ringing, Dropped A Text 02 April: Ringing, Dropped A Text </t>
    </r>
  </si>
  <si>
    <t>Nishant</t>
  </si>
  <si>
    <t>Sutraave</t>
  </si>
  <si>
    <t xml:space="preserve">Chevisance Shipping Pvt LTD </t>
  </si>
  <si>
    <r>
      <rPr>
        <rFont val="Arial"/>
        <b/>
        <color rgb="FF000000"/>
      </rPr>
      <t>02 June:  Ringing, dropped a Voice note and a Text</t>
    </r>
    <r>
      <rPr>
        <rFont val="Arial"/>
        <b val="0"/>
        <color rgb="FF000000"/>
      </rPr>
      <t xml:space="preserve"> </t>
    </r>
    <r>
      <rPr>
        <rFont val="Arial"/>
        <b/>
        <color rgb="FF000000"/>
      </rPr>
      <t>he replied saying the requirement is fullfilled</t>
    </r>
    <r>
      <rPr>
        <rFont val="Arial"/>
        <b val="0"/>
        <color rgb="FF000000"/>
      </rPr>
      <t xml:space="preserve"> 28 May: Ringing, dropped a Voice note and a Text 22 May: Ringing, dropped a text</t>
    </r>
    <r>
      <rPr>
        <rFont val="Arial"/>
        <b/>
        <color rgb="FF000000"/>
      </rPr>
      <t xml:space="preserve"> </t>
    </r>
    <r>
      <rPr>
        <rFont val="Arial"/>
        <b val="0"/>
        <color rgb="FF000000"/>
      </rPr>
      <t>14 May: Disconnected, Dropped a text will drop a mail 11 May: Ringing, Dropped a text</t>
    </r>
    <r>
      <rPr>
        <rFont val="Arial"/>
        <b/>
        <color rgb="FF000000"/>
      </rPr>
      <t xml:space="preserve"> </t>
    </r>
    <r>
      <rPr>
        <rFont val="Arial"/>
        <b val="0"/>
        <color rgb="FF000000"/>
      </rPr>
      <t>06 May: Ringing, dropped a Text 04 May: Ringing, Dropped a text</t>
    </r>
    <r>
      <rPr>
        <rFont val="Arial"/>
        <b/>
        <color rgb="FF000000"/>
      </rPr>
      <t xml:space="preserve"> </t>
    </r>
    <r>
      <rPr>
        <rFont val="Arial"/>
        <b val="0"/>
        <color rgb="FF000000"/>
      </rPr>
      <t>29 April: Ringing, Dropped a voice note, and text on Wp</t>
    </r>
    <r>
      <rPr>
        <rFont val="Arial"/>
        <b/>
        <color rgb="FF000000"/>
      </rPr>
      <t xml:space="preserve"> </t>
    </r>
    <r>
      <rPr>
        <rFont val="Arial"/>
        <b val="0"/>
        <color rgb="FF000000"/>
      </rPr>
      <t>27 April: Busy on call Dropped a text</t>
    </r>
    <r>
      <rPr>
        <rFont val="Arial"/>
        <b/>
        <color rgb="FF000000"/>
      </rPr>
      <t xml:space="preserve"> </t>
    </r>
    <r>
      <rPr>
        <rFont val="Arial"/>
        <b val="0"/>
        <color rgb="FF000000"/>
      </rPr>
      <t>24 April: Disconnect my call, not replying on WP 22 April: Ringing, Dropped a voice note and whatsapp 20 April: Ringing, dropped a voice note and WP</t>
    </r>
    <r>
      <rPr>
        <rFont val="Arial"/>
        <b/>
        <color rgb="FF000000"/>
      </rPr>
      <t xml:space="preserve"> </t>
    </r>
    <r>
      <rPr>
        <rFont val="Arial"/>
        <b val="0"/>
        <color rgb="FF000000"/>
      </rPr>
      <t>17 April: Ringing, dropped a Voice note and msg on WP</t>
    </r>
    <r>
      <rPr>
        <rFont val="Arial"/>
        <b/>
        <color rgb="FF000000"/>
      </rPr>
      <t xml:space="preserve"> </t>
    </r>
    <r>
      <rPr>
        <rFont val="Arial"/>
        <b val="0"/>
        <color rgb="FF000000"/>
      </rPr>
      <t>15 April: Switch off, Dropped a Text</t>
    </r>
    <r>
      <rPr>
        <rFont val="Arial"/>
        <b/>
        <color rgb="FF000000"/>
      </rPr>
      <t xml:space="preserve"> </t>
    </r>
    <r>
      <rPr>
        <rFont val="Arial"/>
        <b val="0"/>
        <color rgb="FF000000"/>
      </rPr>
      <t>13 April: Ringing, Dropped a voice note and MSG on WP</t>
    </r>
    <r>
      <rPr>
        <rFont val="Arial"/>
        <b/>
        <color rgb="FF000000"/>
      </rPr>
      <t xml:space="preserve"> </t>
    </r>
    <r>
      <rPr>
        <rFont val="Arial"/>
        <b val="0"/>
        <color rgb="FF000000"/>
      </rPr>
      <t>09 April: Busy on call dropped a Text 06 April: Busy on call, Dropped a text 04 April: Busy on call Dropped a Text</t>
    </r>
  </si>
  <si>
    <t xml:space="preserve">Monu </t>
  </si>
  <si>
    <t>Yadav</t>
  </si>
  <si>
    <t xml:space="preserve">Viruccha </t>
  </si>
  <si>
    <t>70-80 w.s, 1-2 cabin</t>
  </si>
  <si>
    <r>
      <rPr>
        <rFont val="Arial"/>
        <b/>
        <color rgb="FF000000"/>
      </rPr>
      <t xml:space="preserve">14 April: He replied saying this is not in thier budget 13 April: Shared our Final offer over mail </t>
    </r>
    <r>
      <rPr>
        <rFont val="Arial"/>
        <b val="0"/>
        <color rgb="FF000000"/>
      </rPr>
      <t>08 April: His Budget is 1.5 lakhs for as is where is. shared counter offer over mail 07 April: We showed him the space and he has shared his commercials over mail and we have also shared our counter offer</t>
    </r>
    <r>
      <rPr>
        <rFont val="Arial"/>
        <b/>
        <color rgb="FF000000"/>
      </rPr>
      <t xml:space="preserve"> </t>
    </r>
    <r>
      <rPr>
        <rFont val="Arial"/>
        <b val="0"/>
        <color rgb="FF000000"/>
      </rPr>
      <t>06 April: Spoke he has shared the requirement its a BPO i have pitched sakinaka and he is visiting now 04 April: Ringing, Dropped A Text</t>
    </r>
    <r>
      <rPr>
        <rFont val="Arial"/>
        <b/>
        <color rgb="FF000000"/>
      </rPr>
      <t xml:space="preserve"> </t>
    </r>
  </si>
  <si>
    <t xml:space="preserve">Raman </t>
  </si>
  <si>
    <t xml:space="preserve">Dow </t>
  </si>
  <si>
    <r>
      <rPr>
        <rFont val="Arial"/>
        <b/>
        <color rgb="FF000000"/>
      </rPr>
      <t xml:space="preserve">07 April: Spoke he said he has not inquired and kept the call </t>
    </r>
    <r>
      <rPr>
        <rFont val="Arial"/>
        <b val="0"/>
        <color rgb="FF000000"/>
      </rPr>
      <t xml:space="preserve">06 April: Ringing, Dropped A Text  04 April: Ringing, Dropped A Text </t>
    </r>
  </si>
  <si>
    <t xml:space="preserve">Not Responsive </t>
  </si>
  <si>
    <t xml:space="preserve">Amol </t>
  </si>
  <si>
    <t xml:space="preserve">Dalal </t>
  </si>
  <si>
    <t>Startions</t>
  </si>
  <si>
    <t>1 seat</t>
  </si>
  <si>
    <r>
      <rPr>
        <rFont val="Arial"/>
        <b/>
        <color rgb="FF000000"/>
      </rPr>
      <t xml:space="preserve">04 June: Ringing, Dropped a text </t>
    </r>
    <r>
      <rPr>
        <rFont val="Arial"/>
        <b val="0"/>
        <color rgb="FF000000"/>
      </rPr>
      <t>02 June: Ringing, Dropped a text and voice note</t>
    </r>
    <r>
      <rPr>
        <rFont val="Arial"/>
        <b/>
        <color rgb="FF000000"/>
      </rPr>
      <t xml:space="preserve"> </t>
    </r>
    <r>
      <rPr>
        <rFont val="Arial"/>
        <b val="0"/>
        <color rgb="FF000000"/>
      </rPr>
      <t>28 May: Ringing, dropped a text</t>
    </r>
    <r>
      <rPr>
        <rFont val="Arial"/>
        <b/>
        <color rgb="FF000000"/>
      </rPr>
      <t xml:space="preserve"> </t>
    </r>
    <r>
      <rPr>
        <rFont val="Arial"/>
        <b val="0"/>
        <color rgb="FF000000"/>
      </rPr>
      <t>22 May: Ringing, Dropped a text</t>
    </r>
    <r>
      <rPr>
        <rFont val="Arial"/>
        <b/>
        <color rgb="FF000000"/>
      </rPr>
      <t xml:space="preserve"> </t>
    </r>
    <r>
      <rPr>
        <rFont val="Arial"/>
        <b val="0"/>
        <color rgb="FF000000"/>
      </rPr>
      <t>14 May: Ringing, dropped a text</t>
    </r>
    <r>
      <rPr>
        <rFont val="Arial"/>
        <b/>
        <color rgb="FF000000"/>
      </rPr>
      <t xml:space="preserve"> </t>
    </r>
    <r>
      <rPr>
        <rFont val="Arial"/>
        <b val="0"/>
        <color rgb="FF000000"/>
      </rPr>
      <t>11 May: Ringing, Dropped a text</t>
    </r>
    <r>
      <rPr>
        <rFont val="Arial"/>
        <b/>
        <color rgb="FF000000"/>
      </rPr>
      <t xml:space="preserve"> </t>
    </r>
    <r>
      <rPr>
        <rFont val="Arial"/>
        <b val="0"/>
        <color rgb="FF000000"/>
      </rPr>
      <t>06 May: Ringing, dropped a Text</t>
    </r>
    <r>
      <rPr>
        <rFont val="Arial"/>
        <b/>
        <color rgb="FF000000"/>
      </rPr>
      <t xml:space="preserve"> </t>
    </r>
    <r>
      <rPr>
        <rFont val="Arial"/>
        <b val="0"/>
        <color rgb="FF000000"/>
      </rPr>
      <t>04 May: Busy, on call dropped a text</t>
    </r>
    <r>
      <rPr>
        <rFont val="Arial"/>
        <b/>
        <color rgb="FF000000"/>
      </rPr>
      <t xml:space="preserve"> </t>
    </r>
    <r>
      <rPr>
        <rFont val="Arial"/>
        <b val="0"/>
        <color rgb="FF000000"/>
      </rPr>
      <t>29 April: Ringing, Dropped a text</t>
    </r>
    <r>
      <rPr>
        <rFont val="Arial"/>
        <b/>
        <color rgb="FF000000"/>
      </rPr>
      <t xml:space="preserve"> </t>
    </r>
    <r>
      <rPr>
        <rFont val="Arial"/>
        <b val="0"/>
        <color rgb="FF000000"/>
      </rPr>
      <t>27 April: Ringing, Dropped a text</t>
    </r>
    <r>
      <rPr>
        <rFont val="Arial"/>
        <b/>
        <color rgb="FF000000"/>
      </rPr>
      <t xml:space="preserve"> </t>
    </r>
    <r>
      <rPr>
        <rFont val="Arial"/>
        <b val="0"/>
        <color rgb="FF000000"/>
      </rPr>
      <t>24 April: Ringing, Dropped a text 22 April: Ringing, Dropped a text on WP</t>
    </r>
    <r>
      <rPr>
        <rFont val="Arial"/>
        <b/>
        <color rgb="FF000000"/>
      </rPr>
      <t xml:space="preserve"> </t>
    </r>
    <r>
      <rPr>
        <rFont val="Arial"/>
        <b val="0"/>
        <color rgb="FF000000"/>
      </rPr>
      <t>20 April: Ringing, Dropped a message</t>
    </r>
    <r>
      <rPr>
        <rFont val="Arial"/>
        <b/>
        <color rgb="FF000000"/>
      </rPr>
      <t xml:space="preserve"> </t>
    </r>
    <r>
      <rPr>
        <rFont val="Arial"/>
        <b val="0"/>
        <color rgb="FF000000"/>
      </rPr>
      <t>17 April: Spoke and I have pitched sakinaka again he has asked for images which I did share on WP 14 April: Ringing dropped a Text 12 April: Ringing, Dropped a text</t>
    </r>
    <r>
      <rPr>
        <rFont val="Arial"/>
        <b/>
        <color rgb="FF000000"/>
      </rPr>
      <t xml:space="preserve"> </t>
    </r>
    <r>
      <rPr>
        <rFont val="Arial"/>
        <b val="0"/>
        <color rgb="FF000000"/>
      </rPr>
      <t xml:space="preserve">10 April: Spoke he wants 1 seat on Western exp highway metro station only, I have shared the details of Sakinaka over WP 09 April: Ringing, Dropped a text 07 Arpil: Ringing, dropped a Text 06 April: Ringing, Dropped A Text </t>
    </r>
  </si>
  <si>
    <t xml:space="preserve">Ashish </t>
  </si>
  <si>
    <t xml:space="preserve">Kumari </t>
  </si>
  <si>
    <t xml:space="preserve">Vidya Rishi </t>
  </si>
  <si>
    <t>06 April: He said not looking for space</t>
  </si>
  <si>
    <t>Raveendra</t>
  </si>
  <si>
    <t>Shetty</t>
  </si>
  <si>
    <t>shetty@kelvinmech.com</t>
  </si>
  <si>
    <t>Kelvin Air Conditioning &amp; Ventilation Pvt. Ltd.</t>
  </si>
  <si>
    <t>21-50 seats, move-in in 1 month</t>
  </si>
  <si>
    <t xml:space="preserve"> 10 April: Ringing, Dropped a Text he replied saying we got it.</t>
  </si>
  <si>
    <t xml:space="preserve">Rajan </t>
  </si>
  <si>
    <t>raj@rshr.in</t>
  </si>
  <si>
    <t>21-50 seats, move-in immediately</t>
  </si>
  <si>
    <r>
      <rPr>
        <rFont val="Arial"/>
        <b/>
        <color rgb="FF000000"/>
      </rPr>
      <t xml:space="preserve">20 April: Spoke he said the requirement is fulfilled stop calling </t>
    </r>
    <r>
      <rPr>
        <rFont val="Arial"/>
        <b val="0"/>
        <color rgb="FF000000"/>
      </rPr>
      <t>17 Arpil: Ringing, Dropped a text 15 April: Ringing, Dropped a Text 13 April: Busy on call, Dropped a Text over WP</t>
    </r>
    <r>
      <rPr>
        <rFont val="Arial"/>
        <b/>
        <color rgb="FF000000"/>
      </rPr>
      <t xml:space="preserve"> </t>
    </r>
    <r>
      <rPr>
        <rFont val="Arial"/>
        <b val="0"/>
        <color rgb="FF000000"/>
      </rPr>
      <t>10 April: Ringing, dropped a Text</t>
    </r>
  </si>
  <si>
    <t>Raju</t>
  </si>
  <si>
    <t>Peyyala</t>
  </si>
  <si>
    <t>raju.peyyala@corestitch.in</t>
  </si>
  <si>
    <t>The Knowledge Company, India</t>
  </si>
  <si>
    <t xml:space="preserve">4 seater Cabin </t>
  </si>
  <si>
    <r>
      <rPr>
        <rFont val="Arial"/>
        <b/>
        <color rgb="FF000000"/>
      </rPr>
      <t xml:space="preserve">20 April: Spoke he has a lockin period in 91 Spring board in Vikroli thats the reason he is not looking for the space now </t>
    </r>
    <r>
      <rPr>
        <rFont val="Arial"/>
        <b val="0"/>
        <color rgb="FF000000"/>
      </rPr>
      <t>17 April: Spoke he is saying there is no revert from the management yet 15 April: Spoke he said the Decision maker is in Delhi and will be back in Next week reach out then</t>
    </r>
    <r>
      <rPr>
        <rFont val="Arial"/>
        <b/>
        <color rgb="FF000000"/>
      </rPr>
      <t xml:space="preserve"> </t>
    </r>
    <r>
      <rPr>
        <rFont val="Arial"/>
        <b val="0"/>
        <color rgb="FF000000"/>
      </rPr>
      <t xml:space="preserve">13 April: He has shared the details forward to his management he said now its on Management when they want to visit 10 April: Spoke he needs 4 seater Cabin space, I have pitched Sakinaka </t>
    </r>
  </si>
  <si>
    <r>
      <rPr>
        <rFont val="Arial"/>
        <b/>
        <color rgb="FF000000"/>
      </rPr>
      <t xml:space="preserve">11 June: Ringing, Dropped a text </t>
    </r>
    <r>
      <rPr>
        <rFont val="Arial"/>
        <b val="0"/>
        <color rgb="FF000000"/>
      </rPr>
      <t>08 June: Ringing, Dropped a text 04 June: Ringing, Dropped a text 02 June: Even shravani tried calling this lead but he didn't answer</t>
    </r>
    <r>
      <rPr>
        <rFont val="Arial"/>
        <b/>
        <color rgb="FF000000"/>
      </rPr>
      <t xml:space="preserve"> </t>
    </r>
    <r>
      <rPr>
        <rFont val="Arial"/>
        <b val="0"/>
        <color rgb="FF000000"/>
      </rPr>
      <t>28 May: ringing, Dropped a text 22 May: Ringing, dropped a text</t>
    </r>
    <r>
      <rPr>
        <rFont val="Arial"/>
        <b/>
        <color rgb="FF000000"/>
      </rPr>
      <t xml:space="preserve"> </t>
    </r>
    <r>
      <rPr>
        <rFont val="Arial"/>
        <b val="0"/>
        <color rgb="FF000000"/>
      </rPr>
      <t>14 May: Ringing, Dropped a text will drop a mail 11 May: Ringing, Dropped a text will drop a mail</t>
    </r>
    <r>
      <rPr>
        <rFont val="Arial"/>
        <b/>
        <color rgb="FF000000"/>
      </rPr>
      <t xml:space="preserve"> </t>
    </r>
    <r>
      <rPr>
        <rFont val="Arial"/>
        <b val="0"/>
        <color rgb="FF000000"/>
      </rPr>
      <t>06 May: Ringing, dropped a Text 04 May: Ringing, dropped a Text 29 April: Ringing, dropped a text</t>
    </r>
    <r>
      <rPr>
        <rFont val="Arial"/>
        <b/>
        <color rgb="FF000000"/>
      </rPr>
      <t xml:space="preserve"> </t>
    </r>
    <r>
      <rPr>
        <rFont val="Arial"/>
        <b val="0"/>
        <color rgb="FF000000"/>
      </rPr>
      <t>27 April: Ringing, Dropped a text 24 April: Ringing, Dropped a text 22 April: Ringing, Dropped a text 20 April: Ringing, dropped a text on WP</t>
    </r>
    <r>
      <rPr>
        <rFont val="Arial"/>
        <b/>
        <color rgb="FF000000"/>
      </rPr>
      <t xml:space="preserve"> </t>
    </r>
    <r>
      <rPr>
        <rFont val="Arial"/>
        <b val="0"/>
        <color rgb="FF000000"/>
      </rPr>
      <t>10 April: Spoke, He needs 1 hot seat, I have pitched Crescent and Lower parel Both and shared the details over WP</t>
    </r>
  </si>
  <si>
    <t>Satyaprakash</t>
  </si>
  <si>
    <t>Pandey</t>
  </si>
  <si>
    <t>spandey@vemados.com</t>
  </si>
  <si>
    <t>Vemados Textiles LLP</t>
  </si>
  <si>
    <t>1-20 seats, move-in in 3 months</t>
  </si>
  <si>
    <r>
      <rPr>
        <rFont val="Arial"/>
        <b/>
        <color rgb="FF000000"/>
      </rPr>
      <t xml:space="preserve">23 April: Spoke He is saying I have not inquired and I dont want any space </t>
    </r>
    <r>
      <rPr>
        <rFont val="Arial"/>
        <b val="0"/>
        <color rgb="FF000000"/>
      </rPr>
      <t>22 April: Ringing, Dropped a text</t>
    </r>
    <r>
      <rPr>
        <rFont val="Arial"/>
        <b/>
        <color rgb="FF000000"/>
      </rPr>
      <t xml:space="preserve"> </t>
    </r>
    <r>
      <rPr>
        <rFont val="Arial"/>
        <b val="0"/>
        <color rgb="FF000000"/>
      </rPr>
      <t>20 April: Ringing, dropped a text 17 April: Ringing, dropped a text 15 April: Ringing, Dropped a text</t>
    </r>
    <r>
      <rPr>
        <rFont val="Arial"/>
        <b/>
        <color rgb="FF000000"/>
      </rPr>
      <t xml:space="preserve"> </t>
    </r>
    <r>
      <rPr>
        <rFont val="Arial"/>
        <b val="0"/>
        <color rgb="FF000000"/>
      </rPr>
      <t xml:space="preserve">13 April: Ringing Dropped a Text 10 April: Ringing, Dropped a text </t>
    </r>
  </si>
  <si>
    <t>Vilas</t>
  </si>
  <si>
    <t>Jagtap</t>
  </si>
  <si>
    <t>vilas.jagtap@talicngpa.com</t>
  </si>
  <si>
    <t>Sr. Business Associate in Insurance with Tata Aia life</t>
  </si>
  <si>
    <t>Tata Aia life</t>
  </si>
  <si>
    <t>10 April: He wants bookable conference room, I Tried Pitching him Lower parel but he wants in Andheri Chakala only.</t>
  </si>
  <si>
    <t xml:space="preserve">Manoj </t>
  </si>
  <si>
    <t>Saraf</t>
  </si>
  <si>
    <t>manoj.saraf@fin-ally.co.in</t>
  </si>
  <si>
    <t>Chartered Accountants</t>
  </si>
  <si>
    <t>MG Saraf &amp; Co</t>
  </si>
  <si>
    <r>
      <rPr>
        <rFont val="Arial"/>
        <b/>
        <color rgb="FF000000"/>
      </rPr>
      <t xml:space="preserve">23 April: Spoke he just said not interested and kept the call </t>
    </r>
    <r>
      <rPr>
        <rFont val="Arial"/>
        <b val="0"/>
        <color rgb="FF000000"/>
      </rPr>
      <t>22 April: Again disconnect the call, dropped a msg 20 April: Disconnected my call Dropped a text 17 April: Diconnected my call, dropped a text 15 April: Ringing, Dropped a text 13 April: Busy on call Dropped a text 12 April: Ringing, Dropped a Text 10 April: Ringing, Dropped a Text</t>
    </r>
  </si>
  <si>
    <t>Tejas</t>
  </si>
  <si>
    <t>Tolia</t>
  </si>
  <si>
    <t>Tstolia@tejasenterprise.com</t>
  </si>
  <si>
    <t>Tejas Enterprise/ Jayana Industries</t>
  </si>
  <si>
    <t xml:space="preserve">15 seats, 3 cabins, 1 conference </t>
  </si>
  <si>
    <r>
      <rPr>
        <rFont val="Arial"/>
        <b/>
        <color rgb="FF000000"/>
      </rPr>
      <t xml:space="preserve">02 June: Ringing, dropped a text </t>
    </r>
    <r>
      <rPr>
        <rFont val="Arial"/>
        <b val="0"/>
        <color rgb="FF000000"/>
      </rPr>
      <t>28 May: Spoke he said busy call back later</t>
    </r>
    <r>
      <rPr>
        <rFont val="Arial"/>
        <b/>
        <color rgb="FF000000"/>
      </rPr>
      <t xml:space="preserve"> </t>
    </r>
    <r>
      <rPr>
        <rFont val="Arial"/>
        <b val="0"/>
        <color rgb="FF000000"/>
      </rPr>
      <t>09 May: Ringing, Dropped a text</t>
    </r>
    <r>
      <rPr>
        <rFont val="Arial"/>
        <b/>
        <color rgb="FF000000"/>
      </rPr>
      <t xml:space="preserve"> </t>
    </r>
    <r>
      <rPr>
        <rFont val="Arial"/>
        <b val="0"/>
        <color rgb="FF000000"/>
      </rPr>
      <t>28 April: Ringing, Dropped a text</t>
    </r>
    <r>
      <rPr>
        <rFont val="Arial"/>
        <b/>
        <color rgb="FF000000"/>
      </rPr>
      <t xml:space="preserve"> </t>
    </r>
    <r>
      <rPr>
        <rFont val="Arial"/>
        <b val="0"/>
        <color rgb="FF000000"/>
      </rPr>
      <t xml:space="preserve">15 April: Ringing, Dropped a text 04 April: Busy on call, dropped a text he called back saying the requirement is on hold its management decision 29 April: Ringing, dropped a text 27 April: Spoke he said was busy coundn't go through the details which was shared on WP will check by tomorrow and let us know 24 April: Ringing, Dropped a text 22 April: Spoke he said sakinaka wont work so then I pushed him on Landmark, he said will discuss and get back 20 April: Ringing, Droppped aText 17 April: Spoke, and tried pushing for lower parel and sakinaka both he said wont work discuss this12 Apirl: Requirement for 15 seats, 3 cabins, and 1 conference room. Pitched Crescent Solitaire but not interested in Sakinaka location, Preference is strictly between Western Express Highway to Chakala. Also checked for Lower Parel, but he declined Discuss this10 April: Busy on call, dropped a text </t>
    </r>
  </si>
  <si>
    <t>Aprajita</t>
  </si>
  <si>
    <t>Krishna</t>
  </si>
  <si>
    <t>Aprajita.kishna@possessions.in</t>
  </si>
  <si>
    <t>proprietor</t>
  </si>
  <si>
    <t>Possessions - we turn dreams to realty</t>
  </si>
  <si>
    <r>
      <rPr>
        <rFont val="Arial"/>
        <b/>
        <color rgb="FF000000"/>
      </rPr>
      <t>13 April: Spoke she does't Wants space she is a broker operating from Chandivali, I have shared with her the details of all inventories in Mumbai</t>
    </r>
    <r>
      <rPr>
        <rFont val="Arial"/>
        <b val="0"/>
        <color rgb="FF000000"/>
      </rPr>
      <t>12 April: Tried calling the lead but no response. Dropped a voice note and WhatsApp message.</t>
    </r>
  </si>
  <si>
    <t>Shashank</t>
  </si>
  <si>
    <t>Kukreja</t>
  </si>
  <si>
    <t>shashank.kukreja@euroapi.com</t>
  </si>
  <si>
    <t>Aisa Global Buyer</t>
  </si>
  <si>
    <t>EUROAPI</t>
  </si>
  <si>
    <t>2 seater Cabin</t>
  </si>
  <si>
    <r>
      <rPr>
        <rFont val="Arial"/>
        <b/>
        <color rgb="FF000000"/>
      </rPr>
      <t xml:space="preserve">12 May: He said its on hold till June mid  </t>
    </r>
    <r>
      <rPr>
        <rFont val="Arial"/>
        <b val="0"/>
        <color rgb="FF000000"/>
      </rPr>
      <t>11 May: Spoke he said he will visit tomorrow 06 May: Ringing, Dropped a text 04 April: Ringing, Dropped a Text 30 April: Ringing, dropped a text</t>
    </r>
    <r>
      <rPr>
        <rFont val="Arial"/>
        <b/>
        <color rgb="FF000000"/>
      </rPr>
      <t xml:space="preserve"> </t>
    </r>
    <r>
      <rPr>
        <rFont val="Arial"/>
        <b val="0"/>
        <color rgb="FF000000"/>
      </rPr>
      <t>29 April: Reachout tomorrow.</t>
    </r>
    <r>
      <rPr>
        <rFont val="Arial"/>
        <b/>
        <color rgb="FF000000"/>
      </rPr>
      <t xml:space="preserve"> </t>
    </r>
    <r>
      <rPr>
        <rFont val="Arial"/>
        <b val="0"/>
        <color rgb="FF000000"/>
      </rPr>
      <t>Dropped a text 22 April: Disconnected the call, dropped a text he replied saying he is travelling and will be back on 30th April, and will try to visit by 1st week of May 20 April: Disconnected the call, Dropped a Text 17 April: Diconnected the call, dropped a text he replied saying travelling connect next week 15 April: Ringing, Dropped a voice note and text on WP 12 April: Requirement for a 2-seater cabin. Open to any location. Shared details for both Lower Parel and Sakinaka.</t>
    </r>
  </si>
  <si>
    <t>Mohit</t>
  </si>
  <si>
    <t>marketing@quantaeai.in</t>
  </si>
  <si>
    <t>Quantae Technology</t>
  </si>
  <si>
    <r>
      <rPr>
        <rFont val="Arial"/>
        <b/>
        <color rgb="FF000000"/>
      </rPr>
      <t xml:space="preserve">28 May: Spoke he wants 2 seats in Thane only discuss this </t>
    </r>
    <r>
      <rPr>
        <rFont val="Arial"/>
        <b val="0"/>
        <color rgb="FF000000"/>
      </rPr>
      <t>22 May:Ringing, dropped a text</t>
    </r>
    <r>
      <rPr>
        <rFont val="Arial"/>
        <b/>
        <color rgb="FF000000"/>
      </rPr>
      <t xml:space="preserve"> </t>
    </r>
    <r>
      <rPr>
        <rFont val="Arial"/>
        <b val="0"/>
        <color rgb="FF000000"/>
      </rPr>
      <t>14 May: Ringing, Dropped a text will drop a mail</t>
    </r>
    <r>
      <rPr>
        <rFont val="Arial"/>
        <b/>
        <color rgb="FF000000"/>
      </rPr>
      <t xml:space="preserve"> </t>
    </r>
    <r>
      <rPr>
        <rFont val="Arial"/>
        <b val="0"/>
        <color rgb="FF000000"/>
      </rPr>
      <t>11 May: Ringing, Dropped a text</t>
    </r>
    <r>
      <rPr>
        <rFont val="Arial"/>
        <b/>
        <color rgb="FF000000"/>
      </rPr>
      <t xml:space="preserve"> </t>
    </r>
    <r>
      <rPr>
        <rFont val="Arial"/>
        <b val="0"/>
        <color rgb="FF000000"/>
      </rPr>
      <t>06 May: Disconnected the call, Dropped a text 04 May: disconnected the call dropped a text</t>
    </r>
    <r>
      <rPr>
        <rFont val="Arial"/>
        <b/>
        <color rgb="FF000000"/>
      </rPr>
      <t xml:space="preserve"> </t>
    </r>
    <r>
      <rPr>
        <rFont val="Arial"/>
        <b val="0"/>
        <color rgb="FF000000"/>
      </rPr>
      <t>29 April: Ringing, Dropped a text he replied saying he wants 2 seats in Thane, I have treid pitching LP and sakinaka but he has not replied</t>
    </r>
    <r>
      <rPr>
        <rFont val="Arial"/>
        <b/>
        <color rgb="FF000000"/>
      </rPr>
      <t xml:space="preserve"> </t>
    </r>
    <r>
      <rPr>
        <rFont val="Arial"/>
        <b val="0"/>
        <color rgb="FF000000"/>
      </rPr>
      <t>27 April: Call disconnected, Dropped a Text</t>
    </r>
    <r>
      <rPr>
        <rFont val="Arial"/>
        <b/>
        <color rgb="FF000000"/>
      </rPr>
      <t xml:space="preserve"> </t>
    </r>
    <r>
      <rPr>
        <rFont val="Arial"/>
        <b val="0"/>
        <color rgb="FF000000"/>
      </rPr>
      <t>24 April: Ringing, Dropped a text</t>
    </r>
    <r>
      <rPr>
        <rFont val="Arial"/>
        <b/>
        <color rgb="FF000000"/>
      </rPr>
      <t xml:space="preserve"> </t>
    </r>
    <r>
      <rPr>
        <rFont val="Arial"/>
        <b val="0"/>
        <color rgb="FF000000"/>
      </rPr>
      <t>22 April: Call get disconnected, Dropped a Text</t>
    </r>
    <r>
      <rPr>
        <rFont val="Arial"/>
        <b/>
        <color rgb="FF000000"/>
      </rPr>
      <t xml:space="preserve"> </t>
    </r>
    <r>
      <rPr>
        <rFont val="Arial"/>
        <b val="0"/>
        <color rgb="FF000000"/>
      </rPr>
      <t>20 April: Tried calling him but the he disconnected the call dropped a text 17 April :Tried calling, unable to connect 15 April: Disconnect my call, Dropped a text 13 April: Disconnect my call, I have dropped a msg</t>
    </r>
  </si>
  <si>
    <t>Aparna</t>
  </si>
  <si>
    <t>Kakodkar Kavatkar</t>
  </si>
  <si>
    <t>aparna@learnoverseas.com</t>
  </si>
  <si>
    <t>Vice president Sales and Operations</t>
  </si>
  <si>
    <t>Learn overseas</t>
  </si>
  <si>
    <t xml:space="preserve">15 w.s and 2-3 cabins </t>
  </si>
  <si>
    <r>
      <rPr>
        <rFont val="Arial"/>
        <b/>
        <color rgb="FF000000"/>
      </rPr>
      <t xml:space="preserve">25 May: Spoke, she said she can visit the landmark option on Wed afternoon discussed this internally we cannot take Landmark option for such small requirement \ </t>
    </r>
    <r>
      <rPr>
        <rFont val="Arial"/>
        <b val="0"/>
        <color rgb="FF000000"/>
      </rPr>
      <t>06 May: Ringing, dropped a Text spoke she said she is travelling touch base in end of the month</t>
    </r>
    <r>
      <rPr>
        <rFont val="Arial"/>
        <b/>
        <color rgb="FF000000"/>
      </rPr>
      <t xml:space="preserve"> </t>
    </r>
    <r>
      <rPr>
        <rFont val="Arial"/>
        <b val="0"/>
        <color rgb="FF000000"/>
      </rPr>
      <t>04 May: Busy on call Dropped a text</t>
    </r>
    <r>
      <rPr>
        <rFont val="Arial"/>
        <b/>
        <color rgb="FF000000"/>
      </rPr>
      <t xml:space="preserve"> </t>
    </r>
    <r>
      <rPr>
        <rFont val="Arial"/>
        <b val="0"/>
        <color rgb="FF000000"/>
      </rPr>
      <t>27 April: Ringing, Dropped a text she replied will take this ahead from May</t>
    </r>
    <r>
      <rPr>
        <rFont val="Arial"/>
        <b/>
        <color rgb="FF000000"/>
      </rPr>
      <t xml:space="preserve"> </t>
    </r>
    <r>
      <rPr>
        <rFont val="Arial"/>
        <b val="0"/>
        <color rgb="FF000000"/>
      </rPr>
      <t>24 April: Disconnected the call, Dropped a text</t>
    </r>
    <r>
      <rPr>
        <rFont val="Arial"/>
        <b/>
        <color rgb="FF000000"/>
      </rPr>
      <t xml:space="preserve"> </t>
    </r>
    <r>
      <rPr>
        <rFont val="Arial"/>
        <b val="0"/>
        <color rgb="FF000000"/>
      </rPr>
      <t xml:space="preserve">22 April: Spoke. She wants to Landmark option we will try to merge this requirement with Prebjyot or someone from the Lindedin 20 April: Spoke and tried pitching Landmark she open to see this but will have to discuss this internally 14 April: Spoke looking for 15 seats tried pitching Sakinaka but she doesn't want in Andheri She wants a space in Vileparle. Spoke to Mehul sir he is like we cannot do 15 seats in Vileparle, I am pushing for Sakinaka and Lower parel </t>
    </r>
  </si>
  <si>
    <t>Ananda</t>
  </si>
  <si>
    <t>Deogharia</t>
  </si>
  <si>
    <t>ananda.deogharia@jmfl.com</t>
  </si>
  <si>
    <t>CDO</t>
  </si>
  <si>
    <t>Amogh</t>
  </si>
  <si>
    <r>
      <rPr>
        <rFont val="Arial"/>
        <b/>
        <color rgb="FF000000"/>
      </rPr>
      <t xml:space="preserve">29 April: Ringing, Dropped a text he replied saying they have already have taken a space </t>
    </r>
    <r>
      <rPr>
        <rFont val="Arial"/>
        <b val="0"/>
        <color rgb="FF000000"/>
      </rPr>
      <t>27 April: Ringing, Dropped a text 24 April: Ringing, dropped a text on WP</t>
    </r>
    <r>
      <rPr>
        <rFont val="Arial"/>
        <b/>
        <color rgb="FF000000"/>
      </rPr>
      <t xml:space="preserve"> </t>
    </r>
    <r>
      <rPr>
        <rFont val="Arial"/>
        <b val="0"/>
        <color rgb="FF000000"/>
      </rPr>
      <t>22 April: He said he not the right person to talk to and will share Some POC Contact over WP</t>
    </r>
    <r>
      <rPr>
        <rFont val="Arial"/>
        <b/>
        <color rgb="FF000000"/>
      </rPr>
      <t xml:space="preserve"> </t>
    </r>
    <r>
      <rPr>
        <rFont val="Arial"/>
        <b val="0"/>
        <color rgb="FF000000"/>
      </rPr>
      <t xml:space="preserve"> 20 April: Disconnected my call 18 April: Ringing, Dropped a text 17 April: Ringing, Dropped a text on WP</t>
    </r>
  </si>
  <si>
    <t xml:space="preserve">Hitesh </t>
  </si>
  <si>
    <t>Mehra</t>
  </si>
  <si>
    <t>Sales@cresantoindia.com</t>
  </si>
  <si>
    <t>Vice President Sales and Marketing</t>
  </si>
  <si>
    <t>CIPL</t>
  </si>
  <si>
    <t xml:space="preserve">2 cabin 5-7 w.s </t>
  </si>
  <si>
    <r>
      <rPr>
        <rFont val="Arial"/>
        <b/>
        <color rgb="FF000000"/>
      </rPr>
      <t xml:space="preserve">14 May: Spoke he said he didn't like the crescent solitaire space. </t>
    </r>
    <r>
      <rPr>
        <rFont val="Arial"/>
        <b val="0"/>
        <color rgb="FF000000"/>
      </rPr>
      <t>11 May: Out of service, dropped a text 06 May: Visited the sakinaka space Crescent Solitaire</t>
    </r>
    <r>
      <rPr>
        <rFont val="Arial"/>
        <b/>
        <color rgb="FF000000"/>
      </rPr>
      <t xml:space="preserve"> </t>
    </r>
    <r>
      <rPr>
        <rFont val="Arial"/>
        <b val="0"/>
        <color rgb="FF000000"/>
      </rPr>
      <t>04 May: Ringing, Dropped a Text</t>
    </r>
    <r>
      <rPr>
        <rFont val="Arial"/>
        <b/>
        <color rgb="FF000000"/>
      </rPr>
      <t xml:space="preserve"> </t>
    </r>
    <r>
      <rPr>
        <rFont val="Arial"/>
        <b val="0"/>
        <color rgb="FF000000"/>
      </rPr>
      <t>02 May: He said he will visit the space in next week</t>
    </r>
    <r>
      <rPr>
        <rFont val="Arial"/>
        <b/>
        <color rgb="FF000000"/>
      </rPr>
      <t xml:space="preserve"> </t>
    </r>
    <r>
      <rPr>
        <rFont val="Arial"/>
        <b val="0"/>
        <color rgb="FF000000"/>
      </rPr>
      <t>29 April: Ringing, Disconnected the call dropped a text 27 April: Ringing, Dropped a Text</t>
    </r>
    <r>
      <rPr>
        <rFont val="Arial"/>
        <b/>
        <color rgb="FF000000"/>
      </rPr>
      <t xml:space="preserve"> </t>
    </r>
    <r>
      <rPr>
        <rFont val="Arial"/>
        <b val="0"/>
        <color rgb="FF000000"/>
      </rPr>
      <t xml:space="preserve">24 April: He is saying he will confirm the visit allow me time till next week 22 April: Spoke. He said he is busy as of now and will call back in sometime 20 April: Spoke, He just have a concern on the parking he asked me to call in Second half 18 April: Riniging, Dropped a voice note and Text on WP, Spoke he needs 2 cabins and 5-7 w.s, I have suggested Sakinaka, He asked for the details over WP with price, he said he will discuss with his partner and then visit </t>
    </r>
  </si>
  <si>
    <t>Vikke</t>
  </si>
  <si>
    <t>Bhawnaani</t>
  </si>
  <si>
    <t>pujabhawnani@meddiamaffia.com</t>
  </si>
  <si>
    <t>Meddia Mmaffia</t>
  </si>
  <si>
    <t xml:space="preserve">10 seats </t>
  </si>
  <si>
    <t>20 April: Spoke. He wants a 10 seater conventional space only because he is currently paying Rs. 30k for 500 sqft.</t>
  </si>
  <si>
    <t>Bharat</t>
  </si>
  <si>
    <t>Budhwani</t>
  </si>
  <si>
    <t>bharat@cerabuildprojects.com</t>
  </si>
  <si>
    <t>CEO, Co-Founder</t>
  </si>
  <si>
    <t>CeraBuild</t>
  </si>
  <si>
    <t xml:space="preserve">1-5 seats </t>
  </si>
  <si>
    <r>
      <rPr>
        <rFont val="Calibri, sans-serif"/>
        <b/>
        <color rgb="FF000000"/>
        <sz val="11.0"/>
      </rPr>
      <t xml:space="preserve">07 May: He visited the space we showed them Tv9 space as he wants a space on the ground floor only because they want a space only for storage purpose, but they didn't like the space and its way beyond their budget they have a udget of 100rs psq.ft on carpet </t>
    </r>
    <r>
      <rPr>
        <rFont val="Calibri, sans-serif"/>
        <b val="0"/>
        <color rgb="FF000000"/>
        <sz val="11.0"/>
      </rPr>
      <t>06 May: Ringing, dropped a Text</t>
    </r>
    <r>
      <rPr>
        <rFont val="Calibri, sans-serif"/>
        <b/>
        <color rgb="FF000000"/>
        <sz val="11.0"/>
      </rPr>
      <t xml:space="preserve"> </t>
    </r>
    <r>
      <rPr>
        <rFont val="Calibri, sans-serif"/>
        <b val="0"/>
        <color rgb="FF000000"/>
        <sz val="11.0"/>
      </rPr>
      <t>04 May: Spoke he said his patner is travelling and will let me know before he comes for visit</t>
    </r>
    <r>
      <rPr>
        <rFont val="Calibri, sans-serif"/>
        <b/>
        <color rgb="FF000000"/>
        <sz val="11.0"/>
      </rPr>
      <t xml:space="preserve"> </t>
    </r>
    <r>
      <rPr>
        <rFont val="Calibri, sans-serif"/>
        <b val="0"/>
        <color rgb="FF000000"/>
        <sz val="11.0"/>
      </rPr>
      <t>29 April: He said he will visit on saturday 1st half 27 April: Spoke he said he will try to visit in LP by end of this week, he said he will confirm by Thursday each out then 24 April: Disconnected my call, dropped a text 22 April: Took a FUP He said shared the details ahead with my patner allow me some days he will try to visit with him and finalize 21 April: Spoke. He is looking for 1-5 seat to start with in Andheri. I have pitched sakinaka. Also he needs a space to display setup for which he needs ground floor, for this I have pitched Ground floor Lower parel. Shared both the details.</t>
    </r>
  </si>
  <si>
    <t>Jadhav</t>
  </si>
  <si>
    <t>Info@answersoneworld.com</t>
  </si>
  <si>
    <t>Answers One World</t>
  </si>
  <si>
    <r>
      <rPr>
        <rFont val="Calibri, sans-serif"/>
        <b/>
        <color rgb="FF000000"/>
        <sz val="11.0"/>
      </rPr>
      <t xml:space="preserve">11 June: Ringing, Dropped a text </t>
    </r>
    <r>
      <rPr>
        <rFont val="Calibri, sans-serif"/>
        <b val="0"/>
        <color rgb="FF000000"/>
        <sz val="11.0"/>
      </rPr>
      <t>08 June: Ringing, Dropped a text 04 June: Ringing, Dropped a text</t>
    </r>
    <r>
      <rPr>
        <rFont val="Calibri, sans-serif"/>
        <b/>
        <color rgb="FF000000"/>
        <sz val="11.0"/>
      </rPr>
      <t xml:space="preserve"> </t>
    </r>
    <r>
      <rPr>
        <rFont val="Calibri, sans-serif"/>
        <b val="0"/>
        <color rgb="FF000000"/>
        <sz val="11.0"/>
      </rPr>
      <t>02 June: Ringing, Dropped a text</t>
    </r>
    <r>
      <rPr>
        <rFont val="Calibri, sans-serif"/>
        <b/>
        <color rgb="FF000000"/>
        <sz val="11.0"/>
      </rPr>
      <t xml:space="preserve"> </t>
    </r>
    <r>
      <rPr>
        <rFont val="Calibri, sans-serif"/>
        <b val="0"/>
        <color rgb="FF000000"/>
        <sz val="11.0"/>
      </rPr>
      <t>28 May: Ringing, Droppped a text</t>
    </r>
    <r>
      <rPr>
        <rFont val="Calibri, sans-serif"/>
        <b/>
        <color rgb="FF000000"/>
        <sz val="11.0"/>
      </rPr>
      <t xml:space="preserve"> </t>
    </r>
    <r>
      <rPr>
        <rFont val="Calibri, sans-serif"/>
        <b val="0"/>
        <color rgb="FF000000"/>
        <sz val="11.0"/>
      </rPr>
      <t>22 May: Ringing, dropped a text 14 May: Switch off, dropped a text 11 May: Ringing, Dropped a text drop a mail  06 May: Ringing, dropped a text 04 May: Ringing, Dropped a text 29 April: Ringing, Dropped a text 27 April: Ringing, Dropped a text 24 April: Ringing, Dropped a Text 22 April: Ringing, Dropped a Text. We got this lead in our earlier Meta Campaign as well then also he never answered one phone call or nor TEXTS</t>
    </r>
  </si>
  <si>
    <t>Hiranmaya</t>
  </si>
  <si>
    <t>Biswas</t>
  </si>
  <si>
    <t>founder@tabimitra.in</t>
  </si>
  <si>
    <t>PravasX Private Limited</t>
  </si>
  <si>
    <t>21-50 seats, 3 months</t>
  </si>
  <si>
    <r>
      <rPr>
        <rFont val="Calibri, sans-serif"/>
        <b/>
        <color rgb="FF000000"/>
        <sz val="11.0"/>
      </rPr>
      <t xml:space="preserve">02 June: Ringing, Dropped a text </t>
    </r>
    <r>
      <rPr>
        <rFont val="Calibri, sans-serif"/>
        <b val="0"/>
        <color rgb="FF000000"/>
        <sz val="11.0"/>
      </rPr>
      <t>28 May: Ringing, Dropped a text</t>
    </r>
    <r>
      <rPr>
        <rFont val="Calibri, sans-serif"/>
        <b/>
        <color rgb="FF000000"/>
        <sz val="11.0"/>
      </rPr>
      <t xml:space="preserve"> </t>
    </r>
    <r>
      <rPr>
        <rFont val="Calibri, sans-serif"/>
        <b val="0"/>
        <color rgb="FF000000"/>
        <sz val="11.0"/>
      </rPr>
      <t>22 May: Ringing, dropped a text 24 April: Ringing, dropped a msg he replied saying that he is travelling and will be back in Mid of May</t>
    </r>
    <r>
      <rPr>
        <rFont val="Calibri, sans-serif"/>
        <b/>
        <color rgb="FF000000"/>
        <sz val="11.0"/>
      </rPr>
      <t xml:space="preserve"> </t>
    </r>
    <r>
      <rPr>
        <rFont val="Calibri, sans-serif"/>
        <b val="0"/>
        <color rgb="FF000000"/>
        <sz val="11.0"/>
      </rPr>
      <t xml:space="preserve">22 April: Spoke. This is a pure startup they dont have any office and are looking for a space for 20 PAX. I have shared the Sakinaka Details with him on WP </t>
    </r>
  </si>
  <si>
    <t>Adivarekar</t>
  </si>
  <si>
    <t>tushar.adivarekar@tandongroup.com</t>
  </si>
  <si>
    <t>Sr Manager - Adminstration</t>
  </si>
  <si>
    <t>Tandon Information Solutions</t>
  </si>
  <si>
    <t xml:space="preserve">23 April: He wants a space on outright. I pushed for Fitouts but he is saying I have an internal team for the same and kept the call </t>
  </si>
  <si>
    <r>
      <rPr>
        <rFont val="Calibri, sans-serif"/>
        <b/>
        <color rgb="FF000000"/>
        <sz val="11.0"/>
      </rPr>
      <t xml:space="preserve">11 June: Ringing, Dropped a text </t>
    </r>
    <r>
      <rPr>
        <rFont val="Calibri, sans-serif"/>
        <b val="0"/>
        <color rgb="FF000000"/>
        <sz val="11.0"/>
      </rPr>
      <t>08 June: Ringing, Dropped a text 04 June: Ringing, Dropped a text</t>
    </r>
    <r>
      <rPr>
        <rFont val="Calibri, sans-serif"/>
        <b/>
        <color rgb="FF000000"/>
        <sz val="11.0"/>
      </rPr>
      <t xml:space="preserve"> </t>
    </r>
    <r>
      <rPr>
        <rFont val="Calibri, sans-serif"/>
        <b val="0"/>
        <color rgb="FF000000"/>
        <sz val="11.0"/>
      </rPr>
      <t>02 June: Ringing, Dropped a text</t>
    </r>
    <r>
      <rPr>
        <rFont val="Calibri, sans-serif"/>
        <b/>
        <color rgb="FF000000"/>
        <sz val="11.0"/>
      </rPr>
      <t xml:space="preserve"> </t>
    </r>
    <r>
      <rPr>
        <rFont val="Calibri, sans-serif"/>
        <b val="0"/>
        <color rgb="FF000000"/>
        <sz val="11.0"/>
      </rPr>
      <t>28 May: Ringing, Dropped a text</t>
    </r>
    <r>
      <rPr>
        <rFont val="Calibri, sans-serif"/>
        <b/>
        <color rgb="FF000000"/>
        <sz val="11.0"/>
      </rPr>
      <t xml:space="preserve"> </t>
    </r>
    <r>
      <rPr>
        <rFont val="Calibri, sans-serif"/>
        <b val="0"/>
        <color rgb="FF000000"/>
        <sz val="11.0"/>
      </rPr>
      <t>22 May: Ringing, Dropped a text</t>
    </r>
    <r>
      <rPr>
        <rFont val="Calibri, sans-serif"/>
        <b/>
        <color rgb="FF000000"/>
        <sz val="11.0"/>
      </rPr>
      <t xml:space="preserve"> </t>
    </r>
    <r>
      <rPr>
        <rFont val="Calibri, sans-serif"/>
        <b val="0"/>
        <color rgb="FF000000"/>
        <sz val="11.0"/>
      </rPr>
      <t>14 May: Ringing, dropped a Text</t>
    </r>
    <r>
      <rPr>
        <rFont val="Calibri, sans-serif"/>
        <b/>
        <color rgb="FF000000"/>
        <sz val="11.0"/>
      </rPr>
      <t xml:space="preserve"> </t>
    </r>
    <r>
      <rPr>
        <rFont val="Calibri, sans-serif"/>
        <b val="0"/>
        <color rgb="FF000000"/>
        <sz val="11.0"/>
      </rPr>
      <t>11 May: Ringing, Dropped a text</t>
    </r>
    <r>
      <rPr>
        <rFont val="Calibri, sans-serif"/>
        <b/>
        <color rgb="FF000000"/>
        <sz val="11.0"/>
      </rPr>
      <t xml:space="preserve"> </t>
    </r>
    <r>
      <rPr>
        <rFont val="Calibri, sans-serif"/>
        <b val="0"/>
        <color rgb="FF000000"/>
        <sz val="11.0"/>
      </rPr>
      <t xml:space="preserve">06 May: Disconnected my call dropped a text 04 May: He texted me in the morning saying that he wont be able to make it today and will text the next time when can he come </t>
    </r>
    <r>
      <rPr>
        <rFont val="Calibri, sans-serif"/>
        <b/>
        <color rgb="FF000000"/>
        <sz val="11.0"/>
      </rPr>
      <t xml:space="preserve"> </t>
    </r>
    <r>
      <rPr>
        <rFont val="Calibri, sans-serif"/>
        <b val="0"/>
        <color rgb="FF000000"/>
        <sz val="11.0"/>
      </rPr>
      <t>29 April: Ringing Dropped a text he replied saying he will visit on Monday 27 April: Ringing, Dropped a text</t>
    </r>
    <r>
      <rPr>
        <rFont val="Calibri, sans-serif"/>
        <b/>
        <color rgb="FF000000"/>
        <sz val="11.0"/>
      </rPr>
      <t xml:space="preserve"> </t>
    </r>
    <r>
      <rPr>
        <rFont val="Calibri, sans-serif"/>
        <b val="0"/>
        <color rgb="FF000000"/>
        <sz val="11.0"/>
      </rPr>
      <t xml:space="preserve">24 April: Ringing, Dropped Text 23 April: Spoke he wants 1-2 seats to start with and doesn't want to go to Sakinaka, I have pitched and shared the details of LP </t>
    </r>
  </si>
  <si>
    <t xml:space="preserve">Rajendra </t>
  </si>
  <si>
    <t xml:space="preserve">Chopra </t>
  </si>
  <si>
    <t>info@neeljyot.com</t>
  </si>
  <si>
    <t xml:space="preserve">Kesariya Builders and Developers </t>
  </si>
  <si>
    <t xml:space="preserve">1-20, 3 months </t>
  </si>
  <si>
    <r>
      <rPr>
        <rFont val="Calibri, sans-serif"/>
        <b/>
        <color rgb="FF000000"/>
        <sz val="11.0"/>
      </rPr>
      <t xml:space="preserve">11 June: Ringing, Dropped a text </t>
    </r>
    <r>
      <rPr>
        <rFont val="Calibri, sans-serif"/>
        <b val="0"/>
        <color rgb="FF000000"/>
        <sz val="11.0"/>
      </rPr>
      <t>08 June: Ringing, Dropped a text 04 June: Ringing, Dropped a text</t>
    </r>
    <r>
      <rPr>
        <rFont val="Calibri, sans-serif"/>
        <b/>
        <color rgb="FF000000"/>
        <sz val="11.0"/>
      </rPr>
      <t xml:space="preserve"> </t>
    </r>
    <r>
      <rPr>
        <rFont val="Calibri, sans-serif"/>
        <b val="0"/>
        <color rgb="FF000000"/>
        <sz val="11.0"/>
      </rPr>
      <t>02 June: Ringing, dropped a Voice note and Text on Whatsapp 28 May: Ringing, Dropped a text and voice note</t>
    </r>
    <r>
      <rPr>
        <rFont val="Calibri, sans-serif"/>
        <b/>
        <color rgb="FF000000"/>
        <sz val="11.0"/>
      </rPr>
      <t xml:space="preserve"> </t>
    </r>
    <r>
      <rPr>
        <rFont val="Calibri, sans-serif"/>
        <b val="0"/>
        <color rgb="FF000000"/>
        <sz val="11.0"/>
      </rPr>
      <t>22 May: Ringing, Dropped a text 14 May: disconnected my call dropped a text 11 May: Ringing, Dropped a text will drop a mail 08 May: Ringing, Dropped a text 06 May: Ringing, Dropped a text 05 May: Ringing, dropped a text and voice note</t>
    </r>
  </si>
  <si>
    <t xml:space="preserve">Anant </t>
  </si>
  <si>
    <t>anantjain@proactive.net.in</t>
  </si>
  <si>
    <t xml:space="preserve">Proactive In &amp; out advertising </t>
  </si>
  <si>
    <r>
      <rPr>
        <rFont val="Calibri, sans-serif"/>
        <b/>
        <color rgb="FF000000"/>
        <sz val="11.0"/>
      </rPr>
      <t xml:space="preserve">07 May: Spoke he said he wants a space on outright in Malad and boriwali areas only, he said if he needs help from us in fitouts he will reachout </t>
    </r>
    <r>
      <rPr>
        <rFont val="Calibri, sans-serif"/>
        <b val="0"/>
        <color rgb="FF000000"/>
        <sz val="11.0"/>
      </rPr>
      <t xml:space="preserve">06 May: Spoke, he said he is busy in a meeting call tomorrow 05 May: Saniel sir Said he will take this us and the call got disconnected. </t>
    </r>
  </si>
  <si>
    <t xml:space="preserve">Kanhaiya </t>
  </si>
  <si>
    <t>Lal Rathi</t>
  </si>
  <si>
    <t>99201 52673</t>
  </si>
  <si>
    <t>kanhaiya@kkab.in</t>
  </si>
  <si>
    <t>K K A B &amp; CO LLP</t>
  </si>
  <si>
    <t xml:space="preserve">15 w.s and 1 cabin. </t>
  </si>
  <si>
    <r>
      <rPr>
        <rFont val="Calibri, sans-serif"/>
        <b/>
        <color rgb="FF000000"/>
        <sz val="11.0"/>
      </rPr>
      <t xml:space="preserve">22 May: Tried calling again for a follow up they declined the call saying no they dont want any property option thy are exteding their own space only </t>
    </r>
    <r>
      <rPr>
        <rFont val="Calibri, sans-serif"/>
        <b val="0"/>
        <color rgb="FF000000"/>
        <sz val="11.0"/>
      </rPr>
      <t>21 May: They are looking for 15 w.s and 1 cabin. I have pitched Sakinaka and shared images over WhatsApp he said he will check with the team and come back.</t>
    </r>
  </si>
  <si>
    <t xml:space="preserve">Arijit </t>
  </si>
  <si>
    <t xml:space="preserve">Mondal </t>
  </si>
  <si>
    <t>arijitmondal160@gmail.com</t>
  </si>
  <si>
    <t>Regional Head</t>
  </si>
  <si>
    <t>Mindshaft Media Pvt Ltd</t>
  </si>
  <si>
    <t xml:space="preserve">10 W.s </t>
  </si>
  <si>
    <r>
      <rPr>
        <rFont val="Calibri, sans-serif"/>
        <b/>
        <color rgb="FF000000"/>
        <sz val="11.0"/>
      </rPr>
      <t xml:space="preserve">09 June: Ringing, Dropped a text </t>
    </r>
    <r>
      <rPr>
        <rFont val="Calibri, sans-serif"/>
        <b val="0"/>
        <color rgb="FF000000"/>
        <sz val="11.0"/>
      </rPr>
      <t>06 June: Ringing, dropped a text 04 June: Called twice Ringing, Dropped a text</t>
    </r>
    <r>
      <rPr>
        <rFont val="Calibri, sans-serif"/>
        <b/>
        <color rgb="FF000000"/>
        <sz val="11.0"/>
      </rPr>
      <t xml:space="preserve"> </t>
    </r>
    <r>
      <rPr>
        <rFont val="Calibri, sans-serif"/>
        <b val="0"/>
        <color rgb="FF000000"/>
        <sz val="11.0"/>
      </rPr>
      <t>02 June: He is busy with workload and couldn't step out, he said he will try to visit in next two days</t>
    </r>
    <r>
      <rPr>
        <rFont val="Calibri, sans-serif"/>
        <b/>
        <color rgb="FF000000"/>
        <sz val="11.0"/>
      </rPr>
      <t xml:space="preserve"> </t>
    </r>
    <r>
      <rPr>
        <rFont val="Calibri, sans-serif"/>
        <b val="0"/>
        <color rgb="FF000000"/>
        <sz val="11.0"/>
      </rPr>
      <t>28 May: Spoke, he said unfortunetly cound't visit because of work and will let me know next when he will visit 25 May: Spoke, he said he will Sakinaka on Wednesday</t>
    </r>
    <r>
      <rPr>
        <rFont val="Calibri, sans-serif"/>
        <b/>
        <color rgb="FF000000"/>
        <sz val="11.0"/>
      </rPr>
      <t xml:space="preserve"> </t>
    </r>
    <r>
      <rPr>
        <rFont val="Calibri, sans-serif"/>
        <b val="0"/>
        <color rgb="FF000000"/>
        <sz val="11.0"/>
      </rPr>
      <t>21 May: They are currently based in Goregaon and they want a space near Goregaon and Andheri. I have pitched Crescent solitaire and shared images over WhatsApp</t>
    </r>
  </si>
  <si>
    <t>Sanjiv</t>
  </si>
  <si>
    <t>sanjay@asiaticprolegis.com</t>
  </si>
  <si>
    <t xml:space="preserve">Alanna </t>
  </si>
  <si>
    <t xml:space="preserve">22 May: Spoke. He said wants a space on outright only and kept the call. </t>
  </si>
  <si>
    <t xml:space="preserve">Malviya </t>
  </si>
  <si>
    <t>brandbuilder.mumbai2group.in</t>
  </si>
  <si>
    <t xml:space="preserve">Gl security private Limited </t>
  </si>
  <si>
    <t xml:space="preserve">22 w.s, 1 cabin and pantry </t>
  </si>
  <si>
    <r>
      <rPr>
        <rFont val="Calibri, sans-serif"/>
        <b/>
        <color rgb="FF000000"/>
        <sz val="11.0"/>
      </rPr>
      <t xml:space="preserve">25 May: Spoke they want 22 w.s, 1 cabin and pantry only in Chakala specifically in Kanakia Wallstreet. Discussed this internally we cannot take an inventory for such small requirement </t>
    </r>
    <r>
      <rPr>
        <rFont val="Calibri, sans-serif"/>
        <b val="0"/>
        <color rgb="FF000000"/>
        <sz val="11.0"/>
      </rPr>
      <t>22 May: This Lead came in the earlier Campaign as well, they were not okay with sharing the space at that time. Tried calling him he didn't answer my call. I will drop a Text.</t>
    </r>
  </si>
  <si>
    <t xml:space="preserve">Dev </t>
  </si>
  <si>
    <t xml:space="preserve">Chand </t>
  </si>
  <si>
    <t>dev@abirivalife.com</t>
  </si>
  <si>
    <t>Abiriva life science pvt ltd</t>
  </si>
  <si>
    <r>
      <rPr>
        <rFont val="Calibri, sans-serif"/>
        <b/>
        <color rgb="FF000000"/>
        <sz val="11.0"/>
      </rPr>
      <t xml:space="preserve">11 June: Ringing, Dropped a text </t>
    </r>
    <r>
      <rPr>
        <rFont val="Calibri, sans-serif"/>
        <b val="0"/>
        <color rgb="FF000000"/>
        <sz val="11.0"/>
      </rPr>
      <t>08 June: Ringing, Dropped a text 04 June: Busy on call, dropped a text</t>
    </r>
    <r>
      <rPr>
        <rFont val="Calibri, sans-serif"/>
        <b/>
        <color rgb="FF000000"/>
        <sz val="11.0"/>
      </rPr>
      <t xml:space="preserve"> </t>
    </r>
    <r>
      <rPr>
        <rFont val="Calibri, sans-serif"/>
        <b val="0"/>
        <color rgb="FF000000"/>
        <sz val="11.0"/>
      </rPr>
      <t>02 June: Ringing, Dropped a text</t>
    </r>
    <r>
      <rPr>
        <rFont val="Calibri, sans-serif"/>
        <b/>
        <color rgb="FF000000"/>
        <sz val="11.0"/>
      </rPr>
      <t xml:space="preserve"> </t>
    </r>
    <r>
      <rPr>
        <rFont val="Calibri, sans-serif"/>
        <b val="0"/>
        <color rgb="FF000000"/>
        <sz val="11.0"/>
      </rPr>
      <t>28 May: Ringing, Dropped a text</t>
    </r>
    <r>
      <rPr>
        <rFont val="Calibri, sans-serif"/>
        <b/>
        <color rgb="FF000000"/>
        <sz val="11.0"/>
      </rPr>
      <t xml:space="preserve"> </t>
    </r>
    <r>
      <rPr>
        <rFont val="Calibri, sans-serif"/>
        <b val="0"/>
        <color rgb="FF000000"/>
        <sz val="11.0"/>
      </rPr>
      <t>25 May: Ringing, dropped a text 22 May: This lead also came earlier.Spoke he said he will call back in sometime</t>
    </r>
  </si>
  <si>
    <t xml:space="preserve">Mohammed </t>
  </si>
  <si>
    <t xml:space="preserve">Anis </t>
  </si>
  <si>
    <t>coo@abnid.com</t>
  </si>
  <si>
    <t xml:space="preserve">COO </t>
  </si>
  <si>
    <t xml:space="preserve">American Ratings </t>
  </si>
  <si>
    <t xml:space="preserve">5 w.s enclosed </t>
  </si>
  <si>
    <r>
      <rPr>
        <rFont val="Calibri, sans-serif"/>
        <b/>
        <color rgb="FF000000"/>
        <sz val="11.0"/>
      </rPr>
      <t xml:space="preserve">09 June: Ringing, dropped a text </t>
    </r>
    <r>
      <rPr>
        <rFont val="Calibri, sans-serif"/>
        <b val="0"/>
        <color rgb="FF000000"/>
        <sz val="11.0"/>
      </rPr>
      <t>06 June: Ringing, Dropped a Text 04 June: Ringing, Dropped a text 02 June: Ringing, droppe a text</t>
    </r>
    <r>
      <rPr>
        <rFont val="Calibri, sans-serif"/>
        <b/>
        <color rgb="FF000000"/>
        <sz val="11.0"/>
      </rPr>
      <t xml:space="preserve"> </t>
    </r>
    <r>
      <rPr>
        <rFont val="Calibri, sans-serif"/>
        <b val="0"/>
        <color rgb="FF000000"/>
        <sz val="11.0"/>
      </rPr>
      <t>28 May: Ringing, Dropped a text</t>
    </r>
    <r>
      <rPr>
        <rFont val="Calibri, sans-serif"/>
        <b/>
        <color rgb="FF000000"/>
        <sz val="11.0"/>
      </rPr>
      <t xml:space="preserve"> </t>
    </r>
    <r>
      <rPr>
        <rFont val="Calibri, sans-serif"/>
        <b val="0"/>
        <color rgb="FF000000"/>
        <sz val="11.0"/>
      </rPr>
      <t>25 May: Spoke he said Lower parel wont work for him, I am pushing for a visit in Sakinaka 23 May: Spoke. 5 w.s enclosed only. 24/7 operational. Provided details of Sakinaka and Lower parel both</t>
    </r>
  </si>
  <si>
    <t xml:space="preserve">Neeraj </t>
  </si>
  <si>
    <t xml:space="preserve">Narain </t>
  </si>
  <si>
    <t>neeraj@esampark.biz</t>
  </si>
  <si>
    <t>esampark tech solutions Pvt Ltd</t>
  </si>
  <si>
    <t xml:space="preserve">Around 30 w.s not disclosed </t>
  </si>
  <si>
    <r>
      <rPr>
        <rFont val="Calibri, sans-serif"/>
        <b/>
        <color rgb="FF000000"/>
        <sz val="11.0"/>
      </rPr>
      <t>11 June: Ringing, dropped a text</t>
    </r>
    <r>
      <rPr>
        <rFont val="Calibri, sans-serif"/>
        <b val="0"/>
        <color rgb="FF000000"/>
        <sz val="11.0"/>
      </rPr>
      <t xml:space="preserve"> 08 June: Ringing, Dropped a text 04 June: Ringing, Dropped a text</t>
    </r>
    <r>
      <rPr>
        <rFont val="Calibri, sans-serif"/>
        <b/>
        <color rgb="FF000000"/>
        <sz val="11.0"/>
      </rPr>
      <t xml:space="preserve"> </t>
    </r>
    <r>
      <rPr>
        <rFont val="Calibri, sans-serif"/>
        <b val="0"/>
        <color rgb="FF000000"/>
        <sz val="11.0"/>
      </rPr>
      <t>02 June: Ringing, dropped a text</t>
    </r>
    <r>
      <rPr>
        <rFont val="Calibri, sans-serif"/>
        <b/>
        <color rgb="FF000000"/>
        <sz val="11.0"/>
      </rPr>
      <t xml:space="preserve"> </t>
    </r>
    <r>
      <rPr>
        <rFont val="Calibri, sans-serif"/>
        <b val="0"/>
        <color rgb="FF000000"/>
        <sz val="11.0"/>
      </rPr>
      <t>28 May: Disconnected the call, drop a text</t>
    </r>
    <r>
      <rPr>
        <rFont val="Calibri, sans-serif"/>
        <b/>
        <color rgb="FF000000"/>
        <sz val="11.0"/>
      </rPr>
      <t xml:space="preserve"> </t>
    </r>
    <r>
      <rPr>
        <rFont val="Calibri, sans-serif"/>
        <b val="0"/>
        <color rgb="FF000000"/>
        <sz val="11.0"/>
      </rPr>
      <t xml:space="preserve">26 May: Spoke to Neeraj he said he put an inquiry to understand our offering I gave them a clear understanding of our offering. He said share the company profile as they are just exploring they dont have a clear requirement right now and he is travelling he said we will touch base later. Shared mail </t>
    </r>
  </si>
  <si>
    <t xml:space="preserve">Vinod </t>
  </si>
  <si>
    <t xml:space="preserve">Jawade </t>
  </si>
  <si>
    <t>vinod.jawade@checkpt.com</t>
  </si>
  <si>
    <t xml:space="preserve">Manager </t>
  </si>
  <si>
    <t>checkpt.com</t>
  </si>
  <si>
    <t xml:space="preserve">15 w.s </t>
  </si>
  <si>
    <r>
      <rPr>
        <rFont val="Calibri, sans-serif"/>
        <b/>
        <color rgb="FF000000"/>
        <sz val="11.0"/>
      </rPr>
      <t xml:space="preserve">28 May: Spoke today as well he wants a A grade Structure only in Chakala and WEH for 15 w.s discuss this </t>
    </r>
    <r>
      <rPr>
        <rFont val="Calibri, sans-serif"/>
        <b val="0"/>
        <color rgb="FF000000"/>
        <sz val="11.0"/>
      </rPr>
      <t>26 May: Spoke he said he needs a space in Chakala only for 15 w.s don't want to sakinaka and lp. Discuss this</t>
    </r>
    <r>
      <rPr>
        <rFont val="Calibri, sans-serif"/>
        <b/>
        <color rgb="FF000000"/>
        <sz val="11.0"/>
      </rPr>
      <t xml:space="preserve"> </t>
    </r>
  </si>
  <si>
    <t xml:space="preserve">Radhakrishna </t>
  </si>
  <si>
    <t>connect@avatarafoundation.org</t>
  </si>
  <si>
    <t xml:space="preserve">Shree Ram Welfare Society high School </t>
  </si>
  <si>
    <t xml:space="preserve">1 cabin </t>
  </si>
  <si>
    <t>09 June: Spoke he said he is in a meeting and will call back  06 June: Ringing, dropped a text04 June: Spoke he wants 1 cabin pitched Sakinaka, shared the details over whatsapp, its a NGO which started few months ago</t>
  </si>
  <si>
    <t xml:space="preserve">Sejal </t>
  </si>
  <si>
    <t xml:space="preserve">Shesth </t>
  </si>
  <si>
    <t>sejal@marcglobal.com</t>
  </si>
  <si>
    <t xml:space="preserve">CGO </t>
  </si>
  <si>
    <t>Marc</t>
  </si>
  <si>
    <r>
      <rPr>
        <rFont val="Calibri, sans-serif"/>
        <b/>
        <color rgb="FF000000"/>
        <sz val="11.0"/>
      </rPr>
      <t xml:space="preserve">08 June: Ringing Dropped a text she replied saying, Please share inventory you have in andheri she is looking for 5 w.s only. I have shared the details with her, she will send her Admin to visit  </t>
    </r>
    <r>
      <rPr>
        <rFont val="Calibri, sans-serif"/>
        <b val="0"/>
        <color rgb="FF000000"/>
        <sz val="11.0"/>
      </rPr>
      <t>05 June: Ringing, Dropped a text</t>
    </r>
    <r>
      <rPr>
        <rFont val="Calibri, sans-serif"/>
        <b/>
        <color rgb="FF000000"/>
        <sz val="11.0"/>
      </rPr>
      <t xml:space="preserve"> </t>
    </r>
  </si>
  <si>
    <t xml:space="preserve">Hiren </t>
  </si>
  <si>
    <t xml:space="preserve">Mehta </t>
  </si>
  <si>
    <t>hiren@udtechs.com</t>
  </si>
  <si>
    <t xml:space="preserve">Unified Data tech </t>
  </si>
  <si>
    <t xml:space="preserve">50 - 60 w.s, 25 seater conference, 3 cabin, Pantry and Cafeteria </t>
  </si>
  <si>
    <r>
      <rPr>
        <rFont val="Calibri, sans-serif"/>
        <b/>
        <color rgb="FF000000"/>
        <sz val="11.0"/>
      </rPr>
      <t xml:space="preserve">08 June: Spoke, He said he has a requirement looking for space in Lower parel, Worli, Dadar, Nariman Point, BKC, Kalina and Andheri, But their budget is very strict cannot go beyond 5-6 lakhs and wants entire MOS Model only discussed this with the team we don't have inventory as such </t>
    </r>
    <r>
      <rPr>
        <rFont val="Calibri, sans-serif"/>
        <b val="0"/>
        <color rgb="FF000000"/>
        <sz val="11.0"/>
      </rPr>
      <t>05 June: Ringing, Dropped a text and voice note</t>
    </r>
  </si>
  <si>
    <t>Zeenath</t>
  </si>
  <si>
    <t xml:space="preserve">Malhotra </t>
  </si>
  <si>
    <t>zeenat@vzardstudios.com</t>
  </si>
  <si>
    <t xml:space="preserve">Executive </t>
  </si>
  <si>
    <t>VZARD STUDIOS PVT LTD</t>
  </si>
  <si>
    <t xml:space="preserve">15 w.s only </t>
  </si>
  <si>
    <r>
      <rPr>
        <rFont val="Calibri, sans-serif"/>
        <b/>
        <color rgb="FF000000"/>
        <sz val="11.0"/>
      </rPr>
      <t xml:space="preserve">10 June: Spoke, she said she is looking at 15w.s only in Goregoan and Andheri West and doesn't want andheri East discuss this as well  </t>
    </r>
    <r>
      <rPr>
        <rFont val="Calibri, sans-serif"/>
        <b val="0"/>
        <color rgb="FF000000"/>
        <sz val="11.0"/>
      </rPr>
      <t xml:space="preserve">08 June: Ringing, Dropped a text </t>
    </r>
  </si>
  <si>
    <t xml:space="preserve">Kuldeep </t>
  </si>
  <si>
    <t>kuldeep@dotstream.in</t>
  </si>
  <si>
    <t xml:space="preserve">CBO </t>
  </si>
  <si>
    <t>Dot Strem Vetures PVT LTD</t>
  </si>
  <si>
    <r>
      <rPr>
        <rFont val="Calibri, sans-serif"/>
        <b/>
        <color rgb="FF000000"/>
        <sz val="11.0"/>
      </rPr>
      <t xml:space="preserve">09 June: Spoke he said, send your company profile over mail will revert with th requirement </t>
    </r>
    <r>
      <rPr>
        <rFont val="Calibri, sans-serif"/>
        <b val="0"/>
        <color rgb="FF000000"/>
        <sz val="11.0"/>
      </rPr>
      <t xml:space="preserve">08 June: Ringing, Dropped a text </t>
    </r>
  </si>
  <si>
    <t xml:space="preserve">Sarvam </t>
  </si>
  <si>
    <t xml:space="preserve">Bansal </t>
  </si>
  <si>
    <t>sarvam@olevea.com</t>
  </si>
  <si>
    <t>Olevea</t>
  </si>
  <si>
    <t xml:space="preserve">20 seats, 1 cabin and 1 conference </t>
  </si>
  <si>
    <r>
      <rPr>
        <rFont val="Calibri, sans-serif"/>
        <b/>
        <color rgb="FF000000"/>
        <sz val="11.0"/>
      </rPr>
      <t xml:space="preserve">09 June: Ringing, Dropped a text He called back saying he has a requirement in Marol only and needs 20 seats 1 cabin and 1 conference, tried pitching Sakinaka but he doesn't want to go there. Discuss this  </t>
    </r>
    <r>
      <rPr>
        <rFont val="Calibri, sans-serif"/>
        <b val="0"/>
        <color rgb="FF000000"/>
        <sz val="11.0"/>
      </rPr>
      <t xml:space="preserve">08 June: Spoke. He said drop me a text will call back in sometime. </t>
    </r>
  </si>
  <si>
    <t>97699 66770</t>
  </si>
  <si>
    <t xml:space="preserve">Cellpage Venture PVT LTD </t>
  </si>
  <si>
    <t xml:space="preserve">4 w.s and 1 boss cabin </t>
  </si>
  <si>
    <t xml:space="preserve">09 June: Spoke. This lead came earlier as well through Linkedin that time he just disconnected the call saying no requirement and stop calling. Now he has a requirement and needs 4 w.s and 1 boss cabin, I have pitched Crescent and shared the details on WP. He replied saying will discuss and get back </t>
  </si>
  <si>
    <t xml:space="preserve">Dilip </t>
  </si>
  <si>
    <t xml:space="preserve">Pradhan </t>
  </si>
  <si>
    <t>dilip@elynker.com</t>
  </si>
  <si>
    <t xml:space="preserve">Operations Manager </t>
  </si>
  <si>
    <t xml:space="preserve">Elynker </t>
  </si>
  <si>
    <t xml:space="preserve">12 seater cabin space </t>
  </si>
  <si>
    <t xml:space="preserve">10 June: Spoke he said call back after 1pm, Called again he didn't answer dropped a text. He replied saying needs 12 seater cabin space. Pitched Crescent solitaire but he don't want to go to Sakinaka. neither LP. He wants Chakala or Andheri Railway station only. Discuss this  </t>
  </si>
  <si>
    <t>Neha/Madhvi</t>
  </si>
  <si>
    <t>Juhi</t>
  </si>
  <si>
    <t>Tandon</t>
  </si>
  <si>
    <t>95617 56172</t>
  </si>
  <si>
    <t>juhi.tandon@mavenworkforce.com</t>
  </si>
  <si>
    <t>Head of Talent Acquisition</t>
  </si>
  <si>
    <t>Maven Workforce Inc.</t>
  </si>
  <si>
    <t>51-100 seats, 1-3 months</t>
  </si>
  <si>
    <t>Shared tentative numbers with them…Suggest them to visit.</t>
  </si>
  <si>
    <t>Bhasin</t>
  </si>
  <si>
    <t>98106 53154</t>
  </si>
  <si>
    <t>business@virtuousind.com</t>
  </si>
  <si>
    <t>Director Global Sourcing</t>
  </si>
  <si>
    <t>The Virtuous Group</t>
  </si>
  <si>
    <t>Requirement is less only 10-12 seats...they can give 3 years of lock-in and 6 month deposit</t>
  </si>
  <si>
    <t xml:space="preserve">Nitin Kumar </t>
  </si>
  <si>
    <t>Agrawal</t>
  </si>
  <si>
    <t>70657 71515</t>
  </si>
  <si>
    <t>nitin@agrow.in</t>
  </si>
  <si>
    <t>Co founder and CBO</t>
  </si>
  <si>
    <t>Agrow Essence LLP</t>
  </si>
  <si>
    <t>25-50, 1-3 months</t>
  </si>
  <si>
    <t>they will plan visit soon</t>
  </si>
  <si>
    <t xml:space="preserve">Rakesh </t>
  </si>
  <si>
    <t>Kandwal</t>
  </si>
  <si>
    <t>rakesh@comscraft.com</t>
  </si>
  <si>
    <t>Comscraft Technology Private Limited</t>
  </si>
  <si>
    <t>Requirement is very less…they only want 2seats</t>
  </si>
  <si>
    <t>Ashi</t>
  </si>
  <si>
    <t>Goswami</t>
  </si>
  <si>
    <t>Golden Bird Venture</t>
  </si>
  <si>
    <t xml:space="preserve">Not answering my calls </t>
  </si>
  <si>
    <t>Puneet</t>
  </si>
  <si>
    <t>Aggarwal</t>
  </si>
  <si>
    <t>Puneet@ailifebot.com</t>
  </si>
  <si>
    <t>Founder &amp; CEO</t>
  </si>
  <si>
    <t>AI LifeBOT</t>
  </si>
  <si>
    <t>Satendra</t>
  </si>
  <si>
    <t>75034 12242</t>
  </si>
  <si>
    <t>cloudresourceready@gmail.com</t>
  </si>
  <si>
    <t>Associate Vice President Human Resource</t>
  </si>
  <si>
    <t>Afracon Technology LLC</t>
  </si>
  <si>
    <t>Wrong number</t>
  </si>
  <si>
    <t xml:space="preserve">Shikha
</t>
  </si>
  <si>
    <t>Sharma</t>
  </si>
  <si>
    <t>shikha@getwork.org</t>
  </si>
  <si>
    <t>Senior Talent Acquisition Specialist</t>
  </si>
  <si>
    <t>GetWork</t>
  </si>
  <si>
    <t>51-100, immediately</t>
  </si>
  <si>
    <t xml:space="preserve">No requirement </t>
  </si>
  <si>
    <t>Yash</t>
  </si>
  <si>
    <t>Arora</t>
  </si>
  <si>
    <t>98211 30126</t>
  </si>
  <si>
    <t>yasharora@nexmileprofessionals.com</t>
  </si>
  <si>
    <t>NeXMiLe Professionals</t>
  </si>
  <si>
    <t>&lt;25, within 1 months</t>
  </si>
  <si>
    <t>Need urgently within a week</t>
  </si>
  <si>
    <t xml:space="preserve">Sakshi </t>
  </si>
  <si>
    <t>Mittal</t>
  </si>
  <si>
    <t>sakshi.mittal@coreops.ai</t>
  </si>
  <si>
    <t>Head Of HR</t>
  </si>
  <si>
    <t>CoreOps .AI</t>
  </si>
  <si>
    <t>Said No Requirement</t>
  </si>
  <si>
    <t>Manu</t>
  </si>
  <si>
    <t>K Kapur</t>
  </si>
  <si>
    <t>manu.kapur@abbeyroadsourcing.com</t>
  </si>
  <si>
    <t>Abbey Road Sourcing Pvt Ltd.</t>
  </si>
  <si>
    <t>Asked to call call on monday.</t>
  </si>
  <si>
    <t>Dhirendra</t>
  </si>
  <si>
    <t>dhirendra@cost2action.com</t>
  </si>
  <si>
    <t>Cost2Action</t>
  </si>
  <si>
    <t>Need only 20 seats and the budget is low</t>
  </si>
  <si>
    <t>Mayank</t>
  </si>
  <si>
    <t>Tomar</t>
  </si>
  <si>
    <t>mayanktomar@bootes.in</t>
  </si>
  <si>
    <t>Sr. VP Sales</t>
  </si>
  <si>
    <t>Bootes</t>
  </si>
  <si>
    <t>Need 25-30 seats.will plan their visit shortly also they can 2years of lock-in and security we will discuss</t>
  </si>
  <si>
    <t>Neha</t>
  </si>
  <si>
    <t>neha@abggroup.in</t>
  </si>
  <si>
    <t>ABG Group</t>
  </si>
  <si>
    <t>Want something in sector 62 or 63</t>
  </si>
  <si>
    <t>P Tiwari</t>
  </si>
  <si>
    <t>auctusresource@gmail.com</t>
  </si>
  <si>
    <t>Auctus Resources</t>
  </si>
  <si>
    <t>&lt;25, Immediate</t>
  </si>
  <si>
    <t>Looking for 4 seater can give us more than 1 year lock-in</t>
  </si>
  <si>
    <t>22nd May</t>
  </si>
  <si>
    <t xml:space="preserve">Nagesh </t>
  </si>
  <si>
    <t>H</t>
  </si>
  <si>
    <t>growth@digitosis.com</t>
  </si>
  <si>
    <t xml:space="preserve">DIGITOSIS </t>
  </si>
  <si>
    <t>50-100</t>
  </si>
  <si>
    <t>Cold Lead</t>
  </si>
  <si>
    <t xml:space="preserve">Not answering </t>
  </si>
  <si>
    <t xml:space="preserve">Ajay </t>
  </si>
  <si>
    <t>sandeep@fortifiedinfotech.com</t>
  </si>
  <si>
    <t>MD and CEO</t>
  </si>
  <si>
    <t>Fortifield Infotech</t>
  </si>
  <si>
    <t>Hot lead</t>
  </si>
  <si>
    <r>
      <rPr>
        <rFont val="Arial"/>
        <b/>
        <color theme="1"/>
      </rPr>
      <t>Told to call firs thing monday</t>
    </r>
    <r>
      <rPr>
        <rFont val="Arial"/>
        <color theme="1"/>
      </rPr>
      <t xml:space="preserve"> Shared property options around new airport road / Hoskote</t>
    </r>
  </si>
  <si>
    <t xml:space="preserve">Rajveer </t>
  </si>
  <si>
    <t>M</t>
  </si>
  <si>
    <t>rajveer@hiyara-tech.com</t>
  </si>
  <si>
    <t>Hiyara Technology</t>
  </si>
  <si>
    <t>80-100</t>
  </si>
  <si>
    <t xml:space="preserve">Waiting for their response on the selected property options </t>
  </si>
  <si>
    <t>Gangwal</t>
  </si>
  <si>
    <t>hrsh@nnn.com</t>
  </si>
  <si>
    <t>1000+</t>
  </si>
  <si>
    <t xml:space="preserve">None of the above </t>
  </si>
  <si>
    <t xml:space="preserve">Alt F client into co working space , to connect him with fidelitu . discussed this case </t>
  </si>
  <si>
    <t>Manohar</t>
  </si>
  <si>
    <t>Chikkannna</t>
  </si>
  <si>
    <t>manohar@parentof.com</t>
  </si>
  <si>
    <t>ParentOf</t>
  </si>
  <si>
    <t xml:space="preserve">they just closed their requiremnet </t>
  </si>
  <si>
    <t>Klm</t>
  </si>
  <si>
    <t>Murali</t>
  </si>
  <si>
    <t>murali.mr@lge.com</t>
  </si>
  <si>
    <t>Facility Manager</t>
  </si>
  <si>
    <t>LG Soft India</t>
  </si>
  <si>
    <t>Shared property options in ORR</t>
  </si>
  <si>
    <t>Feroze</t>
  </si>
  <si>
    <t>Sait</t>
  </si>
  <si>
    <t>accounts@safinaholdings.com</t>
  </si>
  <si>
    <t>Safina Plaza</t>
  </si>
  <si>
    <t>50 seater</t>
  </si>
  <si>
    <t>Shared A grade properties in CBD</t>
  </si>
  <si>
    <t>Bipin</t>
  </si>
  <si>
    <t>Gmsales.blr@evmnissan.co.in</t>
  </si>
  <si>
    <t xml:space="preserve">Sales Head </t>
  </si>
  <si>
    <t>EVM Automative</t>
  </si>
  <si>
    <r>
      <rPr>
        <rFont val="Arial"/>
        <b/>
        <color theme="1"/>
      </rPr>
      <t>PASED ON TO DEEPA</t>
    </r>
    <r>
      <rPr>
        <rFont val="Arial"/>
        <color theme="1"/>
      </rPr>
      <t xml:space="preserve">need space for showroom in blr </t>
    </r>
  </si>
  <si>
    <t>1st June</t>
  </si>
  <si>
    <t xml:space="preserve">Jay </t>
  </si>
  <si>
    <t>Pattan</t>
  </si>
  <si>
    <t>business@myrentoz.in</t>
  </si>
  <si>
    <t>JSWPL</t>
  </si>
  <si>
    <t>Warm Lead</t>
  </si>
  <si>
    <t>Lohit spoke and is following up</t>
  </si>
  <si>
    <t>Inrasw.v@gmail.com</t>
  </si>
  <si>
    <t>Bread and bill</t>
  </si>
  <si>
    <t>50 ws and 3 cabins</t>
  </si>
  <si>
    <t>Spoke and have taken the requirement  working on the property options</t>
  </si>
  <si>
    <t xml:space="preserve">Harish </t>
  </si>
  <si>
    <t>Das Gupta</t>
  </si>
  <si>
    <t>harish@bitqcode.com</t>
  </si>
  <si>
    <t>Bitqcode</t>
  </si>
  <si>
    <t xml:space="preserve">50+20 seats </t>
  </si>
  <si>
    <t xml:space="preserve">Spoke and have taken the requirement working on the property options </t>
  </si>
  <si>
    <t xml:space="preserve">Porter </t>
  </si>
  <si>
    <t>4000sqft</t>
  </si>
  <si>
    <r>
      <rPr>
        <rFont val="Arial"/>
        <color theme="1"/>
      </rPr>
      <t xml:space="preserve"> </t>
    </r>
    <r>
      <rPr>
        <rFont val="Arial"/>
        <b/>
        <color theme="1"/>
      </rPr>
      <t xml:space="preserve">Meeting scheduled monday first half </t>
    </r>
    <r>
      <rPr>
        <rFont val="Arial"/>
        <color theme="1"/>
      </rPr>
      <t xml:space="preserve">Workstations : 50 numbers 3 cabins of 3 seater  1 conference room of 12 seater  Pantry area  , need around 3500 sq ft carpet area  around 80 seats </t>
    </r>
  </si>
  <si>
    <t xml:space="preserve">SPEC Options </t>
  </si>
  <si>
    <t xml:space="preserve">June or July </t>
  </si>
  <si>
    <t xml:space="preserve">215 Atruim </t>
  </si>
  <si>
    <t xml:space="preserve">4800 sqft carpet &amp; 3000 sqft </t>
  </si>
  <si>
    <t xml:space="preserve">May/June </t>
  </si>
  <si>
    <t>Kalpataru Square</t>
  </si>
  <si>
    <t>8234 sqft carpet &amp; 7000 sqft</t>
  </si>
  <si>
    <t xml:space="preserve">Efficency -  13,723 sqft BUA &amp; 11667 BUA </t>
  </si>
  <si>
    <t xml:space="preserve">Rent - 200 on BUA </t>
  </si>
  <si>
    <t xml:space="preserve">Immediately Available </t>
  </si>
  <si>
    <t xml:space="preserve">Landmark Building </t>
  </si>
  <si>
    <t>4000 sqft * 2</t>
  </si>
  <si>
    <t xml:space="preserve">Bareshell </t>
  </si>
  <si>
    <t xml:space="preserve">Rent - 275 on carpet closing </t>
  </si>
  <si>
    <t>SCP</t>
  </si>
  <si>
    <t xml:space="preserve">9000 BUA </t>
  </si>
  <si>
    <t xml:space="preserve">6400 sqft carpet </t>
  </si>
  <si>
    <t xml:space="preserve">Rent - 22 lakhs </t>
  </si>
  <si>
    <t xml:space="preserve">SCP Bldg 10, 3rd floor </t>
  </si>
  <si>
    <t xml:space="preserve">6400 sqft carpet - OLD Fitouts </t>
  </si>
  <si>
    <t xml:space="preserve">Rent - 320 on carpet </t>
  </si>
  <si>
    <t xml:space="preserve">SCP Bldg 14, Gr floor </t>
  </si>
  <si>
    <t xml:space="preserve">7556 sqft carpet - Furnished As is </t>
  </si>
  <si>
    <t xml:space="preserve">Rent - 350 on carpet </t>
  </si>
  <si>
    <t>Available from March or April (OC)</t>
  </si>
  <si>
    <t xml:space="preserve">723 avenue, Marol </t>
  </si>
  <si>
    <t>10750 BUA</t>
  </si>
  <si>
    <t xml:space="preserve">6500 sq.ft carpet Multiple floors available -Bareshell </t>
  </si>
  <si>
    <t xml:space="preserve">Rent - 185 on BUA including CAM </t>
  </si>
  <si>
    <t xml:space="preserve">Closing Around Rs. 175 all in </t>
  </si>
  <si>
    <t xml:space="preserve">Immediately Available 3 months notice anytime </t>
  </si>
  <si>
    <t>Sahar Plaza Windfall</t>
  </si>
  <si>
    <t xml:space="preserve">9123 BUA </t>
  </si>
  <si>
    <t xml:space="preserve">5474 sq.ft carpet Furnished old Fit outs </t>
  </si>
  <si>
    <t xml:space="preserve">Rent - 195 on BUA closing number </t>
  </si>
  <si>
    <t xml:space="preserve">CNB Square Chakala </t>
  </si>
  <si>
    <t xml:space="preserve">3600 Approx BUA </t>
  </si>
  <si>
    <t xml:space="preserve">2550 sqft Carpet </t>
  </si>
  <si>
    <t>Rent - 200 on BUA</t>
  </si>
  <si>
    <t xml:space="preserve">Sumer plaza Marol </t>
  </si>
  <si>
    <t xml:space="preserve">Leased out </t>
  </si>
  <si>
    <t xml:space="preserve">3900 sqft Carpet </t>
  </si>
  <si>
    <t xml:space="preserve">Rent - 8 lakhs </t>
  </si>
  <si>
    <t>Funished as is where</t>
  </si>
  <si>
    <t xml:space="preserve">2 car park </t>
  </si>
  <si>
    <t>Note - Grade - b+, A-</t>
  </si>
  <si>
    <t xml:space="preserve">MAROL OPTIONS </t>
  </si>
  <si>
    <t xml:space="preserve">AFL House Lease out </t>
  </si>
  <si>
    <t xml:space="preserve">3rd Floor, 3200 sqft Carpet </t>
  </si>
  <si>
    <t>4320 sqft BUA, Furnished AS IS WHERE IS BASIS</t>
  </si>
  <si>
    <t>Rent - 160+15 CAM ON BUA</t>
  </si>
  <si>
    <t xml:space="preserve">2 car parks </t>
  </si>
  <si>
    <t xml:space="preserve">Sumer Plaza Lease out </t>
  </si>
  <si>
    <t xml:space="preserve">9th Floor, 3900 sqft Carpet </t>
  </si>
  <si>
    <t xml:space="preserve">Rent - 200 on carpet Furnished as is where is basis </t>
  </si>
  <si>
    <t xml:space="preserve">7th Floor, 4500 sqft carpet </t>
  </si>
  <si>
    <t xml:space="preserve">Rent - 10 lakhs Furnished as is where is basis </t>
  </si>
  <si>
    <t xml:space="preserve">KP Aurum </t>
  </si>
  <si>
    <t xml:space="preserve">Multiple Floors, Bareshell or Warmshell </t>
  </si>
  <si>
    <t xml:space="preserve">3500 sqft carpet and 2200 sqft carpet </t>
  </si>
  <si>
    <t xml:space="preserve">5610 BUA and 3385 BUA </t>
  </si>
  <si>
    <t>Rent 150 on BUA</t>
  </si>
  <si>
    <t xml:space="preserve">Indiana house </t>
  </si>
  <si>
    <t xml:space="preserve">6th Floor, 5000 sqft carpet </t>
  </si>
  <si>
    <t xml:space="preserve">8000 BUA - Rent - Rs. 120 on BUA - Bareshell </t>
  </si>
  <si>
    <t>Car park - 4</t>
  </si>
  <si>
    <t xml:space="preserve">6th Floor, 4600 sqft carpet </t>
  </si>
  <si>
    <t xml:space="preserve">7200 BUA - Rent - Rs. 135 on BUA - Furnished </t>
  </si>
  <si>
    <t>Car park - 3</t>
  </si>
  <si>
    <t xml:space="preserve">Gr Floor, 1700 sqft carpet </t>
  </si>
  <si>
    <t xml:space="preserve">2039 BUA - Rent - Rs. 200 on BUA - Bareshell </t>
  </si>
  <si>
    <t>Car park - TBD</t>
  </si>
  <si>
    <t xml:space="preserve">Sarla Softtech Park </t>
  </si>
  <si>
    <t xml:space="preserve">1st floor and 2nd floor </t>
  </si>
  <si>
    <t xml:space="preserve">3000 sqft carpet per floor - Rent - 5.95 lakhs per month </t>
  </si>
  <si>
    <t xml:space="preserve">Old Furnished as is where is </t>
  </si>
  <si>
    <t xml:space="preserve">2 car parks per floor </t>
  </si>
  <si>
    <t xml:space="preserve">AJ House </t>
  </si>
  <si>
    <t>3rd Floor, 4500 sqft carpet</t>
  </si>
  <si>
    <t xml:space="preserve">Rent- 250 on carpet Furnished As is where is </t>
  </si>
  <si>
    <t>3 car park included</t>
  </si>
  <si>
    <t xml:space="preserve">Litoliar </t>
  </si>
  <si>
    <t xml:space="preserve">Multiple Floors Bareshell </t>
  </si>
  <si>
    <t xml:space="preserve">3350 sqft carpet, 5000 BUA. </t>
  </si>
  <si>
    <t xml:space="preserve">Rent - 140 + 5 CAM ON BUA </t>
  </si>
  <si>
    <t>Car park TBD</t>
  </si>
  <si>
    <t xml:space="preserve">Krislon House </t>
  </si>
  <si>
    <t xml:space="preserve">Marwa House </t>
  </si>
  <si>
    <t xml:space="preserve">Building name </t>
  </si>
  <si>
    <t>Floor</t>
  </si>
  <si>
    <t xml:space="preserve">Status </t>
  </si>
  <si>
    <t xml:space="preserve">Carpet / Bua </t>
  </si>
  <si>
    <t xml:space="preserve">Rent </t>
  </si>
  <si>
    <t>Car park</t>
  </si>
  <si>
    <t xml:space="preserve">215 Atrium </t>
  </si>
  <si>
    <t xml:space="preserve">Boston House </t>
  </si>
  <si>
    <t xml:space="preserve">VKG Corporate Centre </t>
  </si>
  <si>
    <t>4th Floor</t>
  </si>
  <si>
    <t xml:space="preserve">Warm-shell </t>
  </si>
  <si>
    <t xml:space="preserve">3870 Sqft Carpet </t>
  </si>
  <si>
    <t>275 on carpet</t>
  </si>
  <si>
    <t xml:space="preserve">Interface 11 / MALAD </t>
  </si>
  <si>
    <t xml:space="preserve">7th floor </t>
  </si>
  <si>
    <t xml:space="preserve">Bare-Shell </t>
  </si>
  <si>
    <t xml:space="preserve">17,737 sqft carpet  22k BUA CAM Included </t>
  </si>
  <si>
    <t xml:space="preserve">135 on BUA </t>
  </si>
  <si>
    <t xml:space="preserve">TBD </t>
  </si>
  <si>
    <t xml:space="preserve">Dec available </t>
  </si>
  <si>
    <t xml:space="preserve">Vaswani Landmark Entire Building </t>
  </si>
  <si>
    <t xml:space="preserve">Floor plate </t>
  </si>
  <si>
    <t xml:space="preserve">16,090 sqft BUA, 9700 sqft Carpet </t>
  </si>
  <si>
    <t xml:space="preserve">135 + 15 CAM ON BUA </t>
  </si>
  <si>
    <t xml:space="preserve">1:1000 on BUA included </t>
  </si>
  <si>
    <t xml:space="preserve">Immediately available </t>
  </si>
  <si>
    <t xml:space="preserve">Prime corporate park </t>
  </si>
  <si>
    <t xml:space="preserve">5th floor </t>
  </si>
  <si>
    <t xml:space="preserve">13,000 sqft Carpet </t>
  </si>
  <si>
    <t xml:space="preserve">217 on carpet All in </t>
  </si>
  <si>
    <t>13 Car park</t>
  </si>
  <si>
    <t xml:space="preserve">6th floor </t>
  </si>
  <si>
    <t xml:space="preserve">Old funrished </t>
  </si>
  <si>
    <t xml:space="preserve">9200 sqft carpet </t>
  </si>
  <si>
    <t xml:space="preserve">205 on carpet </t>
  </si>
  <si>
    <t xml:space="preserve">9 car park </t>
  </si>
  <si>
    <t>Arena house (MIDC)</t>
  </si>
  <si>
    <t xml:space="preserve">3rd Floor </t>
  </si>
  <si>
    <t xml:space="preserve">Very old Furnished </t>
  </si>
  <si>
    <t>14,000 Carpet, 23800 BUA</t>
  </si>
  <si>
    <t>125 + 5 CAM on BUA</t>
  </si>
  <si>
    <t>Interface 7</t>
  </si>
  <si>
    <t xml:space="preserve">4th Floor </t>
  </si>
  <si>
    <t xml:space="preserve">Bare-shell </t>
  </si>
  <si>
    <t xml:space="preserve">32,300 sqft carpet cannot be carved out </t>
  </si>
  <si>
    <t xml:space="preserve">195 on Carpet </t>
  </si>
  <si>
    <t>35 included</t>
  </si>
  <si>
    <t xml:space="preserve">Mid August </t>
  </si>
  <si>
    <t xml:space="preserve">Chromium / JVLR </t>
  </si>
  <si>
    <t xml:space="preserve">4,5, 6th </t>
  </si>
  <si>
    <t xml:space="preserve">Fully furnished </t>
  </si>
  <si>
    <t xml:space="preserve">20000 sqft carpet floor plate 60% efficency </t>
  </si>
  <si>
    <t xml:space="preserve">150+15 CAM on Chargeable </t>
  </si>
  <si>
    <t>1:1500 on BUa</t>
  </si>
  <si>
    <t xml:space="preserve">Ackruti centre point </t>
  </si>
  <si>
    <t xml:space="preserve">5th </t>
  </si>
  <si>
    <t xml:space="preserve">60% efficency, 21,000 carpet </t>
  </si>
  <si>
    <t xml:space="preserve">150 all in on BUA </t>
  </si>
  <si>
    <t>TBD</t>
  </si>
  <si>
    <t xml:space="preserve">3 month notice required early TBD </t>
  </si>
  <si>
    <t>VKG Magnus</t>
  </si>
  <si>
    <t xml:space="preserve">Multiple floor </t>
  </si>
  <si>
    <t xml:space="preserve">12,000 carpet per floor , 60% efficenecy </t>
  </si>
  <si>
    <t xml:space="preserve">135 on Chargeable </t>
  </si>
  <si>
    <t xml:space="preserve">Technocrest MIDC </t>
  </si>
  <si>
    <t xml:space="preserve">14,000 carpet per floor , 60% </t>
  </si>
  <si>
    <t xml:space="preserve">125 on BUA + CAM on actuals </t>
  </si>
  <si>
    <t xml:space="preserve">20 per floor </t>
  </si>
  <si>
    <t xml:space="preserve">Vedanta </t>
  </si>
  <si>
    <t>3rd</t>
  </si>
  <si>
    <t>6900 sqft Carpet 11040 BUA sqft</t>
  </si>
  <si>
    <t xml:space="preserve">165 on Chargeable </t>
  </si>
  <si>
    <t xml:space="preserve">6 car park </t>
  </si>
  <si>
    <t xml:space="preserve">4th </t>
  </si>
  <si>
    <t>6080 sqft Carpet / 10,000 BUA Sqft</t>
  </si>
  <si>
    <t xml:space="preserve">5 Car parl </t>
  </si>
  <si>
    <t xml:space="preserve">Landmark </t>
  </si>
  <si>
    <t xml:space="preserve">10,000 sqft Carpet </t>
  </si>
  <si>
    <t xml:space="preserve">275 on carpet </t>
  </si>
  <si>
    <t xml:space="preserve">Vaman Techno Center </t>
  </si>
  <si>
    <t>B</t>
  </si>
  <si>
    <t>D</t>
  </si>
  <si>
    <t>E</t>
  </si>
  <si>
    <t>F</t>
  </si>
  <si>
    <t>G</t>
  </si>
  <si>
    <t>I</t>
  </si>
  <si>
    <t>Column 17</t>
  </si>
  <si>
    <t>J</t>
  </si>
  <si>
    <t>L</t>
  </si>
  <si>
    <t>C</t>
  </si>
  <si>
    <t>P 2</t>
  </si>
  <si>
    <t>Column 1</t>
  </si>
  <si>
    <t>Sr. No</t>
  </si>
  <si>
    <t>Campaign Name</t>
  </si>
  <si>
    <t>Visit Status</t>
  </si>
  <si>
    <t>Who's Handling</t>
  </si>
  <si>
    <t>Phone number</t>
  </si>
  <si>
    <t>Email Id</t>
  </si>
  <si>
    <t>Company name</t>
  </si>
  <si>
    <t>Seats Requested (Numeric)</t>
  </si>
  <si>
    <t>Requirements/Notes</t>
  </si>
  <si>
    <t>Move-in Timeline</t>
  </si>
  <si>
    <t>Next Follow Up Date</t>
  </si>
  <si>
    <t>Interaction Log</t>
  </si>
  <si>
    <t>Pending</t>
  </si>
  <si>
    <t>5th Jan</t>
  </si>
  <si>
    <t>Deepak</t>
  </si>
  <si>
    <t>deepak@deepakmehta.in</t>
  </si>
  <si>
    <t>kara ventures</t>
  </si>
  <si>
    <t>1000sq.ft to 1500sq.ft</t>
  </si>
  <si>
    <t>Cabin Space</t>
  </si>
  <si>
    <t>1 month</t>
  </si>
  <si>
    <r>
      <rPr>
        <rFont val="Arial"/>
        <b/>
        <color theme="1"/>
      </rPr>
      <t xml:space="preserve">26 May: His budget is 250 per sq.ft. </t>
    </r>
    <r>
      <rPr>
        <rFont val="Arial"/>
        <color theme="1"/>
      </rPr>
      <t>9 March: Busy on call. 21 Jan: Ringing. 16 Feb: Ringing.</t>
    </r>
    <r>
      <rPr>
        <rFont val="Arial"/>
        <b/>
        <color theme="1"/>
      </rPr>
      <t xml:space="preserve"> </t>
    </r>
    <r>
      <rPr>
        <rFont val="Arial"/>
        <color theme="1"/>
      </rPr>
      <t>4 Feb: Followed on Mail. 3 Feb: Ringing. 31 Jan: Dropped a text. 30 Jan: Ringing. 29 Jan: Ringing, dropped a text.  21 Jan: He is travelling, will connect next week. 20 Jan: Disconnected my call, dropped a text.</t>
    </r>
    <r>
      <rPr>
        <rFont val="Arial"/>
        <b/>
        <color theme="1"/>
      </rPr>
      <t xml:space="preserve"> </t>
    </r>
    <r>
      <rPr>
        <rFont val="Arial"/>
        <color theme="1"/>
      </rPr>
      <t>16 Jan: He said he will update me about the visit plans soon.15 Jan: Followed up for visit plans.</t>
    </r>
    <r>
      <rPr>
        <rFont val="Arial"/>
        <b/>
        <color theme="1"/>
      </rPr>
      <t xml:space="preserve"> </t>
    </r>
    <r>
      <rPr>
        <rFont val="Arial"/>
        <color theme="1"/>
      </rPr>
      <t>13 Jan: He needs 1000sq.ft to 1500sq.ft. He has asked me to share the details.12 Jan : Ringing.</t>
    </r>
    <r>
      <rPr>
        <rFont val="Arial"/>
        <b/>
        <color theme="1"/>
      </rPr>
      <t xml:space="preserve"> </t>
    </r>
    <r>
      <rPr>
        <rFont val="Arial"/>
        <color theme="1"/>
      </rPr>
      <t>9 Jan: Dropped a WA msg with pricings and attached images as well.</t>
    </r>
    <r>
      <rPr>
        <rFont val="Arial"/>
        <b/>
        <color theme="1"/>
      </rPr>
      <t xml:space="preserve"> </t>
    </r>
    <r>
      <rPr>
        <rFont val="Arial"/>
        <color theme="1"/>
      </rPr>
      <t>8 Jan: Ringing.</t>
    </r>
    <r>
      <rPr>
        <rFont val="Arial"/>
        <b/>
        <color theme="1"/>
      </rPr>
      <t xml:space="preserve"> </t>
    </r>
    <r>
      <rPr>
        <rFont val="Arial"/>
        <color theme="1"/>
      </rPr>
      <t>7 Jan: Ringing. 5 Jan: Ringing, Dropped text.</t>
    </r>
  </si>
  <si>
    <t>Kishore</t>
  </si>
  <si>
    <t>Lunawat</t>
  </si>
  <si>
    <t>kishorelunawat@gmail.com</t>
  </si>
  <si>
    <t>aarav</t>
  </si>
  <si>
    <r>
      <rPr>
        <rFont val="Arial"/>
        <b/>
        <color theme="1"/>
      </rPr>
      <t xml:space="preserve">26 May: Ringing. </t>
    </r>
    <r>
      <rPr>
        <rFont val="Arial"/>
        <color theme="1"/>
      </rPr>
      <t>9 March: OS.</t>
    </r>
    <r>
      <rPr>
        <rFont val="Arial"/>
        <b/>
        <color theme="1"/>
      </rPr>
      <t xml:space="preserve"> </t>
    </r>
    <r>
      <rPr>
        <rFont val="Arial"/>
        <color theme="1"/>
      </rPr>
      <t>21 Jan: Ringing.</t>
    </r>
    <r>
      <rPr>
        <rFont val="Arial"/>
        <b/>
        <color theme="1"/>
      </rPr>
      <t xml:space="preserve"> </t>
    </r>
    <r>
      <rPr>
        <rFont val="Arial"/>
        <color theme="1"/>
      </rPr>
      <t>16 Feb: Busy on call.</t>
    </r>
    <r>
      <rPr>
        <rFont val="Arial"/>
        <b/>
        <color theme="1"/>
      </rPr>
      <t xml:space="preserve"> </t>
    </r>
    <r>
      <rPr>
        <rFont val="Arial"/>
        <color theme="1"/>
      </rPr>
      <t>4 Feb: Followed on Mail. 3 Feb: Ringing.</t>
    </r>
    <r>
      <rPr>
        <rFont val="Arial"/>
        <b/>
        <color theme="1"/>
      </rPr>
      <t xml:space="preserve"> </t>
    </r>
    <r>
      <rPr>
        <rFont val="Arial"/>
        <color theme="1"/>
      </rPr>
      <t>31 Jan: Dropped a text.</t>
    </r>
    <r>
      <rPr>
        <rFont val="Arial"/>
        <b/>
        <color theme="1"/>
      </rPr>
      <t xml:space="preserve"> </t>
    </r>
    <r>
      <rPr>
        <rFont val="Arial"/>
        <color theme="1"/>
      </rPr>
      <t>29 Jan: He said call me after somedays. 28 Jan: Ringing.</t>
    </r>
    <r>
      <rPr>
        <rFont val="Arial"/>
        <b/>
        <color theme="1"/>
      </rPr>
      <t xml:space="preserve"> </t>
    </r>
    <r>
      <rPr>
        <rFont val="Arial"/>
        <color theme="1"/>
      </rPr>
      <t>27 Jan: Ringing. 22 Jan: Ringing.</t>
    </r>
    <r>
      <rPr>
        <rFont val="Arial"/>
        <b/>
        <color theme="1"/>
      </rPr>
      <t xml:space="preserve"> </t>
    </r>
    <r>
      <rPr>
        <rFont val="Arial"/>
        <color theme="1"/>
      </rPr>
      <t>21 Jan: Ringing. 20 Jan: Disconnected my call, dropped a text.16: Disconnected my call, dropped a text.</t>
    </r>
    <r>
      <rPr>
        <rFont val="Arial"/>
        <b/>
        <color theme="1"/>
      </rPr>
      <t xml:space="preserve"> </t>
    </r>
    <r>
      <rPr>
        <rFont val="Arial"/>
        <color theme="1"/>
      </rPr>
      <t>15 Jan: Followed up for visit plans.</t>
    </r>
    <r>
      <rPr>
        <rFont val="Arial"/>
        <b/>
        <color theme="1"/>
      </rPr>
      <t xml:space="preserve"> </t>
    </r>
    <r>
      <rPr>
        <rFont val="Arial"/>
        <color theme="1"/>
      </rPr>
      <t>13 Jan: Ringing.</t>
    </r>
    <r>
      <rPr>
        <rFont val="Arial"/>
        <b/>
        <color theme="1"/>
      </rPr>
      <t xml:space="preserve"> </t>
    </r>
    <r>
      <rPr>
        <rFont val="Arial"/>
        <color theme="1"/>
      </rPr>
      <t>12 Jan: He said he will call me back.</t>
    </r>
    <r>
      <rPr>
        <rFont val="Arial"/>
        <b/>
        <color theme="1"/>
      </rPr>
      <t xml:space="preserve"> </t>
    </r>
    <r>
      <rPr>
        <rFont val="Arial"/>
        <color theme="1"/>
      </rPr>
      <t>9 Jan: Dropped a WA msg with pricings and attached images as well.</t>
    </r>
    <r>
      <rPr>
        <rFont val="Arial"/>
        <b/>
        <color theme="1"/>
      </rPr>
      <t xml:space="preserve"> </t>
    </r>
    <r>
      <rPr>
        <rFont val="Arial"/>
        <color theme="1"/>
      </rPr>
      <t>8 Jan: Ringing. 7 Jan: Asked to call back later. 5 Jan: Ringing, Dropped text.</t>
    </r>
  </si>
  <si>
    <t>Kalpesh</t>
  </si>
  <si>
    <t>Bokadiya</t>
  </si>
  <si>
    <t>kapil.b@skyev.in</t>
  </si>
  <si>
    <t>Mumbai, Maharashtra</t>
  </si>
  <si>
    <t>Next Month</t>
  </si>
  <si>
    <r>
      <rPr>
        <rFont val="Arial"/>
        <b/>
        <color theme="1"/>
      </rPr>
      <t>20 Jan: He said the space is out of my budget.</t>
    </r>
    <r>
      <rPr>
        <rFont val="Arial"/>
        <color theme="1"/>
      </rPr>
      <t>16 Jan: Ringing.</t>
    </r>
    <r>
      <rPr>
        <rFont val="Arial"/>
        <b/>
        <color theme="1"/>
      </rPr>
      <t xml:space="preserve"> </t>
    </r>
    <r>
      <rPr>
        <rFont val="Arial"/>
        <color theme="1"/>
      </rPr>
      <t>15 Jan: Followed up for visit plans. 13 Jan: Disconnected the call.</t>
    </r>
    <r>
      <rPr>
        <rFont val="Arial"/>
        <b/>
        <color theme="1"/>
      </rPr>
      <t xml:space="preserve"> </t>
    </r>
    <r>
      <rPr>
        <rFont val="Arial"/>
        <color theme="1"/>
      </rPr>
      <t>12 Jan: He said he will call me back.</t>
    </r>
    <r>
      <rPr>
        <rFont val="Arial"/>
        <b/>
        <color theme="1"/>
      </rPr>
      <t xml:space="preserve"> </t>
    </r>
    <r>
      <rPr>
        <rFont val="Arial"/>
        <color theme="1"/>
      </rPr>
      <t>9 Jan: Dropped a WA msg with pricings and attached images as well.</t>
    </r>
    <r>
      <rPr>
        <rFont val="Arial"/>
        <b/>
        <color theme="1"/>
      </rPr>
      <t xml:space="preserve"> </t>
    </r>
    <r>
      <rPr>
        <rFont val="Arial"/>
        <color theme="1"/>
      </rPr>
      <t>8 Jan: Disconnected the call. 7 Jan: Tried calling but no answer. 5 Jan: Needs 2-5 Seater Cabin.</t>
    </r>
  </si>
  <si>
    <t>Pravin</t>
  </si>
  <si>
    <t>Dhatrak</t>
  </si>
  <si>
    <t>pravindhatrak23@gmail.com</t>
  </si>
  <si>
    <t>worknetix</t>
  </si>
  <si>
    <t>Open Workstation</t>
  </si>
  <si>
    <t>immediately</t>
  </si>
  <si>
    <r>
      <rPr>
        <rFont val="Arial"/>
        <b/>
        <color theme="1"/>
      </rPr>
      <t>8 Jan: He took a 1 seater space in Dadar at 7k.</t>
    </r>
    <r>
      <rPr>
        <rFont val="Arial"/>
        <color theme="1"/>
      </rPr>
      <t xml:space="preserve"> 7 Jan: Offered waiting room for 4 people at 40k. He will confirm timings. 5 Jan: Needs 1 open WS, budget 7k.</t>
    </r>
  </si>
  <si>
    <t>Suryakant</t>
  </si>
  <si>
    <t>Kadakane</t>
  </si>
  <si>
    <t>suryasmv@gmail.com</t>
  </si>
  <si>
    <t>Legal &amp; Financials</t>
  </si>
  <si>
    <t>3 months</t>
  </si>
  <si>
    <r>
      <rPr>
        <rFont val="Arial"/>
        <b/>
        <color theme="1"/>
      </rPr>
      <t xml:space="preserve">20 Jan: he said is looking for a conventional office. </t>
    </r>
    <r>
      <rPr>
        <rFont val="Arial"/>
        <color theme="1"/>
      </rPr>
      <t>16 Jan: Dropped a text. 15 Jan: Followed up for visit plans</t>
    </r>
    <r>
      <rPr>
        <rFont val="Arial"/>
        <b/>
        <color theme="1"/>
      </rPr>
      <t xml:space="preserve">. </t>
    </r>
    <r>
      <rPr>
        <rFont val="Arial"/>
        <color theme="1"/>
      </rPr>
      <t>13 Jan: He is busy right now. 12 Jan: Not answering the call.</t>
    </r>
    <r>
      <rPr>
        <rFont val="Arial"/>
        <b/>
        <color theme="1"/>
      </rPr>
      <t xml:space="preserve"> </t>
    </r>
    <r>
      <rPr>
        <rFont val="Arial"/>
        <color theme="1"/>
      </rPr>
      <t>9 Jan: Dropped a WA msg with pricings and attached images as well.</t>
    </r>
    <r>
      <rPr>
        <rFont val="Arial"/>
        <b/>
        <color theme="1"/>
      </rPr>
      <t xml:space="preserve"> </t>
    </r>
    <r>
      <rPr>
        <rFont val="Arial"/>
        <color theme="1"/>
      </rPr>
      <t>8 Jan: Ringing.</t>
    </r>
    <r>
      <rPr>
        <rFont val="Arial"/>
        <b/>
        <color theme="1"/>
      </rPr>
      <t xml:space="preserve"> </t>
    </r>
    <r>
      <rPr>
        <rFont val="Arial"/>
        <color theme="1"/>
      </rPr>
      <t>7 Jan: Busy on call, dropped text. 5 Jan: 6 seater cabin.</t>
    </r>
  </si>
  <si>
    <t>RAM</t>
  </si>
  <si>
    <t>info@mastertechservices.tech</t>
  </si>
  <si>
    <t>MS</t>
  </si>
  <si>
    <t>Not Mentioned</t>
  </si>
  <si>
    <r>
      <rPr>
        <rFont val="Arial"/>
        <b/>
        <color theme="1"/>
      </rPr>
      <t xml:space="preserve">26 May: Ringing. </t>
    </r>
    <r>
      <rPr>
        <rFont val="Arial"/>
        <color theme="1"/>
      </rPr>
      <t>9 March: Ringing. 21 Feb: Ringing. 16 Feb: Ringing. 4 Feb: Dropped a followup mail. 3 Feb: Busy on call.</t>
    </r>
    <r>
      <rPr>
        <rFont val="Arial"/>
        <b/>
        <color theme="1"/>
      </rPr>
      <t xml:space="preserve"> </t>
    </r>
    <r>
      <rPr>
        <rFont val="Arial"/>
        <color theme="1"/>
      </rPr>
      <t>31 Jan: Dropped a text.</t>
    </r>
    <r>
      <rPr>
        <rFont val="Arial"/>
        <b/>
        <color theme="1"/>
      </rPr>
      <t xml:space="preserve"> </t>
    </r>
    <r>
      <rPr>
        <rFont val="Arial"/>
        <color theme="1"/>
      </rPr>
      <t>30 Jan: Ringing.</t>
    </r>
    <r>
      <rPr>
        <rFont val="Arial"/>
        <b/>
        <color theme="1"/>
      </rPr>
      <t xml:space="preserve"> </t>
    </r>
    <r>
      <rPr>
        <rFont val="Arial"/>
        <color theme="1"/>
      </rPr>
      <t>29 Jan: Ringing.</t>
    </r>
    <r>
      <rPr>
        <rFont val="Arial"/>
        <b/>
        <color theme="1"/>
      </rPr>
      <t xml:space="preserve"> </t>
    </r>
    <r>
      <rPr>
        <rFont val="Arial"/>
        <color theme="1"/>
      </rPr>
      <t>28 Jan: Declined the call.</t>
    </r>
    <r>
      <rPr>
        <rFont val="Arial"/>
        <b/>
        <color theme="1"/>
      </rPr>
      <t xml:space="preserve"> </t>
    </r>
    <r>
      <rPr>
        <rFont val="Arial"/>
        <color theme="1"/>
      </rPr>
      <t>27 Jan: Ringing.</t>
    </r>
    <r>
      <rPr>
        <rFont val="Arial"/>
        <b/>
        <color theme="1"/>
      </rPr>
      <t xml:space="preserve"> </t>
    </r>
    <r>
      <rPr>
        <rFont val="Arial"/>
        <color theme="1"/>
      </rPr>
      <t>22 Jan: Disconnected the call. 21 Jan: Ringing. 20 Jan: Busy on Call. 16 Jan: Dropped a text. 15 Jan: Followed up for visit plans.</t>
    </r>
    <r>
      <rPr>
        <rFont val="Arial"/>
        <b/>
        <color theme="1"/>
      </rPr>
      <t xml:space="preserve"> </t>
    </r>
    <r>
      <rPr>
        <rFont val="Arial"/>
        <color theme="1"/>
      </rPr>
      <t>13 Jan: Disconnected by call.</t>
    </r>
    <r>
      <rPr>
        <rFont val="Arial"/>
        <b/>
        <color theme="1"/>
      </rPr>
      <t xml:space="preserve"> </t>
    </r>
    <r>
      <rPr>
        <rFont val="Arial"/>
        <color theme="1"/>
      </rPr>
      <t>12 Jan: Ringing. 9 Jan: Dropped a WA msg with pricings and attached images as well.</t>
    </r>
    <r>
      <rPr>
        <rFont val="Arial"/>
        <b/>
        <color theme="1"/>
      </rPr>
      <t xml:space="preserve"> </t>
    </r>
    <r>
      <rPr>
        <rFont val="Arial"/>
        <color theme="1"/>
      </rPr>
      <t>8 Jan: He said he is busy and will call back after some time.</t>
    </r>
    <r>
      <rPr>
        <rFont val="Arial"/>
        <b/>
        <color theme="1"/>
      </rPr>
      <t xml:space="preserve"> </t>
    </r>
    <r>
      <rPr>
        <rFont val="Arial"/>
        <color theme="1"/>
      </rPr>
      <t>7 Jan: Ringing (Dropped text). 5 Jan: Asked him to plan a visit.</t>
    </r>
  </si>
  <si>
    <t>Ganesh</t>
  </si>
  <si>
    <t>Khorate</t>
  </si>
  <si>
    <t>ganeshkhorate@gmail.com</t>
  </si>
  <si>
    <t>Capital Bankar</t>
  </si>
  <si>
    <r>
      <rPr>
        <rFont val="Arial"/>
        <b/>
        <color theme="1"/>
      </rPr>
      <t xml:space="preserve">26 May: Ringing. </t>
    </r>
    <r>
      <rPr>
        <rFont val="Arial"/>
        <color theme="1"/>
      </rPr>
      <t>9 March: Busy on call. 21 Feb: Ringing. 16 Feb: Ringing.</t>
    </r>
    <r>
      <rPr>
        <rFont val="Arial"/>
        <b/>
        <color theme="1"/>
      </rPr>
      <t xml:space="preserve"> </t>
    </r>
    <r>
      <rPr>
        <rFont val="Arial"/>
        <color theme="1"/>
      </rPr>
      <t>4 Feb: Dropped a followup mail. 3 Feb: Ringing.</t>
    </r>
    <r>
      <rPr>
        <rFont val="Arial"/>
        <b/>
        <color theme="1"/>
      </rPr>
      <t xml:space="preserve"> </t>
    </r>
    <r>
      <rPr>
        <rFont val="Arial"/>
        <color theme="1"/>
      </rPr>
      <t>31 Jan: Dropped a text.</t>
    </r>
    <r>
      <rPr>
        <rFont val="Arial"/>
        <b/>
        <color theme="1"/>
      </rPr>
      <t xml:space="preserve"> </t>
    </r>
    <r>
      <rPr>
        <rFont val="Arial"/>
        <color theme="1"/>
      </rPr>
      <t>30 Jan: Decline the call.</t>
    </r>
    <r>
      <rPr>
        <rFont val="Arial"/>
        <b/>
        <color theme="1"/>
      </rPr>
      <t xml:space="preserve"> </t>
    </r>
    <r>
      <rPr>
        <rFont val="Arial"/>
        <color theme="1"/>
      </rPr>
      <t>29 Jan: Ringing. 28 Jan: Ringing. 27 Jan: Ringing. 22 Jan: Ringing. 21 Jan: Ringing, dropped a text. 20 Jan: Ringing. 16 Jan: Disconnected the call. 15 Jan: Followed up for visit plans.</t>
    </r>
    <r>
      <rPr>
        <rFont val="Arial"/>
        <b/>
        <color theme="1"/>
      </rPr>
      <t xml:space="preserve"> </t>
    </r>
    <r>
      <rPr>
        <rFont val="Arial"/>
        <color theme="1"/>
      </rPr>
      <t>13 Jan: Ringing. 12 Jan: Ringing. 9 Jan: Dropped a WA msg with pricings and attached images as well.</t>
    </r>
    <r>
      <rPr>
        <rFont val="Arial"/>
        <b/>
        <color theme="1"/>
      </rPr>
      <t xml:space="preserve"> </t>
    </r>
    <r>
      <rPr>
        <rFont val="Arial"/>
        <color theme="1"/>
      </rPr>
      <t>8 Jan: Ringing.</t>
    </r>
    <r>
      <rPr>
        <rFont val="Arial"/>
        <b/>
        <color theme="1"/>
      </rPr>
      <t xml:space="preserve"> </t>
    </r>
    <r>
      <rPr>
        <rFont val="Arial"/>
        <color theme="1"/>
      </rPr>
      <t>7 Jan: Ringing (Dropped text). 5 Jan: Needs 10-15 Open WS (Monthly Pass).</t>
    </r>
  </si>
  <si>
    <t>Santosh</t>
  </si>
  <si>
    <t>fortunecreatiom11@gmail.com</t>
  </si>
  <si>
    <t>jo jeeta wo hi sikandar</t>
  </si>
  <si>
    <t>Already took an office in Marathon Futurex last week.</t>
  </si>
  <si>
    <t>5 Jan: He already took an office in Marathon Futurex last week.</t>
  </si>
  <si>
    <t>Chirag</t>
  </si>
  <si>
    <t>chiragjoshigirgam@gmail.com</t>
  </si>
  <si>
    <t>Uday Foods</t>
  </si>
  <si>
    <r>
      <rPr>
        <rFont val="Arial"/>
        <b/>
        <color theme="1"/>
      </rPr>
      <t xml:space="preserve">3 Feb: He is not looking in lower parel now because the reates are too high. </t>
    </r>
    <r>
      <rPr>
        <rFont val="Arial"/>
        <color theme="1"/>
      </rPr>
      <t>31 Jan: Dropped a text.</t>
    </r>
    <r>
      <rPr>
        <rFont val="Arial"/>
        <b/>
        <color theme="1"/>
      </rPr>
      <t xml:space="preserve"> </t>
    </r>
    <r>
      <rPr>
        <rFont val="Arial"/>
        <color theme="1"/>
      </rPr>
      <t>30 Jan: Ringing.</t>
    </r>
    <r>
      <rPr>
        <rFont val="Arial"/>
        <b/>
        <color theme="1"/>
      </rPr>
      <t xml:space="preserve"> </t>
    </r>
    <r>
      <rPr>
        <rFont val="Arial"/>
        <color theme="1"/>
      </rPr>
      <t>29 Jan: Ringing.</t>
    </r>
    <r>
      <rPr>
        <rFont val="Arial"/>
        <b/>
        <color theme="1"/>
      </rPr>
      <t xml:space="preserve"> </t>
    </r>
    <r>
      <rPr>
        <rFont val="Arial"/>
        <color theme="1"/>
      </rPr>
      <t>28 Jan: Declined the call.</t>
    </r>
    <r>
      <rPr>
        <rFont val="Arial"/>
        <b/>
        <color theme="1"/>
      </rPr>
      <t xml:space="preserve"> </t>
    </r>
    <r>
      <rPr>
        <rFont val="Arial"/>
        <color theme="1"/>
      </rPr>
      <t>27 Jan: Disconnected the call. 22 Jan: Ringing, dropped a text.</t>
    </r>
    <r>
      <rPr>
        <rFont val="Arial"/>
        <b/>
        <color theme="1"/>
      </rPr>
      <t xml:space="preserve"> </t>
    </r>
    <r>
      <rPr>
        <rFont val="Arial"/>
        <color theme="1"/>
      </rPr>
      <t>21 Jan: Ringing. 20 Jan: Ringing, dropped a text. 15 Jan: Followed up for visit plans. 13 Jan: Ringing.</t>
    </r>
    <r>
      <rPr>
        <rFont val="Arial"/>
        <b/>
        <color theme="1"/>
      </rPr>
      <t xml:space="preserve"> </t>
    </r>
    <r>
      <rPr>
        <rFont val="Arial"/>
        <color theme="1"/>
      </rPr>
      <t>12 Jan: He said he will call me tomorrow.</t>
    </r>
    <r>
      <rPr>
        <rFont val="Arial"/>
        <b/>
        <color theme="1"/>
      </rPr>
      <t xml:space="preserve"> </t>
    </r>
    <r>
      <rPr>
        <rFont val="Arial"/>
        <color theme="1"/>
      </rPr>
      <t>9 Jan: Dropped a WA msg with pricings and attached images as well. 8 Jan: Disconnected the call. 7 Jan: Wants images before confirming a visit. 5 Jan: Ringing, Dropped text.</t>
    </r>
  </si>
  <si>
    <t>Ali</t>
  </si>
  <si>
    <t>nasscreativeworks@gmail.com</t>
  </si>
  <si>
    <t>Squawk Digital</t>
  </si>
  <si>
    <t>Looking for monthly pass, budget around 10k.</t>
  </si>
  <si>
    <t>As soon as possible</t>
  </si>
  <si>
    <r>
      <rPr>
        <rFont val="Arial"/>
        <b/>
        <color theme="1"/>
      </rPr>
      <t xml:space="preserve">12 Jan: He is not looking options in Lower Parel rightnow. </t>
    </r>
    <r>
      <rPr>
        <rFont val="Arial"/>
        <color theme="1"/>
      </rPr>
      <t>8 Jan: He is currently not in town so he will connect me on monday. 7 Jan: Will revert back post 3 days. 5 Jan: Looking for monthly pass, budget around 10k.</t>
    </r>
  </si>
  <si>
    <t>6th Jan</t>
  </si>
  <si>
    <t>sunil</t>
  </si>
  <si>
    <t>Lahori</t>
  </si>
  <si>
    <t>lahorisml@yahoo.co.in</t>
  </si>
  <si>
    <t>Self-Employed</t>
  </si>
  <si>
    <t>Needs 12 seater + 1 Boss Cabin. Will try to visit post 4pm.</t>
  </si>
  <si>
    <r>
      <rPr>
        <rFont val="Arial"/>
        <b/>
        <color theme="1"/>
      </rPr>
      <t xml:space="preserve">20 Jan: He wants a space in Bandra. </t>
    </r>
    <r>
      <rPr>
        <rFont val="Arial"/>
        <color theme="1"/>
      </rPr>
      <t>15 Jan: Followed up for visit plans. 13 Jan: He will be available for a visit after 15th Jan. 8 Jan: He said, he is just exploring if he has any plans for visit he will call me. 7 Jan: Busy on call, Dropped text. 6 Jan: Needs 12 seater + 1 Boss Cabin.</t>
    </r>
  </si>
  <si>
    <t>Shivnekar</t>
  </si>
  <si>
    <t>prashant.shivnekar@gmail.com</t>
  </si>
  <si>
    <t>Capital Creation</t>
  </si>
  <si>
    <t>9 Seats</t>
  </si>
  <si>
    <r>
      <rPr>
        <rFont val="Arial"/>
        <b/>
        <color theme="1"/>
      </rPr>
      <t xml:space="preserve">16 Feb: He is looking for a conventional office. </t>
    </r>
    <r>
      <rPr>
        <rFont val="Arial"/>
        <color theme="1"/>
      </rPr>
      <t>3 Feb: Busy on call. 31 Jan: Dropped a text. 29 Jan: Declined the call. 28 Jan: dropped a text. 27 Jan: Ringing.</t>
    </r>
    <r>
      <rPr>
        <rFont val="Arial"/>
        <b/>
        <color theme="1"/>
      </rPr>
      <t xml:space="preserve"> </t>
    </r>
    <r>
      <rPr>
        <rFont val="Arial"/>
        <color theme="1"/>
      </rPr>
      <t>21 Jan: He will inform me a day before whenever he wants to visit.  20 Jan: Ringing.</t>
    </r>
    <r>
      <rPr>
        <rFont val="Arial"/>
        <b/>
        <color theme="1"/>
      </rPr>
      <t xml:space="preserve"> </t>
    </r>
    <r>
      <rPr>
        <rFont val="Arial"/>
        <color theme="1"/>
      </rPr>
      <t>15 Jan: Followed up for visit plans.</t>
    </r>
    <r>
      <rPr>
        <rFont val="Arial"/>
        <b/>
        <color theme="1"/>
      </rPr>
      <t xml:space="preserve"> </t>
    </r>
    <r>
      <rPr>
        <rFont val="Arial"/>
        <color theme="1"/>
      </rPr>
      <t>13 Jan: Disconnected the call. 12 Jan: Ringing.</t>
    </r>
    <r>
      <rPr>
        <rFont val="Arial"/>
        <b/>
        <color theme="1"/>
      </rPr>
      <t xml:space="preserve"> </t>
    </r>
    <r>
      <rPr>
        <rFont val="Arial"/>
        <color theme="1"/>
      </rPr>
      <t>9 Jan: Dropped a WA msg with pricings and attached images as well.</t>
    </r>
    <r>
      <rPr>
        <rFont val="Arial"/>
        <b/>
        <color theme="1"/>
      </rPr>
      <t xml:space="preserve"> </t>
    </r>
    <r>
      <rPr>
        <rFont val="Arial"/>
        <color theme="1"/>
      </rPr>
      <t>8 Jan: Ringing. 7 Jan: Busy on call, Dropped text. 6 Jan: Needs 9 Seats. Currently paying 19k.</t>
    </r>
  </si>
  <si>
    <t>Seema</t>
  </si>
  <si>
    <t>Nichani</t>
  </si>
  <si>
    <t>admin@myhealthpassport.in</t>
  </si>
  <si>
    <t>Deepwork</t>
  </si>
  <si>
    <t>Manju Sir took this up.</t>
  </si>
  <si>
    <t>N/A</t>
  </si>
  <si>
    <t>6 Jan: Manju Sir took this up.</t>
  </si>
  <si>
    <t>Dipesh</t>
  </si>
  <si>
    <t>Gindra</t>
  </si>
  <si>
    <t>gindradip108@gmail.com</t>
  </si>
  <si>
    <t>Brooks</t>
  </si>
  <si>
    <r>
      <rPr>
        <rFont val="Arial"/>
        <b/>
        <color theme="1"/>
      </rPr>
      <t>26 May: Ringing.</t>
    </r>
    <r>
      <rPr>
        <rFont val="Arial"/>
        <color theme="1"/>
      </rPr>
      <t xml:space="preserve"> 21 Jan: The requirement is on hold, he will get back to me in March.</t>
    </r>
    <r>
      <rPr>
        <rFont val="Arial"/>
        <b/>
        <color theme="1"/>
      </rPr>
      <t xml:space="preserve"> </t>
    </r>
    <r>
      <rPr>
        <rFont val="Arial"/>
        <color theme="1"/>
      </rPr>
      <t>20 Jan: Ringing.</t>
    </r>
    <r>
      <rPr>
        <rFont val="Arial"/>
        <b/>
        <color theme="1"/>
      </rPr>
      <t xml:space="preserve"> </t>
    </r>
    <r>
      <rPr>
        <rFont val="Arial"/>
        <color theme="1"/>
      </rPr>
      <t>15 Jan: Followed up for visit plans.</t>
    </r>
    <r>
      <rPr>
        <rFont val="Arial"/>
        <b/>
        <color theme="1"/>
      </rPr>
      <t xml:space="preserve"> </t>
    </r>
    <r>
      <rPr>
        <rFont val="Arial"/>
        <color theme="1"/>
      </rPr>
      <t>13 Jan: Ringing. 12 Jan: Busy on call. 9 Jan: Dropped a WA msg with pricings and attached images as well. 8 Jan: Ringing. 7 Jan: Will call back post 30 mins. 6 Jan: Call him tomorrow post 11:30 AM.</t>
    </r>
  </si>
  <si>
    <t>Chury</t>
  </si>
  <si>
    <t>acmecad@yahoo.com</t>
  </si>
  <si>
    <t>Acme</t>
  </si>
  <si>
    <r>
      <rPr>
        <rFont val="Arial"/>
        <b/>
        <color theme="1"/>
      </rPr>
      <t xml:space="preserve">26 May: Ringing. </t>
    </r>
    <r>
      <rPr>
        <rFont val="Arial"/>
        <color theme="1"/>
      </rPr>
      <t>3 Feb: It is on hold. 27 Jan: He is occupied with some work will get back in next week. 20 Jan: He said he will inform me about the visit plan soon.</t>
    </r>
    <r>
      <rPr>
        <rFont val="Arial"/>
        <b/>
        <color theme="1"/>
      </rPr>
      <t xml:space="preserve"> </t>
    </r>
    <r>
      <rPr>
        <rFont val="Arial"/>
        <color theme="1"/>
      </rPr>
      <t>15 Jan: Followed up for visit plans. 13 Jan: He said he is busy.</t>
    </r>
    <r>
      <rPr>
        <rFont val="Arial"/>
        <b/>
        <color theme="1"/>
      </rPr>
      <t xml:space="preserve"> </t>
    </r>
    <r>
      <rPr>
        <rFont val="Arial"/>
        <color theme="1"/>
      </rPr>
      <t>12 Jan: He is busy rightnow, he will call me back. 9 Jan: Dropped a WA msg with pricings and attached images as well.</t>
    </r>
    <r>
      <rPr>
        <rFont val="Arial"/>
        <b/>
        <color theme="1"/>
      </rPr>
      <t xml:space="preserve"> </t>
    </r>
    <r>
      <rPr>
        <rFont val="Arial"/>
        <color theme="1"/>
      </rPr>
      <t>8 Jan: Ringing. 7 Jan: Shared the details and asked him to visit. 6 Jan: Busy on call.</t>
    </r>
  </si>
  <si>
    <t>7th Jan</t>
  </si>
  <si>
    <t>Roland</t>
  </si>
  <si>
    <t>Ohol</t>
  </si>
  <si>
    <t>rolandevents19@gmail.comr</t>
  </si>
  <si>
    <t>Roland Events</t>
  </si>
  <si>
    <r>
      <rPr>
        <rFont val="Arial"/>
        <b/>
        <color theme="1"/>
      </rPr>
      <t xml:space="preserve">20 Jan: He said as of now they are not looking in Lower Parel. </t>
    </r>
    <r>
      <rPr>
        <rFont val="Arial"/>
        <color theme="1"/>
      </rPr>
      <t>15 Jan: Followed up for visit plans.</t>
    </r>
    <r>
      <rPr>
        <rFont val="Arial"/>
        <b/>
        <color theme="1"/>
      </rPr>
      <t xml:space="preserve"> </t>
    </r>
    <r>
      <rPr>
        <rFont val="Arial"/>
        <color theme="1"/>
      </rPr>
      <t>13 Jan: Ringing.</t>
    </r>
    <r>
      <rPr>
        <rFont val="Arial"/>
        <b/>
        <color theme="1"/>
      </rPr>
      <t xml:space="preserve"> </t>
    </r>
    <r>
      <rPr>
        <rFont val="Arial"/>
        <color theme="1"/>
      </rPr>
      <t>12 Jan: Ringing.</t>
    </r>
    <r>
      <rPr>
        <rFont val="Arial"/>
        <b/>
        <color theme="1"/>
      </rPr>
      <t xml:space="preserve"> </t>
    </r>
    <r>
      <rPr>
        <rFont val="Arial"/>
        <color theme="1"/>
      </rPr>
      <t>9 Jan: Dropped a WA msg with pricings and attached images as well. 8 Jan: He said, he is just exploring. I have shared with him the images and pricings. 7 Jan: Ringing, Dropped him a text.</t>
    </r>
  </si>
  <si>
    <t>8th Jan</t>
  </si>
  <si>
    <t>Bhaairav</t>
  </si>
  <si>
    <t>Suuthar</t>
  </si>
  <si>
    <t>Bhaairav@gmail.com</t>
  </si>
  <si>
    <t>Interkrafts llp</t>
  </si>
  <si>
    <t>5 Workstation, 3 cabins and 1 Conference Room.</t>
  </si>
  <si>
    <r>
      <rPr>
        <rFont val="Arial"/>
        <b/>
        <color theme="1"/>
      </rPr>
      <t xml:space="preserve">26 May: Ringing. </t>
    </r>
    <r>
      <rPr>
        <rFont val="Arial"/>
        <b val="0"/>
        <color theme="1"/>
      </rPr>
      <t>9 March: Declined the call.  21 Feb: Busy on call. 16 Feb: Ringing.</t>
    </r>
    <r>
      <rPr>
        <rFont val="Arial"/>
        <b/>
        <color theme="1"/>
      </rPr>
      <t xml:space="preserve"> </t>
    </r>
    <r>
      <rPr>
        <rFont val="Arial"/>
        <b val="0"/>
        <color theme="1"/>
      </rPr>
      <t>4 Feb: dropped a mail. 3 Feb: Shared with the details. 31 Jan: Dropped a text. 30Jan: Ringing.</t>
    </r>
    <r>
      <rPr>
        <rFont val="Arial"/>
        <b/>
        <color theme="1"/>
      </rPr>
      <t xml:space="preserve"> </t>
    </r>
    <r>
      <rPr>
        <rFont val="Arial"/>
        <b val="0"/>
        <color theme="1"/>
      </rPr>
      <t>29 Jan: Busy on call.</t>
    </r>
    <r>
      <rPr>
        <rFont val="Arial"/>
        <b/>
        <color theme="1"/>
      </rPr>
      <t xml:space="preserve"> </t>
    </r>
    <r>
      <rPr>
        <rFont val="Arial"/>
        <b val="0"/>
        <color theme="1"/>
      </rPr>
      <t>28 Jan: Ringing. 27 Jan: Ringing.</t>
    </r>
    <r>
      <rPr>
        <rFont val="Arial"/>
        <b/>
        <color theme="1"/>
      </rPr>
      <t xml:space="preserve"> </t>
    </r>
    <r>
      <rPr>
        <rFont val="Arial"/>
        <b val="0"/>
        <color theme="1"/>
      </rPr>
      <t>24 Jan: Ringing, dropped a text.</t>
    </r>
    <r>
      <rPr>
        <rFont val="Arial"/>
        <b/>
        <color theme="1"/>
      </rPr>
      <t xml:space="preserve"> </t>
    </r>
    <r>
      <rPr>
        <rFont val="Arial"/>
        <b val="0"/>
        <color theme="1"/>
      </rPr>
      <t>22 Jan: Ringing, dropped a text. 21 Jan: Disconnected my call.</t>
    </r>
    <r>
      <rPr>
        <rFont val="Arial"/>
        <b/>
        <color theme="1"/>
      </rPr>
      <t xml:space="preserve"> </t>
    </r>
    <r>
      <rPr>
        <rFont val="Arial"/>
        <b val="0"/>
        <color theme="1"/>
      </rPr>
      <t xml:space="preserve">20 Jan: Ringing, Dropped a text.15 Jan: Followed up for visit plans. 13 Jan: Disconnected the call. 12 Jan: Ringing. 9 Jan: Dropped a WA msg with pricings and attached images as well. </t>
    </r>
  </si>
  <si>
    <t>Gautam</t>
  </si>
  <si>
    <t>Lalan</t>
  </si>
  <si>
    <t>gautam.lalan@sasglobalreisen.com</t>
  </si>
  <si>
    <t>SAS Global Reisen</t>
  </si>
  <si>
    <t>Already registered through a broker</t>
  </si>
  <si>
    <t>Geetendra</t>
  </si>
  <si>
    <t>ceo@biomentors.online</t>
  </si>
  <si>
    <t>Biomentors online</t>
  </si>
  <si>
    <t>7 to 8 Seats</t>
  </si>
  <si>
    <t>He mentioned he is not interested as he is looking for a conventional office and not a managed office.</t>
  </si>
  <si>
    <t>Pankaj</t>
  </si>
  <si>
    <t>Solanki</t>
  </si>
  <si>
    <t>pankaj.solanki@approachus.in</t>
  </si>
  <si>
    <t>Approach</t>
  </si>
  <si>
    <t>10 Seats + 1 Cabin</t>
  </si>
  <si>
    <t>As soon as possible.</t>
  </si>
  <si>
    <t>12 Jan: He said his budget is around 60k not more that that.</t>
  </si>
  <si>
    <t>Hanif</t>
  </si>
  <si>
    <t>Lakdawala</t>
  </si>
  <si>
    <t>info@haniflakdawala.in</t>
  </si>
  <si>
    <t>Akbar Peerbhoy college of Commerce &amp; Eco</t>
  </si>
  <si>
    <t xml:space="preserve">2 to 4 </t>
  </si>
  <si>
    <r>
      <rPr>
        <rFont val="Arial"/>
        <b/>
        <color theme="1"/>
      </rPr>
      <t>26 May: Ringing.</t>
    </r>
    <r>
      <rPr>
        <rFont val="Arial"/>
        <b val="0"/>
        <color theme="1"/>
      </rPr>
      <t xml:space="preserve"> 9 march: Ringing. 21 Feb: Ringing.</t>
    </r>
    <r>
      <rPr>
        <rFont val="Arial"/>
        <b/>
        <color theme="1"/>
      </rPr>
      <t xml:space="preserve"> </t>
    </r>
    <r>
      <rPr>
        <rFont val="Arial"/>
        <b val="0"/>
        <color theme="1"/>
      </rPr>
      <t>16 Feb: Ringing. 3 Feb: Ringing.</t>
    </r>
    <r>
      <rPr>
        <rFont val="Arial"/>
        <b/>
        <color theme="1"/>
      </rPr>
      <t xml:space="preserve"> </t>
    </r>
    <r>
      <rPr>
        <rFont val="Arial"/>
        <b val="0"/>
        <color theme="1"/>
      </rPr>
      <t>31 Jan: Dropped a text.</t>
    </r>
    <r>
      <rPr>
        <rFont val="Arial"/>
        <b/>
        <color theme="1"/>
      </rPr>
      <t xml:space="preserve"> </t>
    </r>
    <r>
      <rPr>
        <rFont val="Arial"/>
        <b val="0"/>
        <color theme="1"/>
      </rPr>
      <t>30 Jan: Ringing.</t>
    </r>
    <r>
      <rPr>
        <rFont val="Arial"/>
        <b/>
        <color theme="1"/>
      </rPr>
      <t xml:space="preserve"> </t>
    </r>
    <r>
      <rPr>
        <rFont val="Arial"/>
        <b val="0"/>
        <color theme="1"/>
      </rPr>
      <t>29 Jan: Busy on call. 28 Jan: Ringing.</t>
    </r>
    <r>
      <rPr>
        <rFont val="Arial"/>
        <b/>
        <color theme="1"/>
      </rPr>
      <t xml:space="preserve"> </t>
    </r>
    <r>
      <rPr>
        <rFont val="Arial"/>
        <b val="0"/>
        <color theme="1"/>
      </rPr>
      <t>27 Jan: dropped a text.</t>
    </r>
    <r>
      <rPr>
        <rFont val="Arial"/>
        <b/>
        <color theme="1"/>
      </rPr>
      <t xml:space="preserve"> </t>
    </r>
    <r>
      <rPr>
        <rFont val="Arial"/>
        <b val="0"/>
        <color theme="1"/>
      </rPr>
      <t>22 Jan: He is caught up with some work, he will update me regarding his visit plan next week.</t>
    </r>
    <r>
      <rPr>
        <rFont val="Arial"/>
        <b/>
        <color theme="1"/>
      </rPr>
      <t xml:space="preserve"> </t>
    </r>
    <r>
      <rPr>
        <rFont val="Arial"/>
        <b val="0"/>
        <color theme="1"/>
      </rPr>
      <t>21 Jan: Ringing, dropped a text.</t>
    </r>
    <r>
      <rPr>
        <rFont val="Arial"/>
        <b/>
        <color theme="1"/>
      </rPr>
      <t xml:space="preserve"> </t>
    </r>
    <r>
      <rPr>
        <rFont val="Arial"/>
        <b val="0"/>
        <color theme="1"/>
      </rPr>
      <t>20 Jan: He needs around 2 to 4 workstations, he will try to visit this week.</t>
    </r>
    <r>
      <rPr>
        <rFont val="Arial"/>
        <b/>
        <color theme="1"/>
      </rPr>
      <t xml:space="preserve"> </t>
    </r>
    <r>
      <rPr>
        <rFont val="Arial"/>
        <b val="0"/>
        <color theme="1"/>
      </rPr>
      <t>15 Jan: Followed up for visit plans.</t>
    </r>
    <r>
      <rPr>
        <rFont val="Arial"/>
        <b/>
        <color theme="1"/>
      </rPr>
      <t xml:space="preserve"> </t>
    </r>
    <r>
      <rPr>
        <rFont val="Arial"/>
        <b val="0"/>
        <color theme="1"/>
      </rPr>
      <t>13 Jan: Ringing. 12 Jan: Ringing.</t>
    </r>
    <r>
      <rPr>
        <rFont val="Arial"/>
        <b/>
        <color theme="1"/>
      </rPr>
      <t xml:space="preserve"> </t>
    </r>
    <r>
      <rPr>
        <rFont val="Arial"/>
        <b val="0"/>
        <color theme="1"/>
      </rPr>
      <t xml:space="preserve">9 Jan: Dropped a WA msg with pricings and attached images as well. </t>
    </r>
  </si>
  <si>
    <t>Pramod</t>
  </si>
  <si>
    <t>Ghadigaonkar</t>
  </si>
  <si>
    <t>pramod1078@yahoo.in</t>
  </si>
  <si>
    <t>Buzil Rossari Pvt Ltd</t>
  </si>
  <si>
    <t>8 Jan: He is looking for a warehouse.</t>
  </si>
  <si>
    <t>Arvinder</t>
  </si>
  <si>
    <t>Chandhok</t>
  </si>
  <si>
    <t>tinku7chandhok@gmail.com</t>
  </si>
  <si>
    <t>Property Dealer</t>
  </si>
  <si>
    <t>100 Seats, 3 Cabins, 25 Seater Conference Room.</t>
  </si>
  <si>
    <r>
      <rPr>
        <rFont val="Arial"/>
        <b/>
        <color theme="1"/>
      </rPr>
      <t xml:space="preserve">21 Jan: He said he spoke with his client, and they require only an A-grade building. </t>
    </r>
    <r>
      <rPr>
        <rFont val="Arial"/>
        <b val="0"/>
        <color theme="1"/>
      </rPr>
      <t>20 Jan: Ringing, dropped a text. 15 Jan: Followed up for visit plans.</t>
    </r>
    <r>
      <rPr>
        <rFont val="Arial"/>
        <b/>
        <color theme="1"/>
      </rPr>
      <t xml:space="preserve"> </t>
    </r>
    <r>
      <rPr>
        <rFont val="Arial"/>
        <b val="0"/>
        <color theme="1"/>
      </rPr>
      <t>13 Jan: The broker mentioned he will update me about the visit soon. 12 Jan: Dropped a text.</t>
    </r>
  </si>
  <si>
    <t>9th Jan</t>
  </si>
  <si>
    <t>Amit.sinha@dojo.co.in</t>
  </si>
  <si>
    <t>Dojo Marketing Communications</t>
  </si>
  <si>
    <t>20 Seats</t>
  </si>
  <si>
    <t>Cabin</t>
  </si>
  <si>
    <r>
      <rPr>
        <rFont val="Arial"/>
        <b/>
        <color theme="1"/>
      </rPr>
      <t xml:space="preserve">26 May: 9 March: Ringing, drooped a text. </t>
    </r>
    <r>
      <rPr>
        <rFont val="Arial"/>
        <b val="0"/>
        <color theme="1"/>
      </rPr>
      <t>21 Feb: Dropped a text. 16 Feb: He is busy and will get back to me soon.</t>
    </r>
    <r>
      <rPr>
        <rFont val="Arial"/>
        <b/>
        <color theme="1"/>
      </rPr>
      <t xml:space="preserve"> </t>
    </r>
    <r>
      <rPr>
        <rFont val="Arial"/>
        <b val="0"/>
        <color theme="1"/>
      </rPr>
      <t>21 Jan: He will be visiting in 2nd week of Feb.</t>
    </r>
    <r>
      <rPr>
        <rFont val="Arial"/>
        <b/>
        <color theme="1"/>
      </rPr>
      <t xml:space="preserve"> </t>
    </r>
    <r>
      <rPr>
        <rFont val="Arial"/>
        <b val="0"/>
        <color theme="1"/>
      </rPr>
      <t>20 Jan: Ringing, Dropped a mail. 12 Jan: He informed me that he is currently dealing with a medical emergency and will get back to me once he is available.</t>
    </r>
  </si>
  <si>
    <t>Dhanish</t>
  </si>
  <si>
    <t>dhanish78@gmail.com</t>
  </si>
  <si>
    <t>UVM</t>
  </si>
  <si>
    <t xml:space="preserve"> cabin space</t>
  </si>
  <si>
    <t>Mid of Jan</t>
  </si>
  <si>
    <r>
      <rPr>
        <rFont val="Arial"/>
        <b/>
        <color theme="1"/>
      </rPr>
      <t xml:space="preserve">20 Jan: He visited the space last week and he needs a 2 seater cabin. He is not interested in open workstations. </t>
    </r>
    <r>
      <rPr>
        <rFont val="Arial"/>
        <b val="0"/>
        <color theme="1"/>
      </rPr>
      <t>15 Jan: Followed up for visit plans. 13 Jan: He will update me about the visit post 2 days.</t>
    </r>
    <r>
      <rPr>
        <rFont val="Arial"/>
        <b/>
        <color theme="1"/>
      </rPr>
      <t xml:space="preserve"> </t>
    </r>
    <r>
      <rPr>
        <rFont val="Arial"/>
        <b val="0"/>
        <color theme="1"/>
      </rPr>
      <t>12 Jan: Not answering my call, dropped a text.</t>
    </r>
  </si>
  <si>
    <t>Sachin</t>
  </si>
  <si>
    <t>dhatraksachin@rediffmail.com</t>
  </si>
  <si>
    <t>BOB FINANCE</t>
  </si>
  <si>
    <t>His requirement is fulfilled</t>
  </si>
  <si>
    <t>Basutkar</t>
  </si>
  <si>
    <t>gauravbasutkar@2xbt.in</t>
  </si>
  <si>
    <t>2XBT</t>
  </si>
  <si>
    <t>15-20 seats</t>
  </si>
  <si>
    <r>
      <rPr>
        <rFont val="Arial"/>
        <b/>
        <color theme="1"/>
      </rPr>
      <t xml:space="preserve">17 Jan: The space is out of his budget. </t>
    </r>
    <r>
      <rPr>
        <rFont val="Arial"/>
        <b val="0"/>
        <color theme="1"/>
      </rPr>
      <t>15 Jan: Followed up for visit plans. 12 Jan: he has asked me to share the details on whatsapp. He will try to visit next week.</t>
    </r>
  </si>
  <si>
    <t>Bhadsavle</t>
  </si>
  <si>
    <t>rahul.b@talentsteer.com</t>
  </si>
  <si>
    <t>talentSteer partners pvt ltd</t>
  </si>
  <si>
    <r>
      <rPr>
        <rFont val="Arial"/>
        <b/>
        <color theme="1"/>
      </rPr>
      <t xml:space="preserve">13 Jan: I have shared him the commercials for 20days i.e 12k and he said I have been offered from some other co-working space at 9k including GST for 30days. </t>
    </r>
    <r>
      <rPr>
        <rFont val="Arial"/>
        <b val="0"/>
        <color theme="1"/>
      </rPr>
      <t>12 Jan: He is busy rightnow asked me to call after 30 min</t>
    </r>
  </si>
  <si>
    <t>Aziz</t>
  </si>
  <si>
    <t>Kabani</t>
  </si>
  <si>
    <t>kabexp@gmail.com</t>
  </si>
  <si>
    <t>Kabani Exports</t>
  </si>
  <si>
    <t>He has asked me to share the details if he likes he will revert back.</t>
  </si>
  <si>
    <r>
      <rPr>
        <rFont val="Arial"/>
        <b/>
        <color theme="1"/>
      </rPr>
      <t>20 Jan: He is looking for an outright purchase.</t>
    </r>
    <r>
      <rPr>
        <rFont val="Arial"/>
        <b val="0"/>
        <color theme="1"/>
      </rPr>
      <t>15 Jan: Followed up for visit plans. 13 Jan: Dropped him a text. 12 Jan: He has asked me to share the details if he likes he will revert back.</t>
    </r>
  </si>
  <si>
    <t>Huseni</t>
  </si>
  <si>
    <t>Slatewala</t>
  </si>
  <si>
    <t>brightprints@gmail.com</t>
  </si>
  <si>
    <t>Avisio Creatives</t>
  </si>
  <si>
    <t>20 Seats + 2 Cabin</t>
  </si>
  <si>
    <t>1.5 month</t>
  </si>
  <si>
    <t>12 Jan: He needs 600sq.ft - 800sq.ft coventional office he is not interested in managed office concept.</t>
  </si>
  <si>
    <t>Silver</t>
  </si>
  <si>
    <t>Haven</t>
  </si>
  <si>
    <t>gondjay@gmail.com</t>
  </si>
  <si>
    <t>Carbiforce</t>
  </si>
  <si>
    <t>I asked him the requirements but he was like send me the details, I will speak with my management and will update you.</t>
  </si>
  <si>
    <r>
      <rPr>
        <rFont val="Arial"/>
        <b/>
        <color theme="1"/>
      </rPr>
      <t xml:space="preserve">3 Feb: Ringing. </t>
    </r>
    <r>
      <rPr>
        <rFont val="Arial"/>
        <b val="0"/>
        <color theme="1"/>
      </rPr>
      <t>31 Jan: Dropped a text.</t>
    </r>
    <r>
      <rPr>
        <rFont val="Arial"/>
        <b/>
        <color theme="1"/>
      </rPr>
      <t xml:space="preserve"> </t>
    </r>
    <r>
      <rPr>
        <rFont val="Arial"/>
        <b val="0"/>
        <color theme="1"/>
      </rPr>
      <t>30 Jan: Ringing.</t>
    </r>
    <r>
      <rPr>
        <rFont val="Arial"/>
        <b/>
        <color theme="1"/>
      </rPr>
      <t xml:space="preserve"> </t>
    </r>
    <r>
      <rPr>
        <rFont val="Arial"/>
        <b val="0"/>
        <color theme="1"/>
      </rPr>
      <t>29 Jan: Busy on call. 28 Jan: Ringing. 27 Jan: Ringing.</t>
    </r>
    <r>
      <rPr>
        <rFont val="Arial"/>
        <b/>
        <color theme="1"/>
      </rPr>
      <t xml:space="preserve"> </t>
    </r>
    <r>
      <rPr>
        <rFont val="Arial"/>
        <b val="0"/>
        <color theme="1"/>
      </rPr>
      <t>24 Jan: dropped a text. 22 Jan: He has asked me to call on Tuesday.  21Jan: Ringing. 20 Jan: Ringing, Dropped a text. 15 Jan: Followed up for visit plans. 13 Jan: Busy on call, dropped a text.</t>
    </r>
  </si>
  <si>
    <t>Arun</t>
  </si>
  <si>
    <t>Sabnis</t>
  </si>
  <si>
    <t>arun@fulora.org</t>
  </si>
  <si>
    <t>Creator Advertising Ltd</t>
  </si>
  <si>
    <t>1400sq.ft  to 1500sq.ft</t>
  </si>
  <si>
    <r>
      <rPr>
        <rFont val="Arial"/>
        <b/>
        <color theme="1"/>
      </rPr>
      <t xml:space="preserve">3 Feb: declined the call. </t>
    </r>
    <r>
      <rPr>
        <rFont val="Arial"/>
        <b val="0"/>
        <color theme="1"/>
      </rPr>
      <t>31 Jan: Dropped a text. 30 Jan: Declined the call. 29 Jan: Declined the call. 28 Jan: Ringing.</t>
    </r>
    <r>
      <rPr>
        <rFont val="Arial"/>
        <b/>
        <color theme="1"/>
      </rPr>
      <t xml:space="preserve"> </t>
    </r>
    <r>
      <rPr>
        <rFont val="Arial"/>
        <b val="0"/>
        <color theme="1"/>
      </rPr>
      <t>27 Jan: Ringing. 24 Jan: Ringing. 22 Jan: Disconnected the Call.</t>
    </r>
    <r>
      <rPr>
        <rFont val="Arial"/>
        <b/>
        <color theme="1"/>
      </rPr>
      <t xml:space="preserve"> </t>
    </r>
    <r>
      <rPr>
        <rFont val="Arial"/>
        <b val="0"/>
        <color theme="1"/>
      </rPr>
      <t xml:space="preserve">21 Jan: Ringing, dropped a text. 20 Jan: Ringing, dropped a text. 15 Jan: Followed up for visit plans. 13 Jan: Ringing, dropped a text. </t>
    </r>
  </si>
  <si>
    <t>Balan</t>
  </si>
  <si>
    <t>Nadar</t>
  </si>
  <si>
    <t>admin@atireresources.cim</t>
  </si>
  <si>
    <t>Chemistry, Esjay International.</t>
  </si>
  <si>
    <t>3 Seats</t>
  </si>
  <si>
    <r>
      <rPr>
        <rFont val="Arial"/>
        <b/>
        <color theme="1"/>
      </rPr>
      <t xml:space="preserve">21 Jan: He got a bigger conventional office at the same price. </t>
    </r>
    <r>
      <rPr>
        <rFont val="Arial"/>
        <b val="0"/>
        <color theme="1"/>
      </rPr>
      <t>20 Jan: Ringing, Dropped a text. 15 Jan: Followed up for visit plans. 12 Jan: He will visit post 15th Jan.</t>
    </r>
  </si>
  <si>
    <t>zensome</t>
  </si>
  <si>
    <r>
      <rPr>
        <rFont val="Arial"/>
        <b/>
        <color theme="1"/>
      </rPr>
      <t xml:space="preserve">24 Jan: He visited yesterday and asking for pricings as his budget is 30k only. </t>
    </r>
    <r>
      <rPr>
        <rFont val="Arial"/>
        <b val="0"/>
        <color theme="1"/>
      </rPr>
      <t>21 Jan: He will be visiting on Saturday. 20 Jan: He needs a single seater cabin and his budget is around 35k not  more then that. 15 Jan: Followed up for visit plans. 13 Jan: Disconnected the call.</t>
    </r>
  </si>
  <si>
    <t>Mohd</t>
  </si>
  <si>
    <t>Abdullah</t>
  </si>
  <si>
    <t>m_a_jafri@laserart.com</t>
  </si>
  <si>
    <t>Jet Computers</t>
  </si>
  <si>
    <t>Nandan</t>
  </si>
  <si>
    <t>Savnal</t>
  </si>
  <si>
    <t>nandan@peoplesys.in</t>
  </si>
  <si>
    <t>Peoplesys Consulting Pvt. Ltd</t>
  </si>
  <si>
    <t>1 Seat</t>
  </si>
  <si>
    <t>Feb</t>
  </si>
  <si>
    <r>
      <rPr>
        <rFont val="Arial"/>
        <b/>
        <color theme="1"/>
      </rPr>
      <t xml:space="preserve">22 Jan: Riging. </t>
    </r>
    <r>
      <rPr>
        <rFont val="Arial"/>
        <color theme="1"/>
      </rPr>
      <t>21 Jan: He is asking for 15k, inclusive of GST, with a 24-hour package that includes the meeting room.</t>
    </r>
    <r>
      <rPr>
        <rFont val="Arial"/>
        <b/>
        <color theme="1"/>
      </rPr>
      <t xml:space="preserve"> </t>
    </r>
    <r>
      <rPr>
        <rFont val="Arial"/>
        <color theme="1"/>
      </rPr>
      <t>20 Jan: He said 15k is too high, he needs some time to think. 19 Jan: Visit Done, have to share the commercials.</t>
    </r>
  </si>
  <si>
    <t>Bhaskaran</t>
  </si>
  <si>
    <t>Adambakkam</t>
  </si>
  <si>
    <t>baskaran.j@raaassociate.com</t>
  </si>
  <si>
    <t>Tiptop Driver</t>
  </si>
  <si>
    <r>
      <rPr>
        <rFont val="Arial"/>
        <b/>
        <color theme="1"/>
      </rPr>
      <t xml:space="preserve">29 Jan: His requirement is fulfilled. </t>
    </r>
    <r>
      <rPr>
        <rFont val="Arial"/>
        <color theme="1"/>
      </rPr>
      <t>28 Jan: He asked me to call tomorrow.</t>
    </r>
    <r>
      <rPr>
        <rFont val="Arial"/>
        <b/>
        <color theme="1"/>
      </rPr>
      <t xml:space="preserve"> </t>
    </r>
    <r>
      <rPr>
        <rFont val="Arial"/>
        <color theme="1"/>
      </rPr>
      <t>27 Jan: Drooped a text.</t>
    </r>
    <r>
      <rPr>
        <rFont val="Arial"/>
        <b/>
        <color theme="1"/>
      </rPr>
      <t xml:space="preserve"> </t>
    </r>
    <r>
      <rPr>
        <rFont val="Arial"/>
        <color theme="1"/>
      </rPr>
      <t>24 Jan: Ringing. 23 Jan: Ringing. 21 Jan: OS. 20 Jan: Ringing. 19 Jan: Ringing. 16 Jan: Ringing.15 Jan: Busy on Call.14 Jan: Ringing.13th Jan: Ringing.</t>
    </r>
  </si>
  <si>
    <t>Bidesh</t>
  </si>
  <si>
    <t>MC</t>
  </si>
  <si>
    <t>Bideshmc@nsdl.com</t>
  </si>
  <si>
    <t>NSDL - National Securities Depository Limited</t>
  </si>
  <si>
    <t>20 Seater</t>
  </si>
  <si>
    <r>
      <rPr>
        <rFont val="Arial"/>
        <b/>
        <color theme="1"/>
      </rPr>
      <t xml:space="preserve">30 Jan: The requirement is on hold. </t>
    </r>
    <r>
      <rPr>
        <rFont val="Arial"/>
        <b val="0"/>
        <color theme="1"/>
      </rPr>
      <t>30 Jan: Dropped a text.</t>
    </r>
    <r>
      <rPr>
        <rFont val="Arial"/>
        <b/>
        <color theme="1"/>
      </rPr>
      <t xml:space="preserve"> </t>
    </r>
    <r>
      <rPr>
        <rFont val="Arial"/>
        <b val="0"/>
        <color theme="1"/>
      </rPr>
      <t>29 Jan: Ringing. 28 Jan: Ringing.</t>
    </r>
    <r>
      <rPr>
        <rFont val="Arial"/>
        <b/>
        <color theme="1"/>
      </rPr>
      <t xml:space="preserve"> </t>
    </r>
    <r>
      <rPr>
        <rFont val="Arial"/>
        <b val="0"/>
        <color theme="1"/>
      </rPr>
      <t>27 Jan: Ringing, dropped a text.</t>
    </r>
    <r>
      <rPr>
        <rFont val="Arial"/>
        <b/>
        <color theme="1"/>
      </rPr>
      <t xml:space="preserve"> </t>
    </r>
    <r>
      <rPr>
        <rFont val="Arial"/>
        <b val="0"/>
        <color theme="1"/>
      </rPr>
      <t>24 Jan: Ringing, dropped a text. 22 Jan: He will let me know about the visit soon. 21 Jan: He has ask me to share a mail. 20 Jan: Ringing, Dropped a text. 19 Jan: 20 Seater Cabin</t>
    </r>
  </si>
  <si>
    <t>Gurjeet Singh</t>
  </si>
  <si>
    <t>Bassan</t>
  </si>
  <si>
    <t>gurjeet.singh@ambitionsas.com</t>
  </si>
  <si>
    <t>Business</t>
  </si>
  <si>
    <r>
      <rPr>
        <rFont val="Arial"/>
        <b/>
        <color theme="1"/>
      </rPr>
      <t xml:space="preserve">3 Feb: Ringing. </t>
    </r>
    <r>
      <rPr>
        <rFont val="Arial"/>
        <b val="0"/>
        <color theme="1"/>
      </rPr>
      <t>31 Jan: Dropped a text. 30 Jan: Diclined the call. 29 Jan: Ringing.</t>
    </r>
    <r>
      <rPr>
        <rFont val="Arial"/>
        <b/>
        <color theme="1"/>
      </rPr>
      <t xml:space="preserve"> </t>
    </r>
    <r>
      <rPr>
        <rFont val="Arial"/>
        <b val="0"/>
        <color theme="1"/>
      </rPr>
      <t>28 Jan: Ringing.</t>
    </r>
    <r>
      <rPr>
        <rFont val="Arial"/>
        <b/>
        <color theme="1"/>
      </rPr>
      <t xml:space="preserve"> </t>
    </r>
    <r>
      <rPr>
        <rFont val="Arial"/>
        <b val="0"/>
        <color theme="1"/>
      </rPr>
      <t>27 Jan: Ringing. 22 Jan: Ringing. 21 Jan: Ringing, dropped a text. 20 Jan: Disconnected my call. 19 Jan: He is busy rightnow.</t>
    </r>
  </si>
  <si>
    <t>Dinesh</t>
  </si>
  <si>
    <t>Mhaskar</t>
  </si>
  <si>
    <t>dineshmhaskar@gmail.com</t>
  </si>
  <si>
    <t>Dsense Digital</t>
  </si>
  <si>
    <r>
      <rPr>
        <rFont val="Arial"/>
        <b/>
        <color theme="1"/>
      </rPr>
      <t>3 Feb: Ringing.</t>
    </r>
    <r>
      <rPr>
        <rFont val="Arial"/>
        <b val="0"/>
        <color theme="1"/>
      </rPr>
      <t xml:space="preserve"> 31 Jan: Dropped a text. 30 Jan: Ringing. 29 Jan: Ringing. 28 Jan: Ringing, dropped a text. 27 Jan: Ringing, dropped a text. 24 Jan: He will try to visit next week. 22 Jan: Ringing. 21 Jan: Ringing, dropped a text. 20 Jan: Ringing. 19 Jan: Ringing</t>
    </r>
  </si>
  <si>
    <t>Yogesh</t>
  </si>
  <si>
    <t>More</t>
  </si>
  <si>
    <t>yogeshmore1974@gmail.com</t>
  </si>
  <si>
    <r>
      <rPr>
        <rFont val="Arial"/>
        <b/>
        <color theme="1"/>
      </rPr>
      <t xml:space="preserve">3 Feb: Declined the call. </t>
    </r>
    <r>
      <rPr>
        <rFont val="Arial"/>
        <b val="0"/>
        <color theme="1"/>
      </rPr>
      <t>31 Jan: Dropped a text.</t>
    </r>
    <r>
      <rPr>
        <rFont val="Arial"/>
        <b/>
        <color theme="1"/>
      </rPr>
      <t xml:space="preserve"> </t>
    </r>
    <r>
      <rPr>
        <rFont val="Arial"/>
        <b val="0"/>
        <color theme="1"/>
      </rPr>
      <t>30 Jan: He wants to move in from April. He is currently out of station and will get back to me once he is back.</t>
    </r>
    <r>
      <rPr>
        <rFont val="Arial"/>
        <b/>
        <color theme="1"/>
      </rPr>
      <t xml:space="preserve"> </t>
    </r>
    <r>
      <rPr>
        <rFont val="Arial"/>
        <b val="0"/>
        <color theme="1"/>
      </rPr>
      <t>24 Jan: He said call me after somedays as he is busy with some personal commitments.</t>
    </r>
    <r>
      <rPr>
        <rFont val="Arial"/>
        <b/>
        <color theme="1"/>
      </rPr>
      <t xml:space="preserve"> </t>
    </r>
    <r>
      <rPr>
        <rFont val="Arial"/>
        <b val="0"/>
        <color theme="1"/>
      </rPr>
      <t>22 Jan: Switched Off.</t>
    </r>
    <r>
      <rPr>
        <rFont val="Arial"/>
        <b/>
        <color theme="1"/>
      </rPr>
      <t xml:space="preserve"> </t>
    </r>
    <r>
      <rPr>
        <rFont val="Arial"/>
        <b val="0"/>
        <color theme="1"/>
      </rPr>
      <t>21 Jan: OS, dropped him a text. 20 Jan: Disconnected my call. 19 Jan: Ringing</t>
    </r>
  </si>
  <si>
    <t>Vora</t>
  </si>
  <si>
    <t>vora1963@yahoo.co.in</t>
  </si>
  <si>
    <t>Self-employed</t>
  </si>
  <si>
    <t>5 Seates</t>
  </si>
  <si>
    <t xml:space="preserve"> </t>
  </si>
  <si>
    <r>
      <rPr>
        <rFont val="Arial"/>
        <b/>
        <color theme="1"/>
      </rPr>
      <t xml:space="preserve">3 Feb: Ringing. </t>
    </r>
    <r>
      <rPr>
        <rFont val="Arial"/>
        <b val="0"/>
        <color theme="1"/>
      </rPr>
      <t>31 Jan: Dropped a text.</t>
    </r>
    <r>
      <rPr>
        <rFont val="Arial"/>
        <b/>
        <color theme="1"/>
      </rPr>
      <t xml:space="preserve"> </t>
    </r>
    <r>
      <rPr>
        <rFont val="Arial"/>
        <b val="0"/>
        <color theme="1"/>
      </rPr>
      <t>30: He will call me back next week. 29 Jan: Ringing. 28 Jan: Dropped a text. 24Jan: He is not in town, he will call me once he is back. 22 Jan: Dropped him a text.</t>
    </r>
    <r>
      <rPr>
        <rFont val="Arial"/>
        <b/>
        <color theme="1"/>
      </rPr>
      <t xml:space="preserve"> </t>
    </r>
    <r>
      <rPr>
        <rFont val="Arial"/>
        <b val="0"/>
        <color theme="1"/>
      </rPr>
      <t>21 Jan: I texted him to ask about visit plans, and he said he’d let me know. 20 Jan: He said he will get back to me after sometime. 19 Jan: 5 seater cabin Shared the commercials and images</t>
    </r>
  </si>
  <si>
    <t>Sandesh</t>
  </si>
  <si>
    <t>Mandavkar</t>
  </si>
  <si>
    <t>mandavkars624@gmail.com</t>
  </si>
  <si>
    <t>Swatantra ethnic wear</t>
  </si>
  <si>
    <r>
      <rPr>
        <rFont val="Arial"/>
        <b/>
        <color theme="1"/>
      </rPr>
      <t xml:space="preserve">21 Jan: He is not interested. </t>
    </r>
    <r>
      <rPr>
        <rFont val="Arial"/>
        <b val="0"/>
        <color theme="1"/>
      </rPr>
      <t>20 Jan: Ringing. 19 Jan: Ringing</t>
    </r>
  </si>
  <si>
    <t>Srivastava</t>
  </si>
  <si>
    <t>inspiringlife34@gmail.com</t>
  </si>
  <si>
    <r>
      <rPr>
        <rFont val="Arial"/>
        <b/>
        <color theme="1"/>
      </rPr>
      <t xml:space="preserve">3 Feb: Busy on Call. </t>
    </r>
    <r>
      <rPr>
        <rFont val="Arial"/>
        <b val="0"/>
        <color theme="1"/>
      </rPr>
      <t>31 Jan: Dropped a text.</t>
    </r>
    <r>
      <rPr>
        <rFont val="Arial"/>
        <b/>
        <color theme="1"/>
      </rPr>
      <t xml:space="preserve"> </t>
    </r>
    <r>
      <rPr>
        <rFont val="Arial"/>
        <b val="0"/>
        <color theme="1"/>
      </rPr>
      <t>30 Jan: Ringing, dropped a text.</t>
    </r>
    <r>
      <rPr>
        <rFont val="Arial"/>
        <b/>
        <color theme="1"/>
      </rPr>
      <t xml:space="preserve"> </t>
    </r>
    <r>
      <rPr>
        <rFont val="Arial"/>
        <b val="0"/>
        <color theme="1"/>
      </rPr>
      <t>29 Jan: Ringing. 28 Jan: Ringing.</t>
    </r>
    <r>
      <rPr>
        <rFont val="Arial"/>
        <b/>
        <color theme="1"/>
      </rPr>
      <t xml:space="preserve"> </t>
    </r>
    <r>
      <rPr>
        <rFont val="Arial"/>
        <b val="0"/>
        <color theme="1"/>
      </rPr>
      <t>27 Jan: Ringing. 24 Jan: Ringing, dropped a text.</t>
    </r>
    <r>
      <rPr>
        <rFont val="Arial"/>
        <b/>
        <color theme="1"/>
      </rPr>
      <t xml:space="preserve"> </t>
    </r>
    <r>
      <rPr>
        <rFont val="Arial"/>
        <b val="0"/>
        <color theme="1"/>
      </rPr>
      <t>22 Jan: Ringing. 21 Jan: Ringing, dropped a text. 20 Jan: Ringing. 19 Jan: Ringing</t>
    </r>
  </si>
  <si>
    <t>shilpa</t>
  </si>
  <si>
    <t>Kamble</t>
  </si>
  <si>
    <t>rajeshkamble15@gmail.com</t>
  </si>
  <si>
    <r>
      <rPr>
        <rFont val="Arial"/>
        <b/>
        <color theme="1"/>
      </rPr>
      <t xml:space="preserve">3 Feb: Ringing. </t>
    </r>
    <r>
      <rPr>
        <rFont val="Arial"/>
        <b val="0"/>
        <color theme="1"/>
      </rPr>
      <t>31 Jan: Dropped a text.</t>
    </r>
    <r>
      <rPr>
        <rFont val="Arial"/>
        <b/>
        <color theme="1"/>
      </rPr>
      <t xml:space="preserve"> </t>
    </r>
    <r>
      <rPr>
        <rFont val="Arial"/>
        <b val="0"/>
        <color theme="1"/>
      </rPr>
      <t>30 Jan: Declined the call, dropped a text. 29 Jan: Ringing. 28 Jan: Disconnected the call. 27 Jan: Ringing.</t>
    </r>
    <r>
      <rPr>
        <rFont val="Arial"/>
        <b/>
        <color theme="1"/>
      </rPr>
      <t xml:space="preserve"> </t>
    </r>
    <r>
      <rPr>
        <rFont val="Arial"/>
        <b val="0"/>
        <color theme="1"/>
      </rPr>
      <t>24 Jan: Ringing, dropped a text.</t>
    </r>
    <r>
      <rPr>
        <rFont val="Arial"/>
        <b/>
        <color theme="1"/>
      </rPr>
      <t xml:space="preserve"> </t>
    </r>
    <r>
      <rPr>
        <rFont val="Arial"/>
        <b val="0"/>
        <color theme="1"/>
      </rPr>
      <t>22 Jan: Disconnected the call. 21 Jan: Ringing, dropped a text.</t>
    </r>
    <r>
      <rPr>
        <rFont val="Arial"/>
        <b/>
        <color theme="1"/>
      </rPr>
      <t xml:space="preserve"> </t>
    </r>
    <r>
      <rPr>
        <rFont val="Arial"/>
        <b val="0"/>
        <color theme="1"/>
      </rPr>
      <t>20 Jan: Ringing. 19 Jan: Disconnected the call</t>
    </r>
  </si>
  <si>
    <t>Dhiren</t>
  </si>
  <si>
    <t>Katariya</t>
  </si>
  <si>
    <t>dhiren@bombaytravelbazaar.com</t>
  </si>
  <si>
    <t>Globle Consulting</t>
  </si>
  <si>
    <r>
      <rPr>
        <rFont val="Arial"/>
        <b/>
        <color theme="1"/>
      </rPr>
      <t xml:space="preserve">21 Jan: He is looking for a conventional office. </t>
    </r>
    <r>
      <rPr>
        <rFont val="Arial"/>
        <b val="0"/>
        <color theme="1"/>
      </rPr>
      <t>20 Jan: Ringing, Dropped a text.</t>
    </r>
    <r>
      <rPr>
        <rFont val="Arial"/>
        <b/>
        <color theme="1"/>
      </rPr>
      <t xml:space="preserve"> </t>
    </r>
    <r>
      <rPr>
        <rFont val="Arial"/>
        <b val="0"/>
        <color theme="1"/>
      </rPr>
      <t>19 Jan: 5 Seater Cabin</t>
    </r>
  </si>
  <si>
    <t>Maroo</t>
  </si>
  <si>
    <t>rahul@maroogroup.com</t>
  </si>
  <si>
    <t>Bombay Travel Bazaar</t>
  </si>
  <si>
    <t>25 Seates</t>
  </si>
  <si>
    <t>Open Workstations</t>
  </si>
  <si>
    <r>
      <rPr>
        <rFont val="Arial"/>
        <b/>
        <color theme="1"/>
      </rPr>
      <t xml:space="preserve">3 Feb: Droped the plan to shift into a new office. </t>
    </r>
    <r>
      <rPr>
        <rFont val="Arial"/>
        <b val="0"/>
        <color theme="1"/>
      </rPr>
      <t>31 Jan: Dropped a text. 30 Jan: Ringing, dropped a text. 29 Jan: Need to share a commercial deck.</t>
    </r>
    <r>
      <rPr>
        <rFont val="Arial"/>
        <b/>
        <color theme="1"/>
      </rPr>
      <t xml:space="preserve"> </t>
    </r>
    <r>
      <rPr>
        <rFont val="Arial"/>
        <b val="0"/>
        <color theme="1"/>
      </rPr>
      <t>28 Jan: Vicky from his team mentioned that he will be visiting at 6:30pm. 27 Jan: Ringing. 24 Jan: Ringing, dropped a text. 23 Jan: Dropped a text.</t>
    </r>
    <r>
      <rPr>
        <rFont val="Arial"/>
        <b/>
        <color theme="1"/>
      </rPr>
      <t xml:space="preserve"> </t>
    </r>
    <r>
      <rPr>
        <rFont val="Arial"/>
        <b val="0"/>
        <color theme="1"/>
      </rPr>
      <t>22 Jan: He will confirm the timings for visit by 2 PM.</t>
    </r>
    <r>
      <rPr>
        <rFont val="Arial"/>
        <b/>
        <color theme="1"/>
      </rPr>
      <t xml:space="preserve"> </t>
    </r>
    <r>
      <rPr>
        <rFont val="Arial"/>
        <b val="0"/>
        <color theme="1"/>
      </rPr>
      <t xml:space="preserve">21 Jan: Vickey from Rahul's team said he will visit tomorrow. 20 Jan: Shared with him the images and details. </t>
    </r>
  </si>
  <si>
    <t>Medha</t>
  </si>
  <si>
    <t>Sahasrabuddhe</t>
  </si>
  <si>
    <t>medhas2007@gmail.com</t>
  </si>
  <si>
    <t>Sticky Media</t>
  </si>
  <si>
    <r>
      <rPr>
        <rFont val="Arial"/>
        <b/>
        <color theme="1"/>
      </rPr>
      <t xml:space="preserve">29 Jan: She said I'll call you back if I need any office. </t>
    </r>
    <r>
      <rPr>
        <rFont val="Arial"/>
        <b val="0"/>
        <color theme="1"/>
      </rPr>
      <t>28 Jan: Ringing. 27 Jan: Ringing. 24 Jan: Ringing. 22 Jan: Ringing.</t>
    </r>
    <r>
      <rPr>
        <rFont val="Arial"/>
        <b/>
        <color theme="1"/>
      </rPr>
      <t xml:space="preserve"> </t>
    </r>
    <r>
      <rPr>
        <rFont val="Arial"/>
        <b val="0"/>
        <color theme="1"/>
      </rPr>
      <t xml:space="preserve">21 Jan: Ringing </t>
    </r>
  </si>
  <si>
    <t>Drop a mail</t>
  </si>
  <si>
    <t>Charuhas</t>
  </si>
  <si>
    <t>Charli1006@gmail.com</t>
  </si>
  <si>
    <t>Bluemont ent.</t>
  </si>
  <si>
    <t>21 Jan: He is not looking for any office option.</t>
  </si>
  <si>
    <t>Ruta</t>
  </si>
  <si>
    <t>Karve Misra</t>
  </si>
  <si>
    <t>Ruta@intoit.in</t>
  </si>
  <si>
    <t>Intoitcare private limited</t>
  </si>
  <si>
    <t>4 - 5 seats</t>
  </si>
  <si>
    <r>
      <rPr>
        <rFont val="Arial"/>
        <b/>
        <color theme="1"/>
      </rPr>
      <t xml:space="preserve">3 Feb: She will discuss the same with her management and will update me. </t>
    </r>
    <r>
      <rPr>
        <rFont val="Arial"/>
        <b val="0"/>
        <color theme="1"/>
      </rPr>
      <t>27 Jan: She is travelling and will connect with me in the next week. 24 Jan: Ringing, dropprd a text. 23 Jan: She needs 4 to 5 Workstations.</t>
    </r>
  </si>
  <si>
    <t>Samiir</t>
  </si>
  <si>
    <t>Halady</t>
  </si>
  <si>
    <t>me@samiirhalady.com</t>
  </si>
  <si>
    <t>Samiir Halady Consulting</t>
  </si>
  <si>
    <r>
      <rPr>
        <rFont val="Arial"/>
        <b/>
        <color theme="1"/>
      </rPr>
      <t xml:space="preserve">3 Feb: Os </t>
    </r>
    <r>
      <rPr>
        <rFont val="Arial"/>
        <b val="0"/>
        <color theme="1"/>
      </rPr>
      <t>29 Jan: OS 27 Jan: He has asked me to call on 29 Jan. 23 Jan: OS</t>
    </r>
  </si>
  <si>
    <t>Pratik</t>
  </si>
  <si>
    <t>pbp@twm.co.in</t>
  </si>
  <si>
    <t>PPL</t>
  </si>
  <si>
    <t>23 Jan: He is not looking for an office. He wants to do interiors of his existing office in Andheri which is around 2000 sq.ft carpet. I'll ask Shabbir to take this up. Company Name: Prima Plastic Ltd.</t>
  </si>
  <si>
    <t>Shravani &amp; Shubham</t>
  </si>
  <si>
    <t>nishant.sharma@jainam.in</t>
  </si>
  <si>
    <t>Jainam Broking Ltd</t>
  </si>
  <si>
    <t>28 Jan: He needs a office in Marol, Shubham is already in contact with him.</t>
  </si>
  <si>
    <t>Aalim</t>
  </si>
  <si>
    <t>Raeen</t>
  </si>
  <si>
    <t>Info@raeengroup.in</t>
  </si>
  <si>
    <t>Raeen Interiors</t>
  </si>
  <si>
    <t>4 seates</t>
  </si>
  <si>
    <r>
      <rPr>
        <rFont val="Arial"/>
        <b/>
        <color theme="1"/>
      </rPr>
      <t xml:space="preserve">3 Feb: Ringing. </t>
    </r>
    <r>
      <rPr>
        <rFont val="Arial"/>
        <b val="0"/>
        <color theme="1"/>
      </rPr>
      <t>31 Jan: Dropped a text. 30 Jan: Ringing.</t>
    </r>
    <r>
      <rPr>
        <rFont val="Arial"/>
        <b/>
        <color theme="1"/>
      </rPr>
      <t xml:space="preserve"> </t>
    </r>
    <r>
      <rPr>
        <rFont val="Arial"/>
        <b val="0"/>
        <color theme="1"/>
      </rPr>
      <t>28 Jan: He needs sometime to discuss with his team.</t>
    </r>
    <r>
      <rPr>
        <rFont val="Arial"/>
        <b/>
        <color theme="1"/>
      </rPr>
      <t xml:space="preserve"> </t>
    </r>
    <r>
      <rPr>
        <rFont val="Arial"/>
        <b val="0"/>
        <color theme="1"/>
      </rPr>
      <t>27 Jan: Ringing. 24 Jan: Shared all the details on Whatsapp</t>
    </r>
  </si>
  <si>
    <t>Devidayal</t>
  </si>
  <si>
    <t>Jedhiya</t>
  </si>
  <si>
    <t>Marine Engineering Resourcing &amp; Consulting Services</t>
  </si>
  <si>
    <t>4 Seats</t>
  </si>
  <si>
    <t>27 Jan: Client is looking for a cabin space. I shared the images and video of Rajiv Sir’s cabin; however, he felt the ₹60,000 rent is on the higher side. He mentioned he will get back to us by 15th Feb.</t>
  </si>
  <si>
    <t xml:space="preserve">Abhishek </t>
  </si>
  <si>
    <t>AY Task Consulting Lop</t>
  </si>
  <si>
    <r>
      <rPr>
        <rFont val="Arial"/>
        <b/>
        <color theme="1"/>
      </rPr>
      <t xml:space="preserve">3 Feb: Declined the call. </t>
    </r>
    <r>
      <rPr>
        <rFont val="Arial"/>
        <b val="0"/>
        <color theme="1"/>
      </rPr>
      <t>31 Jan: Dropped a text.</t>
    </r>
    <r>
      <rPr>
        <rFont val="Arial"/>
        <b/>
        <color theme="1"/>
      </rPr>
      <t xml:space="preserve"> </t>
    </r>
    <r>
      <rPr>
        <rFont val="Arial"/>
        <b val="0"/>
        <color theme="1"/>
      </rPr>
      <t>30 Jan: Dropped a text.</t>
    </r>
    <r>
      <rPr>
        <rFont val="Arial"/>
        <b/>
        <color theme="1"/>
      </rPr>
      <t xml:space="preserve"> </t>
    </r>
    <r>
      <rPr>
        <rFont val="Arial"/>
        <b val="0"/>
        <color theme="1"/>
      </rPr>
      <t>28 Jan: He will get back to me in sometime</t>
    </r>
    <r>
      <rPr>
        <rFont val="Arial"/>
        <b/>
        <color theme="1"/>
      </rPr>
      <t xml:space="preserve">. </t>
    </r>
    <r>
      <rPr>
        <rFont val="Arial"/>
        <b val="0"/>
        <color theme="1"/>
      </rPr>
      <t>27 Jan: Single Cabin</t>
    </r>
  </si>
  <si>
    <t xml:space="preserve">Mitesh </t>
  </si>
  <si>
    <t>Diora</t>
  </si>
  <si>
    <t>Swastik Group</t>
  </si>
  <si>
    <t>35 Seats + 4 cabin</t>
  </si>
  <si>
    <t>Enclosed space</t>
  </si>
  <si>
    <r>
      <rPr>
        <rFont val="Arial"/>
        <b/>
        <color theme="1"/>
      </rPr>
      <t>3 Feb: He wants me to shared the details on whatsapp.</t>
    </r>
    <r>
      <rPr>
        <rFont val="Arial"/>
        <b val="0"/>
        <color theme="1"/>
      </rPr>
      <t>28 Jan: He has asked me to call in next week.</t>
    </r>
    <r>
      <rPr>
        <rFont val="Arial"/>
        <b/>
        <color theme="1"/>
      </rPr>
      <t xml:space="preserve">  </t>
    </r>
    <r>
      <rPr>
        <rFont val="Arial"/>
        <b val="0"/>
        <color theme="1"/>
      </rPr>
      <t>27 Jan: He will call me after sometime</t>
    </r>
  </si>
  <si>
    <t>Indrajeet</t>
  </si>
  <si>
    <t>Neversay</t>
  </si>
  <si>
    <t>Prinseps</t>
  </si>
  <si>
    <r>
      <rPr>
        <rFont val="Arial"/>
        <b/>
        <color theme="1"/>
      </rPr>
      <t xml:space="preserve">2 Feb: He will need some time because they are busy with some exhibition. </t>
    </r>
    <r>
      <rPr>
        <rFont val="Arial"/>
        <b val="0"/>
        <color theme="1"/>
      </rPr>
      <t>29 Jan: He will discuss with his team and update me. 28 Jan: Visit is done and shared the commercials on mail.</t>
    </r>
    <r>
      <rPr>
        <rFont val="Arial"/>
        <b/>
        <color theme="1"/>
      </rPr>
      <t xml:space="preserve"> </t>
    </r>
    <r>
      <rPr>
        <rFont val="Arial"/>
        <b val="0"/>
        <color theme="1"/>
      </rPr>
      <t>27 Jan: He did not mention any specific requirements; he only requested images and videos of the space.</t>
    </r>
  </si>
  <si>
    <t>Cheetan</t>
  </si>
  <si>
    <t>Gaikwad</t>
  </si>
  <si>
    <t>27 Jan: His current office is in Andheri. He needs 4 seater cabin but his budget is too low.</t>
  </si>
  <si>
    <t>Ashish</t>
  </si>
  <si>
    <t>Swarnkar</t>
  </si>
  <si>
    <t>Entropy</t>
  </si>
  <si>
    <r>
      <rPr>
        <rFont val="Arial"/>
        <b/>
        <color theme="1"/>
      </rPr>
      <t xml:space="preserve">30 Jan: He is not looking for any office space. </t>
    </r>
    <r>
      <rPr>
        <rFont val="Arial"/>
        <b val="0"/>
        <color theme="1"/>
      </rPr>
      <t xml:space="preserve">28 Jan: Ringing </t>
    </r>
  </si>
  <si>
    <t xml:space="preserve">Shruti </t>
  </si>
  <si>
    <t>Kainya</t>
  </si>
  <si>
    <t>Nutryst</t>
  </si>
  <si>
    <r>
      <rPr>
        <rFont val="Arial"/>
        <b/>
        <color theme="1"/>
      </rPr>
      <t xml:space="preserve">3 Feb: She will get back to me after somedays as she is not sure about the location. </t>
    </r>
    <r>
      <rPr>
        <rFont val="Arial"/>
        <b val="0"/>
        <color theme="1"/>
      </rPr>
      <t>31 Jan: Dropped a text. 30 Jan: Dropped a text. 29 Jan: I have shared the image and video of Rajiv Sir's Cabin</t>
    </r>
  </si>
  <si>
    <t>Prakash</t>
  </si>
  <si>
    <t>Cloud Tech</t>
  </si>
  <si>
    <r>
      <rPr>
        <rFont val="Arial"/>
        <b/>
        <color theme="1"/>
      </rPr>
      <t xml:space="preserve">3 Feb: He needs a office in Andheri, will share his requirement on whatsapp. </t>
    </r>
    <r>
      <rPr>
        <rFont val="Arial"/>
        <b val="0"/>
        <color theme="1"/>
      </rPr>
      <t>31 Jan: Dropped a text. 30 Jan: Ringing, dropped a text. 29 Jan: Ringing</t>
    </r>
  </si>
  <si>
    <t xml:space="preserve">Lahu </t>
  </si>
  <si>
    <t>Angarkhe</t>
  </si>
  <si>
    <t>Insurance</t>
  </si>
  <si>
    <t>30 Jan: He needs a cabin space in Ghatkopar</t>
  </si>
  <si>
    <t>Doshi</t>
  </si>
  <si>
    <t>Classic Holidays</t>
  </si>
  <si>
    <t>2 Feb: He is not interested</t>
  </si>
  <si>
    <t>Milind</t>
  </si>
  <si>
    <t>Arpina Optimus</t>
  </si>
  <si>
    <r>
      <rPr>
        <rFont val="Arial"/>
        <b/>
        <color theme="1"/>
      </rPr>
      <t xml:space="preserve">26 May: he will call me back later. 9 March: Ringing, Dropped a text. </t>
    </r>
    <r>
      <rPr>
        <rFont val="Arial"/>
        <b val="0"/>
        <color theme="1"/>
      </rPr>
      <t>21 Feb: Busy on call.</t>
    </r>
    <r>
      <rPr>
        <rFont val="Arial"/>
        <b/>
        <color theme="1"/>
      </rPr>
      <t xml:space="preserve"> </t>
    </r>
    <r>
      <rPr>
        <rFont val="Arial"/>
        <b val="0"/>
        <color theme="1"/>
      </rPr>
      <t>16 Feb: Single seater. 3 Feb: Busy on call. 2 Feb: Busy on call.</t>
    </r>
  </si>
  <si>
    <t>Sonal</t>
  </si>
  <si>
    <t>Naidu</t>
  </si>
  <si>
    <t>Solve Technology</t>
  </si>
  <si>
    <t>50 Seats</t>
  </si>
  <si>
    <r>
      <rPr>
        <rFont val="Arial"/>
        <b/>
        <color theme="1"/>
      </rPr>
      <t xml:space="preserve">5 Feb: She is not interested in Mafatlal Chambers as she needs a A + Grade Building and her budget is not more than 5.50 lacs. </t>
    </r>
    <r>
      <rPr>
        <rFont val="Arial"/>
        <b val="0"/>
        <color theme="1"/>
      </rPr>
      <t>3 Feb: She will visit today at 3 PM.</t>
    </r>
    <r>
      <rPr>
        <rFont val="Arial"/>
        <b/>
        <color theme="1"/>
      </rPr>
      <t xml:space="preserve"> </t>
    </r>
    <r>
      <rPr>
        <rFont val="Arial"/>
        <b val="0"/>
        <color theme="1"/>
      </rPr>
      <t>2 Feb: She will be visiting in the 2nd half today</t>
    </r>
  </si>
  <si>
    <t>Sarth</t>
  </si>
  <si>
    <t>Aaradhye</t>
  </si>
  <si>
    <t>Aradhye Tech</t>
  </si>
  <si>
    <r>
      <rPr>
        <rFont val="Arial"/>
        <b/>
        <color theme="1"/>
      </rPr>
      <t xml:space="preserve">26 May: He will call me back later. 3 Feb: He said he will call me back when he need a office. </t>
    </r>
    <r>
      <rPr>
        <rFont val="Arial"/>
        <b val="0"/>
        <color theme="1"/>
      </rPr>
      <t>2 Feb: He is busy and will call me back after sometime.</t>
    </r>
  </si>
  <si>
    <t>Vira</t>
  </si>
  <si>
    <t>K o packaging limited</t>
  </si>
  <si>
    <t>1000 sq.ft</t>
  </si>
  <si>
    <r>
      <rPr>
        <rFont val="Arial"/>
        <b/>
        <color theme="1"/>
      </rPr>
      <t xml:space="preserve">16 Feb: Looking office for outright purpose. </t>
    </r>
    <r>
      <rPr>
        <rFont val="Arial"/>
        <b val="0"/>
        <color theme="1"/>
      </rPr>
      <t>3 Feb: Busy, will call me in a while. 2 Feb: He requested me to share the details on WhatsApp. He also mentioned that he is currently in Delhi and is most likely to return today. He will try to visit tomorrow; if not, he confirmed that he will visit sometime next week.</t>
    </r>
  </si>
  <si>
    <t>Lawate</t>
  </si>
  <si>
    <t>Vida loca media</t>
  </si>
  <si>
    <t>2 Feb: He need a coworking space in Borivali</t>
  </si>
  <si>
    <t>Jawaharlal</t>
  </si>
  <si>
    <t>Panjabi</t>
  </si>
  <si>
    <t>Reliance International Holdings</t>
  </si>
  <si>
    <r>
      <rPr>
        <rFont val="Arial"/>
        <b/>
        <color theme="1"/>
      </rPr>
      <t xml:space="preserve">26 May: Ringing. </t>
    </r>
    <r>
      <rPr>
        <rFont val="Arial"/>
        <b val="0"/>
        <color theme="1"/>
      </rPr>
      <t>16 Feb: Dropped his requirement. 3 Feb: Ringing.</t>
    </r>
    <r>
      <rPr>
        <rFont val="Arial"/>
        <b/>
        <color theme="1"/>
      </rPr>
      <t xml:space="preserve"> </t>
    </r>
    <r>
      <rPr>
        <rFont val="Arial"/>
        <b val="0"/>
        <color theme="1"/>
      </rPr>
      <t>2 Feb: Busy on call.</t>
    </r>
  </si>
  <si>
    <t>Jay</t>
  </si>
  <si>
    <t>Manek</t>
  </si>
  <si>
    <t>Manek Ventures</t>
  </si>
  <si>
    <r>
      <rPr>
        <rFont val="Arial"/>
        <b/>
        <color theme="1"/>
      </rPr>
      <t xml:space="preserve">26 May: Requirement is fulfilled. </t>
    </r>
    <r>
      <rPr>
        <rFont val="Arial"/>
        <b val="0"/>
        <color theme="1"/>
      </rPr>
      <t>9 March: Ringing. 21 Feb: Ringing. 16 Feb: Ringing. 3 Feb: Declined the call. 2 Feb: He has asked me to call tomorrow at 12pm</t>
    </r>
  </si>
  <si>
    <t>Qazi Niyaz</t>
  </si>
  <si>
    <t>Haque</t>
  </si>
  <si>
    <t>Cotton Culture</t>
  </si>
  <si>
    <r>
      <rPr>
        <rFont val="Arial"/>
        <b/>
        <color theme="1"/>
      </rPr>
      <t xml:space="preserve">26 May: Ringing. </t>
    </r>
    <r>
      <rPr>
        <rFont val="Arial"/>
        <b val="0"/>
        <color theme="1"/>
      </rPr>
      <t>9 March: Declined the call.</t>
    </r>
    <r>
      <rPr>
        <rFont val="Arial"/>
        <b/>
        <color theme="1"/>
      </rPr>
      <t xml:space="preserve"> </t>
    </r>
    <r>
      <rPr>
        <rFont val="Arial"/>
        <b val="0"/>
        <color theme="1"/>
      </rPr>
      <t>21 Feb: Declined the call. 16 Feb: Ringing. 3 Feb: Declined the cal. 2 Feb: Ringing</t>
    </r>
  </si>
  <si>
    <t>Sudhir Kumar</t>
  </si>
  <si>
    <t>Sah</t>
  </si>
  <si>
    <t xml:space="preserve">Ansh Career Consultancy </t>
  </si>
  <si>
    <t>21 Feb: He already took an office. 16 Feb: Ringing. 3 Feb: Ringing. 2 Feb: Ringing</t>
  </si>
  <si>
    <t xml:space="preserve">Rahul </t>
  </si>
  <si>
    <t>Diarah</t>
  </si>
  <si>
    <r>
      <rPr>
        <rFont val="Arial"/>
        <b/>
        <color theme="1"/>
      </rPr>
      <t xml:space="preserve">26 May: Ringing. </t>
    </r>
    <r>
      <rPr>
        <rFont val="Arial"/>
        <b val="0"/>
        <color theme="1"/>
      </rPr>
      <t>9 March: He will call me after few days.</t>
    </r>
    <r>
      <rPr>
        <rFont val="Arial"/>
        <b/>
        <color theme="1"/>
      </rPr>
      <t xml:space="preserve"> </t>
    </r>
    <r>
      <rPr>
        <rFont val="Arial"/>
        <b val="0"/>
        <color theme="1"/>
      </rPr>
      <t>26 Feb: He said he will call be back tomorrow.</t>
    </r>
    <r>
      <rPr>
        <rFont val="Arial"/>
        <b/>
        <color theme="1"/>
      </rPr>
      <t xml:space="preserve"> </t>
    </r>
    <r>
      <rPr>
        <rFont val="Arial"/>
        <b val="0"/>
        <color theme="1"/>
      </rPr>
      <t>17 Feb: He will get back to me by next week as he is out of India.</t>
    </r>
    <r>
      <rPr>
        <rFont val="Arial"/>
        <b/>
        <color theme="1"/>
      </rPr>
      <t xml:space="preserve"> </t>
    </r>
    <r>
      <rPr>
        <rFont val="Arial"/>
        <b val="0"/>
        <color theme="1"/>
      </rPr>
      <t>16 Feb: Sent a followup mail. 2 Feb: He has asked me to share details on mail.</t>
    </r>
  </si>
  <si>
    <t>Rikin</t>
  </si>
  <si>
    <t>Flying Pencil</t>
  </si>
  <si>
    <t>2 Feb: He is in touch with shubham as he is looking for an office in Andheri.</t>
  </si>
  <si>
    <t>Jhaveri</t>
  </si>
  <si>
    <t>Lightalive Solution</t>
  </si>
  <si>
    <r>
      <rPr>
        <rFont val="Arial"/>
        <b/>
        <color theme="1"/>
      </rPr>
      <t xml:space="preserve">16 Feb: He is not looking for any space. </t>
    </r>
    <r>
      <rPr>
        <rFont val="Arial"/>
        <b val="0"/>
        <color theme="1"/>
      </rPr>
      <t>3 Feb: Ringing, dropped a text. 2 Feb: Declined the call.</t>
    </r>
  </si>
  <si>
    <t>Indra</t>
  </si>
  <si>
    <t>Sheth</t>
  </si>
  <si>
    <r>
      <rPr>
        <rFont val="Arial"/>
        <b/>
        <color theme="1"/>
      </rPr>
      <t xml:space="preserve">9 March: He have asked me to share the details on whatsapp. </t>
    </r>
    <r>
      <rPr>
        <rFont val="Arial"/>
        <b val="0"/>
        <color theme="1"/>
      </rPr>
      <t>16 Feb: Ringing.</t>
    </r>
    <r>
      <rPr>
        <rFont val="Arial"/>
        <b/>
        <color theme="1"/>
      </rPr>
      <t xml:space="preserve"> </t>
    </r>
    <r>
      <rPr>
        <rFont val="Arial"/>
        <b val="0"/>
        <color theme="1"/>
      </rPr>
      <t>3 Feb: He will call me back</t>
    </r>
  </si>
  <si>
    <t>Niraj</t>
  </si>
  <si>
    <t>Auby Satellite Communications Pvt Ltd</t>
  </si>
  <si>
    <t>24 Workstation, 3 to4 Cabins and 1 Conference room.</t>
  </si>
  <si>
    <r>
      <rPr>
        <rFont val="Arial"/>
        <b/>
        <color theme="1"/>
      </rPr>
      <t xml:space="preserve">25 May: He have purchased a new space in borivali. </t>
    </r>
    <r>
      <rPr>
        <rFont val="Arial"/>
        <b val="0"/>
        <color theme="1"/>
      </rPr>
      <t>9 March: He will visit on Thursday.</t>
    </r>
    <r>
      <rPr>
        <rFont val="Arial"/>
        <b/>
        <color theme="1"/>
      </rPr>
      <t xml:space="preserve"> </t>
    </r>
    <r>
      <rPr>
        <rFont val="Arial"/>
        <b val="0"/>
        <color theme="1"/>
      </rPr>
      <t>16 Feb: He is singapore and will be back on 24 Feb post that he will be available for a visit.</t>
    </r>
    <r>
      <rPr>
        <rFont val="Arial"/>
        <b/>
        <color theme="1"/>
      </rPr>
      <t xml:space="preserve"> </t>
    </r>
    <r>
      <rPr>
        <rFont val="Arial"/>
        <b val="0"/>
        <color theme="1"/>
      </rPr>
      <t>3 Feb: He will be visiting on thursday or friday.</t>
    </r>
  </si>
  <si>
    <t xml:space="preserve">Nilima </t>
  </si>
  <si>
    <t>ICICI Bank</t>
  </si>
  <si>
    <t>30 Seats + 3 Cabins + 5 Seater Conference Room</t>
  </si>
  <si>
    <r>
      <rPr>
        <rFont val="Arial"/>
        <b/>
        <color theme="1"/>
      </rPr>
      <t xml:space="preserve">25 May: Ringing. </t>
    </r>
    <r>
      <rPr>
        <rFont val="Arial"/>
        <b val="0"/>
        <color theme="1"/>
      </rPr>
      <t>21 Feb: She is not looking for a  office currently. 16 Feb: Ringing. 5 Feb: She has asked me to share the details.</t>
    </r>
  </si>
  <si>
    <t>Ashit</t>
  </si>
  <si>
    <t>9820067569/7045308078</t>
  </si>
  <si>
    <t>5 Workstations + 1 Cabin</t>
  </si>
  <si>
    <r>
      <rPr>
        <rFont val="Arial"/>
        <b/>
        <color theme="1"/>
      </rPr>
      <t xml:space="preserve">25th May: 5 Seater Cabin. </t>
    </r>
    <r>
      <rPr>
        <rFont val="Arial"/>
        <b val="0"/>
        <color theme="1"/>
      </rPr>
      <t xml:space="preserve">9 March: Ringing, declined the call. 21 Feb: He will try to come today. 16 Feb: Busy on call. 5 Feb: He will try to visit on Monday. </t>
    </r>
  </si>
  <si>
    <t>Maunil</t>
  </si>
  <si>
    <t>Modi</t>
  </si>
  <si>
    <t>Veltora Technologies PVt Ltd</t>
  </si>
  <si>
    <t>5 Workstation</t>
  </si>
  <si>
    <r>
      <rPr>
        <rFont val="Arial"/>
        <b/>
        <color theme="1"/>
      </rPr>
      <t xml:space="preserve">25th May: Ringing. 9 March: Ringing, dropped a text. </t>
    </r>
    <r>
      <rPr>
        <rFont val="Arial"/>
        <b val="0"/>
        <color theme="1"/>
      </rPr>
      <t>21 Feb: he will try to come today. 16 Feb: Ringing. 12 Feb: Switched off.</t>
    </r>
    <r>
      <rPr>
        <rFont val="Arial"/>
        <b/>
        <color theme="1"/>
      </rPr>
      <t xml:space="preserve"> </t>
    </r>
    <r>
      <rPr>
        <rFont val="Arial"/>
        <b val="0"/>
        <color theme="1"/>
      </rPr>
      <t>5 Feb: He is coming today for the visit. 4 Feb: Ringing.</t>
    </r>
  </si>
  <si>
    <t xml:space="preserve">Bhavesh </t>
  </si>
  <si>
    <t>Career Counseler</t>
  </si>
  <si>
    <t xml:space="preserve">4 Open Workstation </t>
  </si>
  <si>
    <r>
      <rPr>
        <rFont val="Arial"/>
        <b/>
        <color theme="1"/>
      </rPr>
      <t xml:space="preserve">25th May: he got a office in Goregaon. </t>
    </r>
    <r>
      <rPr>
        <rFont val="Arial"/>
        <b val="0"/>
        <color theme="1"/>
      </rPr>
      <t>9 March: Ringing, Dropped a text. 21 Feb: Disconnected the call. 16 Feb: Ringing.</t>
    </r>
    <r>
      <rPr>
        <rFont val="Arial"/>
        <b/>
        <color theme="1"/>
      </rPr>
      <t xml:space="preserve"> </t>
    </r>
    <r>
      <rPr>
        <rFont val="Arial"/>
        <b val="0"/>
        <color theme="1"/>
      </rPr>
      <t>12 Feb: He will get back to me after 2 days.</t>
    </r>
    <r>
      <rPr>
        <rFont val="Arial"/>
        <b/>
        <color theme="1"/>
      </rPr>
      <t xml:space="preserve"> </t>
    </r>
    <r>
      <rPr>
        <rFont val="Arial"/>
        <b val="0"/>
        <color theme="1"/>
      </rPr>
      <t>5 Feb: Ringing, dropped a text.</t>
    </r>
    <r>
      <rPr>
        <rFont val="Arial"/>
        <b/>
        <color theme="1"/>
      </rPr>
      <t xml:space="preserve"> </t>
    </r>
    <r>
      <rPr>
        <rFont val="Arial"/>
        <b val="0"/>
        <color theme="1"/>
      </rPr>
      <t>4 Feb: He has asked me to share images and details on whatsapp</t>
    </r>
  </si>
  <si>
    <t>Anita: 9136752210</t>
  </si>
  <si>
    <t>35 Workstation + 1 Cabin</t>
  </si>
  <si>
    <t>Enclosed</t>
  </si>
  <si>
    <r>
      <rPr>
        <rFont val="Arial"/>
        <b/>
        <color theme="1"/>
      </rPr>
      <t xml:space="preserve">12 Feb: He has a budget of 1 lac. </t>
    </r>
    <r>
      <rPr>
        <rFont val="Arial"/>
        <b val="0"/>
        <color theme="1"/>
      </rPr>
      <t>5 Feb: He wants a office in Andheri. Sharing with him the details of Crescent.</t>
    </r>
  </si>
  <si>
    <t>Piyush</t>
  </si>
  <si>
    <t>Rawat</t>
  </si>
  <si>
    <t>Urbanclap Technologies</t>
  </si>
  <si>
    <r>
      <rPr>
        <rFont val="Arial"/>
        <b/>
        <color theme="1"/>
      </rPr>
      <t xml:space="preserve">25th May: Ringing. </t>
    </r>
    <r>
      <rPr>
        <rFont val="Arial"/>
        <b val="0"/>
        <color theme="1"/>
      </rPr>
      <t>9 March: Ringing, dropped a text. 21 Feb: Ringing. 16 Feb: He will call me after few days. 13 Feb: Ringing.</t>
    </r>
    <r>
      <rPr>
        <rFont val="Arial"/>
        <b/>
        <color theme="1"/>
      </rPr>
      <t xml:space="preserve"> </t>
    </r>
    <r>
      <rPr>
        <rFont val="Arial"/>
        <b val="0"/>
        <color theme="1"/>
      </rPr>
      <t>12 Feb: he will call me back after some time.</t>
    </r>
    <r>
      <rPr>
        <rFont val="Arial"/>
        <b/>
        <color theme="1"/>
      </rPr>
      <t xml:space="preserve"> </t>
    </r>
    <r>
      <rPr>
        <rFont val="Arial"/>
        <b val="0"/>
        <color theme="1"/>
      </rPr>
      <t>5 Feb: Ringing</t>
    </r>
  </si>
  <si>
    <t xml:space="preserve">Dhawal </t>
  </si>
  <si>
    <t xml:space="preserve">Jain </t>
  </si>
  <si>
    <t xml:space="preserve">Nuvama Wealth </t>
  </si>
  <si>
    <r>
      <rPr>
        <rFont val="Arial"/>
        <b/>
        <color theme="1"/>
      </rPr>
      <t xml:space="preserve">9 March: His requirement is on hold and will be back post April. </t>
    </r>
    <r>
      <rPr>
        <rFont val="Arial"/>
        <b val="0"/>
        <color theme="1"/>
      </rPr>
      <t>21 Feb: Ringing. 18  Feb: Ringing. 16 Feb: Ringing. 13 Feb: He will call me tomorrow as he is occupied with some work. 12 Feb: He is in a meeting will call me back.</t>
    </r>
    <r>
      <rPr>
        <rFont val="Arial"/>
        <b/>
        <color theme="1"/>
      </rPr>
      <t xml:space="preserve"> </t>
    </r>
    <r>
      <rPr>
        <rFont val="Arial"/>
        <b val="0"/>
        <color theme="1"/>
      </rPr>
      <t xml:space="preserve">7 Feb: Spoke. He said currently in meeting drop a text </t>
    </r>
  </si>
  <si>
    <t>Malcolm</t>
  </si>
  <si>
    <t xml:space="preserve">Athaide </t>
  </si>
  <si>
    <t>Agrim Housing finance pvt LTD</t>
  </si>
  <si>
    <r>
      <rPr>
        <rFont val="Arial"/>
        <b/>
        <color theme="1"/>
      </rPr>
      <t xml:space="preserve">25th May: Ringing. </t>
    </r>
    <r>
      <rPr>
        <rFont val="Arial"/>
        <b val="0"/>
        <color theme="1"/>
      </rPr>
      <t>9 March: Declined the call, dropped a text.</t>
    </r>
    <r>
      <rPr>
        <rFont val="Arial"/>
        <b/>
        <color theme="1"/>
      </rPr>
      <t xml:space="preserve"> </t>
    </r>
    <r>
      <rPr>
        <rFont val="Arial"/>
        <b val="0"/>
        <color theme="1"/>
      </rPr>
      <t>21 Feb: Ringing. 16 Feb: Declined the call.</t>
    </r>
    <r>
      <rPr>
        <rFont val="Arial"/>
        <b/>
        <color theme="1"/>
      </rPr>
      <t xml:space="preserve"> </t>
    </r>
    <r>
      <rPr>
        <rFont val="Arial"/>
        <b val="0"/>
        <color theme="1"/>
      </rPr>
      <t xml:space="preserve">13 Feb: Ringing, Dropped a text. 12 Feb: Ringing. 7 Feb: He disconnected my call I have dropped a text </t>
    </r>
  </si>
  <si>
    <t xml:space="preserve">Darshil </t>
  </si>
  <si>
    <t xml:space="preserve">Shah </t>
  </si>
  <si>
    <t>Blazonion</t>
  </si>
  <si>
    <t xml:space="preserve">500 sqft studio and 5 w.s </t>
  </si>
  <si>
    <t xml:space="preserve">Enclosed </t>
  </si>
  <si>
    <t>7 Feb: Spoke to Darshil Shah. He is looking for a photo studio setup of about 500sqft along with 5 w.s. Current office is in Andheri West of about 2000 sqft and they pay around 3 lakhs there as a rental. Their Tenure is expiring in April and may. This guy is the founder and lives in Grant road. Not a super urgent requirement but he can come for a visit if we can structure something better</t>
  </si>
  <si>
    <t xml:space="preserve">Khamankar </t>
  </si>
  <si>
    <t xml:space="preserve">Anant B. Khamankar &amp; co. </t>
  </si>
  <si>
    <r>
      <rPr>
        <rFont val="Arial"/>
        <b/>
        <color theme="1"/>
      </rPr>
      <t xml:space="preserve">25th May: Ringing. </t>
    </r>
    <r>
      <rPr>
        <rFont val="Arial"/>
        <b val="0"/>
        <color theme="1"/>
      </rPr>
      <t>9 March: Ringing, dropped a text. 21 Feb: Ringing.</t>
    </r>
    <r>
      <rPr>
        <rFont val="Arial"/>
        <b/>
        <color theme="1"/>
      </rPr>
      <t xml:space="preserve"> </t>
    </r>
    <r>
      <rPr>
        <rFont val="Arial"/>
        <b val="0"/>
        <color theme="1"/>
      </rPr>
      <t>16 Feb: Ringing.</t>
    </r>
    <r>
      <rPr>
        <rFont val="Arial"/>
        <b/>
        <color theme="1"/>
      </rPr>
      <t xml:space="preserve"> </t>
    </r>
    <r>
      <rPr>
        <rFont val="Arial"/>
        <b val="0"/>
        <color theme="1"/>
      </rPr>
      <t>13 Feb: Ringing, dropped a text.</t>
    </r>
    <r>
      <rPr>
        <rFont val="Arial"/>
        <b/>
        <color theme="1"/>
      </rPr>
      <t xml:space="preserve"> </t>
    </r>
    <r>
      <rPr>
        <rFont val="Arial"/>
        <b val="0"/>
        <color theme="1"/>
      </rPr>
      <t xml:space="preserve">12 Feb: Ringing. 7 Feb: Ringing, dropped a voice note and Text </t>
    </r>
  </si>
  <si>
    <t xml:space="preserve">Aniket </t>
  </si>
  <si>
    <t xml:space="preserve">Tawde </t>
  </si>
  <si>
    <t xml:space="preserve">Neem Holidays </t>
  </si>
  <si>
    <t xml:space="preserve">1 cabin and 2-3 seats </t>
  </si>
  <si>
    <r>
      <rPr>
        <rFont val="Arial"/>
        <b/>
        <color theme="1"/>
      </rPr>
      <t xml:space="preserve">12 Feb: His budget is 5k to 6k. </t>
    </r>
    <r>
      <rPr>
        <rFont val="Arial"/>
        <b val="0"/>
        <color theme="1"/>
      </rPr>
      <t>7 Feb: Spoke to Aniket he wants 1 cabin and 2-3 w.s. Couldn't talk much as he was occupied and he asked me to drop a text</t>
    </r>
  </si>
  <si>
    <t xml:space="preserve">Jagrut </t>
  </si>
  <si>
    <t xml:space="preserve">Japtiwale </t>
  </si>
  <si>
    <t>DSP asset Manager Pvt Ltd</t>
  </si>
  <si>
    <t xml:space="preserve">50 seats and 10 seats </t>
  </si>
  <si>
    <r>
      <rPr>
        <rFont val="Arial"/>
        <b/>
        <color theme="1"/>
      </rPr>
      <t xml:space="preserve">25th May: Ringing. </t>
    </r>
    <r>
      <rPr>
        <rFont val="Arial"/>
        <b val="0"/>
        <color theme="1"/>
      </rPr>
      <t>9 March: He have not received any feedback yet.</t>
    </r>
    <r>
      <rPr>
        <rFont val="Arial"/>
        <b/>
        <color theme="1"/>
      </rPr>
      <t xml:space="preserve"> </t>
    </r>
    <r>
      <rPr>
        <rFont val="Arial"/>
        <b val="0"/>
        <color theme="1"/>
      </rPr>
      <t>26 Feb: He have not received any feedback from his management. 21 Feb: Texted.</t>
    </r>
    <r>
      <rPr>
        <rFont val="Arial"/>
        <b/>
        <color theme="1"/>
      </rPr>
      <t xml:space="preserve"> </t>
    </r>
    <r>
      <rPr>
        <rFont val="Arial"/>
        <b val="0"/>
        <color theme="1"/>
      </rPr>
      <t>19 Feb: Dropped a text. 16 Feb: He have not received any update from his management.</t>
    </r>
    <r>
      <rPr>
        <rFont val="Arial"/>
        <b/>
        <color theme="1"/>
      </rPr>
      <t xml:space="preserve"> </t>
    </r>
    <r>
      <rPr>
        <rFont val="Arial"/>
        <b val="0"/>
        <color theme="1"/>
      </rPr>
      <t xml:space="preserve">12 Feb: He have shared the details with his management but have not receieved any response yet. 7 Feb: Spoke he has shared the requirement and asked to share the details over mail sent pushing for a visit </t>
    </r>
  </si>
  <si>
    <t>Shukhwinder</t>
  </si>
  <si>
    <t>Armor Fire</t>
  </si>
  <si>
    <r>
      <rPr>
        <rFont val="Arial"/>
        <b/>
        <color theme="1"/>
      </rPr>
      <t xml:space="preserve">21 Feb: Ringing. </t>
    </r>
    <r>
      <rPr>
        <rFont val="Arial"/>
        <b val="0"/>
        <color theme="1"/>
      </rPr>
      <t>18 Feb: Ringing.  16 Feb: Ringing. 12 Feb: He will try to visit next week.</t>
    </r>
    <r>
      <rPr>
        <rFont val="Arial"/>
        <b/>
        <color theme="1"/>
      </rPr>
      <t xml:space="preserve"> </t>
    </r>
    <r>
      <rPr>
        <rFont val="Arial"/>
        <b val="0"/>
        <color theme="1"/>
      </rPr>
      <t>9 Feb: 1 seat and scalable up to 5, to visit in a day or 2</t>
    </r>
  </si>
  <si>
    <t>Yash Kumar</t>
  </si>
  <si>
    <t>Baid</t>
  </si>
  <si>
    <t>Node Bracket Media</t>
  </si>
  <si>
    <t>9 Feb: Budget too low, seeking 1 seat at about 4 to 5k and total requirement of 10 seats</t>
  </si>
  <si>
    <t>Paras</t>
  </si>
  <si>
    <t>Kothari</t>
  </si>
  <si>
    <t>Ushaira Media</t>
  </si>
  <si>
    <t>9 Feb: Seeking a co-working space in the suburbs</t>
  </si>
  <si>
    <t>Tejasvi</t>
  </si>
  <si>
    <t>EPC World</t>
  </si>
  <si>
    <r>
      <rPr>
        <rFont val="Arial"/>
        <b/>
        <color theme="1"/>
      </rPr>
      <t xml:space="preserve">25th May: Ringing. </t>
    </r>
    <r>
      <rPr>
        <rFont val="Arial"/>
        <b val="0"/>
        <color theme="1"/>
      </rPr>
      <t>9 March: Dropped a text.</t>
    </r>
    <r>
      <rPr>
        <rFont val="Arial"/>
        <b/>
        <color theme="1"/>
      </rPr>
      <t xml:space="preserve"> </t>
    </r>
    <r>
      <rPr>
        <rFont val="Arial"/>
        <b val="0"/>
        <color theme="1"/>
      </rPr>
      <t>21 Feb: He has not yet sure about Lower Parel Location, he'll think on it and will call me back. 16 Feb: Busy on call.13 Feb: Dropped a text. 12 Feb: He is in a meeting rightnow and will get back to me in a while. 9 Feb: called but disconnected</t>
    </r>
  </si>
  <si>
    <t>Sagar</t>
  </si>
  <si>
    <t>Nazirkar</t>
  </si>
  <si>
    <t>SMAIPL</t>
  </si>
  <si>
    <t>9 Feb: 25 seats in Pune, 2 cabin, 1 conference, 3 to 4 cubicles, 25 workstations. Baner, kothrud and other outer areas. client was not aware /  interested in MOS. Client has connected with a prospected property.</t>
  </si>
  <si>
    <t>srgg manpower pvt ltd</t>
  </si>
  <si>
    <r>
      <rPr>
        <rFont val="Arial"/>
        <b/>
        <color theme="1"/>
      </rPr>
      <t xml:space="preserve">9 March: He ha got a space in Dadar at 6000 per seat. </t>
    </r>
    <r>
      <rPr>
        <rFont val="Arial"/>
        <b val="0"/>
        <color theme="1"/>
      </rPr>
      <t>26 Feb: O.S. 21 Feb: Visit Done, he will update me in some time. 18 Feb: Dropped a text. 16 Feb: He is not currently in mumbai, he will call me tomorrow.</t>
    </r>
    <r>
      <rPr>
        <rFont val="Arial"/>
        <b/>
        <color theme="1"/>
      </rPr>
      <t xml:space="preserve"> </t>
    </r>
    <r>
      <rPr>
        <rFont val="Arial"/>
        <b val="0"/>
        <color theme="1"/>
      </rPr>
      <t>12 Feb: He will get back to me on Monday. 9 Feb: 1 seat may visit on wednesday, confirmation pending and called by disconnected.</t>
    </r>
  </si>
  <si>
    <t>Chitra</t>
  </si>
  <si>
    <t>Jha</t>
  </si>
  <si>
    <t>12 Feb: She is not interested in Shared space</t>
  </si>
  <si>
    <t>Parmar</t>
  </si>
  <si>
    <t>Mediachondria</t>
  </si>
  <si>
    <r>
      <rPr>
        <rFont val="Arial"/>
        <b/>
        <color theme="1"/>
      </rPr>
      <t xml:space="preserve">25th May: He wants the space in July or August. </t>
    </r>
    <r>
      <rPr>
        <rFont val="Arial"/>
        <b val="0"/>
        <color theme="1"/>
      </rPr>
      <t>21 Feb: Layout will be shared on Monday and he wants to move in from April</t>
    </r>
    <r>
      <rPr>
        <rFont val="Arial"/>
        <b/>
        <color theme="1"/>
      </rPr>
      <t>.</t>
    </r>
    <r>
      <rPr>
        <rFont val="Arial"/>
        <b val="0"/>
        <color theme="1"/>
      </rPr>
      <t>19 Feb: Visit Schedueled for today at 6pm. 17 Feb: He will be visiting on thursday in the 2nd half.</t>
    </r>
    <r>
      <rPr>
        <rFont val="Arial"/>
        <b/>
        <color theme="1"/>
      </rPr>
      <t xml:space="preserve"> </t>
    </r>
    <r>
      <rPr>
        <rFont val="Arial"/>
        <b val="0"/>
        <color theme="1"/>
      </rPr>
      <t>12 Feb: He needs 20 Open Workstations and will visit on this coming tuesday and wednesday.</t>
    </r>
  </si>
  <si>
    <t>Arden</t>
  </si>
  <si>
    <t>Dsouza</t>
  </si>
  <si>
    <t>Sheriden SA</t>
  </si>
  <si>
    <r>
      <rPr>
        <rFont val="Arial"/>
        <b/>
        <color theme="1"/>
      </rPr>
      <t>9 March: He will get back to me.</t>
    </r>
    <r>
      <rPr>
        <rFont val="Arial"/>
        <b val="0"/>
        <color theme="1"/>
      </rPr>
      <t xml:space="preserve"> 21 Feb: Asked me to send the details on whatsapp.</t>
    </r>
    <r>
      <rPr>
        <rFont val="Arial"/>
        <b/>
        <color theme="1"/>
      </rPr>
      <t xml:space="preserve"> </t>
    </r>
    <r>
      <rPr>
        <rFont val="Arial"/>
        <b val="0"/>
        <color theme="1"/>
      </rPr>
      <t>18 Feb: He was in a meeting and will call me later. 16 Feb: Ringing. 13 Feb: Busy on call.</t>
    </r>
  </si>
  <si>
    <t>Sarvangi</t>
  </si>
  <si>
    <t>Noya Beauty Works</t>
  </si>
  <si>
    <r>
      <rPr>
        <rFont val="Arial"/>
        <b/>
        <color theme="1"/>
      </rPr>
      <t xml:space="preserve">16th Feb: He needs a conventional office. </t>
    </r>
    <r>
      <rPr>
        <rFont val="Arial"/>
        <b val="0"/>
        <color theme="1"/>
      </rPr>
      <t>13 Feb: Ringing.</t>
    </r>
  </si>
  <si>
    <t>Museer</t>
  </si>
  <si>
    <t>Ansari</t>
  </si>
  <si>
    <t>Anex Advisory</t>
  </si>
  <si>
    <r>
      <rPr>
        <rFont val="Arial"/>
        <b/>
        <color theme="1"/>
      </rPr>
      <t xml:space="preserve">16th Feb: He is looking for conventional. </t>
    </r>
    <r>
      <rPr>
        <rFont val="Arial"/>
        <b val="0"/>
        <color theme="1"/>
      </rPr>
      <t>13 Feb: Ringing.</t>
    </r>
  </si>
  <si>
    <t>Maheswari</t>
  </si>
  <si>
    <t>Amicorp Advisory</t>
  </si>
  <si>
    <t>10 Seats + 2 Cabins + 1 Conf</t>
  </si>
  <si>
    <r>
      <rPr>
        <rFont val="Arial"/>
        <b/>
        <color theme="1"/>
      </rPr>
      <t xml:space="preserve">9 March: </t>
    </r>
    <r>
      <rPr>
        <rFont val="Arial"/>
        <b val="0"/>
        <color theme="1"/>
      </rPr>
      <t>26 Feb: Ringing. 21 Feb: He said his investor will get back to him by 15th March post that he can move ahead. 20 Feb: He liked the layout, waiting for his partner's response. 19 Feb: Not answering the call, followed up on whatsapp.</t>
    </r>
    <r>
      <rPr>
        <rFont val="Arial"/>
        <b/>
        <color theme="1"/>
      </rPr>
      <t xml:space="preserve"> </t>
    </r>
    <r>
      <rPr>
        <rFont val="Arial"/>
        <b val="0"/>
        <color theme="1"/>
      </rPr>
      <t>18 Feb: Shared wih him the updated layout as he needed some changes and awaiting for his response.</t>
    </r>
    <r>
      <rPr>
        <rFont val="Arial"/>
        <b/>
        <color theme="1"/>
      </rPr>
      <t xml:space="preserve"> </t>
    </r>
    <r>
      <rPr>
        <rFont val="Arial"/>
        <b val="0"/>
        <color theme="1"/>
      </rPr>
      <t>17 Feb: Shared the layouts and commercials.</t>
    </r>
    <r>
      <rPr>
        <rFont val="Arial"/>
        <b/>
        <color theme="1"/>
      </rPr>
      <t xml:space="preserve"> </t>
    </r>
    <r>
      <rPr>
        <rFont val="Arial"/>
        <b val="0"/>
        <color theme="1"/>
      </rPr>
      <t>16 Feb: deepak revisited the space with his partner, awaiting for the commercials. 13 Feb: Visit Done. Need to share layouts.</t>
    </r>
  </si>
  <si>
    <t>Amar</t>
  </si>
  <si>
    <t>Ajmera</t>
  </si>
  <si>
    <t>TEC</t>
  </si>
  <si>
    <r>
      <rPr>
        <rFont val="Arial"/>
        <b/>
        <color theme="1"/>
      </rPr>
      <t xml:space="preserve">25th May: 20 Seats + 2 Cabin + Conference. 9 March: Dropped a text. </t>
    </r>
    <r>
      <rPr>
        <rFont val="Arial"/>
        <b val="0"/>
        <color theme="1"/>
      </rPr>
      <t>26 Feb: Ringing. 25 Feb: Ringing. 21 Feb: O.S 19 Feb: Dropped a text. 18 Feb: Dropped a text. 17 Feb: Ringing. 16 Feb: He will try to visit tomorrow in the 2nd half.</t>
    </r>
  </si>
  <si>
    <t>Jagirdar</t>
  </si>
  <si>
    <t>Damac</t>
  </si>
  <si>
    <r>
      <rPr>
        <rFont val="Arial"/>
        <b/>
        <color theme="1"/>
      </rPr>
      <t>25 May: He will call me later.</t>
    </r>
    <r>
      <rPr>
        <rFont val="Arial"/>
        <b val="0"/>
        <color theme="1"/>
      </rPr>
      <t xml:space="preserve"> 9 March: Ringing, dropped him a text.</t>
    </r>
    <r>
      <rPr>
        <rFont val="Arial"/>
        <b/>
        <color theme="1"/>
      </rPr>
      <t xml:space="preserve"> </t>
    </r>
    <r>
      <rPr>
        <rFont val="Arial"/>
        <b val="0"/>
        <color theme="1"/>
      </rPr>
      <t>25 Feb: He said he will call me once he is available for a visit till then DND. 21 Feb: Dropped a text. 16 Feb: He is out of India will contact me once he is back.</t>
    </r>
  </si>
  <si>
    <t>VNB Media</t>
  </si>
  <si>
    <t>15 Seats + 2 Cabins + 1 Conf</t>
  </si>
  <si>
    <r>
      <rPr>
        <rFont val="Arial"/>
        <b/>
        <color theme="1"/>
      </rPr>
      <t xml:space="preserve">25 May: He need a 2 Seater Cabin. </t>
    </r>
    <r>
      <rPr>
        <rFont val="Arial"/>
        <b val="0"/>
        <color theme="1"/>
      </rPr>
      <t>9 March: He will get back to me by today. 26 Feb: He have shared the details with his team and awaiting for response. 25 Feb: Ringing. 23 Feb: Ringing. 21 Feb: Declined the call. 19: He have fowarded the details with his partner but since he is out of India he have not responded yet.</t>
    </r>
    <r>
      <rPr>
        <rFont val="Arial"/>
        <b/>
        <color theme="1"/>
      </rPr>
      <t xml:space="preserve"> </t>
    </r>
    <r>
      <rPr>
        <rFont val="Arial"/>
        <b val="0"/>
        <color theme="1"/>
      </rPr>
      <t>18 Feb: Dropped a text. 16 Feb: He wants me to share the images and location, post that he will discuss with his partner and will get back to me.</t>
    </r>
  </si>
  <si>
    <t>Mihuru</t>
  </si>
  <si>
    <r>
      <rPr>
        <rFont val="Arial"/>
        <b/>
        <color theme="1"/>
      </rPr>
      <t xml:space="preserve">25 May: Ringing. 23 Feb: She has asked me to call after a week as she is travelling. </t>
    </r>
    <r>
      <rPr>
        <rFont val="Arial"/>
        <b val="0"/>
        <color theme="1"/>
      </rPr>
      <t>20 Feb: Ringing. 18 Feb: Ringing.</t>
    </r>
    <r>
      <rPr>
        <rFont val="Arial"/>
        <b/>
        <color theme="1"/>
      </rPr>
      <t xml:space="preserve"> </t>
    </r>
    <r>
      <rPr>
        <rFont val="Arial"/>
        <b val="0"/>
        <color theme="1"/>
      </rPr>
      <t>16 Feb: Ringing</t>
    </r>
  </si>
  <si>
    <t xml:space="preserve">Prashant </t>
  </si>
  <si>
    <t>Bansal</t>
  </si>
  <si>
    <t>India Dresswala</t>
  </si>
  <si>
    <r>
      <rPr>
        <rFont val="Arial"/>
        <b/>
        <color theme="1"/>
      </rPr>
      <t xml:space="preserve">18 Feb: He is going ahead with some other options. </t>
    </r>
    <r>
      <rPr>
        <rFont val="Arial"/>
        <b val="0"/>
        <color theme="1"/>
      </rPr>
      <t>16 Feb: Visit Done, he need 4 open workstation and will get back to me by thursday.</t>
    </r>
  </si>
  <si>
    <t xml:space="preserve">Premal </t>
  </si>
  <si>
    <t>PGS Associates</t>
  </si>
  <si>
    <t>20 Cabins + 4 Cabins + 1 Conference Room</t>
  </si>
  <si>
    <r>
      <rPr>
        <rFont val="Arial"/>
        <b/>
        <color theme="1"/>
      </rPr>
      <t xml:space="preserve">20 Feb: He has not still finalised whether he wants to move out from his current office. </t>
    </r>
    <r>
      <rPr>
        <rFont val="Arial"/>
        <b val="0"/>
        <color theme="1"/>
      </rPr>
      <t>18 Feb: He is currently into a convetional office and would like to the commercials first before visiting</t>
    </r>
    <r>
      <rPr>
        <rFont val="Arial"/>
        <b/>
        <color theme="1"/>
      </rPr>
      <t xml:space="preserve">. </t>
    </r>
    <r>
      <rPr>
        <rFont val="Arial"/>
        <b val="0"/>
        <color theme="1"/>
      </rPr>
      <t>16 Feb: Ringing</t>
    </r>
  </si>
  <si>
    <t>Mitul</t>
  </si>
  <si>
    <r>
      <rPr>
        <rFont val="Arial"/>
        <b/>
        <color theme="1"/>
      </rPr>
      <t xml:space="preserve">25 May: Ringing. </t>
    </r>
    <r>
      <rPr>
        <rFont val="Arial"/>
        <b val="0"/>
        <color theme="1"/>
      </rPr>
      <t>9 March: Ringing, dropped him a text. 26 Feb: He will get back to me in a day or two. 25 Feb: Ringing.</t>
    </r>
    <r>
      <rPr>
        <rFont val="Arial"/>
        <b/>
        <color theme="1"/>
      </rPr>
      <t xml:space="preserve"> </t>
    </r>
    <r>
      <rPr>
        <rFont val="Arial"/>
        <b val="0"/>
        <color theme="1"/>
      </rPr>
      <t>23 Feb: Ringing. 20 Feb: he will get back to me on Monday.</t>
    </r>
    <r>
      <rPr>
        <rFont val="Arial"/>
        <b/>
        <color theme="1"/>
      </rPr>
      <t xml:space="preserve"> </t>
    </r>
    <r>
      <rPr>
        <rFont val="Arial"/>
        <b val="0"/>
        <color theme="1"/>
      </rPr>
      <t>17 Feb: Visit Done, He will get back to me in a day or two.</t>
    </r>
    <r>
      <rPr>
        <rFont val="Arial"/>
        <b/>
        <color theme="1"/>
      </rPr>
      <t xml:space="preserve"> </t>
    </r>
    <r>
      <rPr>
        <rFont val="Arial"/>
        <b val="0"/>
        <color theme="1"/>
      </rPr>
      <t>16 Feb: He needs 360 sq.ft area. He will be coming in tomorrow in the 2nd half</t>
    </r>
  </si>
  <si>
    <t>Recon Marketing Services</t>
  </si>
  <si>
    <r>
      <rPr>
        <rFont val="Arial"/>
        <b/>
        <color theme="1"/>
      </rPr>
      <t xml:space="preserve">25 May: Ringing. </t>
    </r>
    <r>
      <rPr>
        <rFont val="Arial"/>
        <b val="0"/>
        <color theme="1"/>
      </rPr>
      <t>9 March: Ringing, dropped a text.</t>
    </r>
    <r>
      <rPr>
        <rFont val="Arial"/>
        <b/>
        <color theme="1"/>
      </rPr>
      <t xml:space="preserve"> </t>
    </r>
    <r>
      <rPr>
        <rFont val="Arial"/>
        <b val="0"/>
        <color theme="1"/>
      </rPr>
      <t>21 Jan: Ringing.</t>
    </r>
    <r>
      <rPr>
        <rFont val="Arial"/>
        <b/>
        <color theme="1"/>
      </rPr>
      <t xml:space="preserve"> </t>
    </r>
    <r>
      <rPr>
        <rFont val="Arial"/>
        <b val="0"/>
        <color theme="1"/>
      </rPr>
      <t>19 Feb: Drooped a text.</t>
    </r>
    <r>
      <rPr>
        <rFont val="Arial"/>
        <b/>
        <color theme="1"/>
      </rPr>
      <t xml:space="preserve"> </t>
    </r>
    <r>
      <rPr>
        <rFont val="Arial"/>
        <b val="0"/>
        <color theme="1"/>
      </rPr>
      <t>18 Feb: Ringing.</t>
    </r>
  </si>
  <si>
    <t>Binal Nilesh</t>
  </si>
  <si>
    <t>Go stack analytics pvt ltd</t>
  </si>
  <si>
    <r>
      <rPr>
        <rFont val="Arial"/>
        <b/>
        <color theme="1"/>
      </rPr>
      <t xml:space="preserve">23 Feb: She is not interested. </t>
    </r>
    <r>
      <rPr>
        <rFont val="Arial"/>
        <b val="0"/>
        <color theme="1"/>
      </rPr>
      <t>21 Jan: Switched off. 18 Feb: She will get back to me after few days.</t>
    </r>
  </si>
  <si>
    <t>Saksham</t>
  </si>
  <si>
    <t>Porwal</t>
  </si>
  <si>
    <t>sakshamporwal@gmail.com</t>
  </si>
  <si>
    <t>Dotplot Media</t>
  </si>
  <si>
    <r>
      <rPr>
        <rFont val="Arial"/>
        <b/>
        <color rgb="FF000000"/>
      </rPr>
      <t>25 May: 5 Seater Cabin.</t>
    </r>
    <r>
      <rPr>
        <rFont val="Arial"/>
        <color rgb="FF000000"/>
      </rPr>
      <t xml:space="preserve"> 9 March: He needs a 3 Seater cabin and is not interested in dedicated open workstation but still he will think about it and will get back to me in few days. 25 Feb: Ringing. 21 Feb: He has ask me to share the commercials. 20 Feb: He has ask me to call tomorrow. 18 Feb: He needs 3 seater cabin and not interested in dedicated open workstations. I shared with him the pricing of 6 seater cabin and dedicated open workstations, he said he will get back to me after an internal discussion.</t>
    </r>
  </si>
  <si>
    <t>Kirtesh</t>
  </si>
  <si>
    <t>Kshipra Health Solutions</t>
  </si>
  <si>
    <t>1800 sq.ft</t>
  </si>
  <si>
    <r>
      <rPr>
        <rFont val="Arial"/>
        <b/>
        <color theme="1"/>
      </rPr>
      <t>9 March: He will check with his partner and will get back to me by 4PM..</t>
    </r>
    <r>
      <rPr>
        <rFont val="Arial"/>
        <b val="0"/>
        <color theme="1"/>
      </rPr>
      <t xml:space="preserve"> 25 Feb: He visited the space, he would be revisiting again o saturday with his partner. 23 Jan: Ringing. 21: He will try to visit on Monday. 19: Ringing. 18 Feb: He is currently into a conventional office in Pragati Industrial Estate.</t>
    </r>
  </si>
  <si>
    <t>18 Feb: He is not interested in Lower Parel East</t>
  </si>
  <si>
    <t>Mukesh</t>
  </si>
  <si>
    <t>Singla</t>
  </si>
  <si>
    <t>19 Feb: He needs a space in Chandigarh</t>
  </si>
  <si>
    <t xml:space="preserve">Jayesh </t>
  </si>
  <si>
    <t>Thrive360 Degrees Pvt Ltd</t>
  </si>
  <si>
    <r>
      <rPr>
        <rFont val="Arial"/>
        <b/>
        <color theme="1"/>
      </rPr>
      <t>25th May: He is looking for a 400 sq.ft space in Worli.</t>
    </r>
    <r>
      <rPr>
        <rFont val="Arial"/>
        <b val="0"/>
        <color theme="1"/>
      </rPr>
      <t xml:space="preserve"> 9 March: Ringing, Dropped a text.</t>
    </r>
    <r>
      <rPr>
        <rFont val="Arial"/>
        <b/>
        <color theme="1"/>
      </rPr>
      <t xml:space="preserve"> </t>
    </r>
    <r>
      <rPr>
        <rFont val="Arial"/>
        <b val="0"/>
        <color theme="1"/>
      </rPr>
      <t>23 Feb: He said the commercials are too expensive. He will think on it and get back to me</t>
    </r>
  </si>
  <si>
    <t>Sushil</t>
  </si>
  <si>
    <r>
      <rPr>
        <rFont val="Arial"/>
        <b/>
        <color theme="1"/>
      </rPr>
      <t xml:space="preserve">26 Feb: He is not looking for any office space. </t>
    </r>
    <r>
      <rPr>
        <rFont val="Arial"/>
        <b val="0"/>
        <color theme="1"/>
      </rPr>
      <t>23 Feb: ringing</t>
    </r>
  </si>
  <si>
    <t xml:space="preserve">Pranav </t>
  </si>
  <si>
    <r>
      <rPr>
        <rFont val="Arial"/>
        <b/>
        <color theme="1"/>
      </rPr>
      <t>26 Feb: He needs a space in Kandavli.</t>
    </r>
    <r>
      <rPr>
        <rFont val="Arial"/>
        <b val="0"/>
        <color theme="1"/>
      </rPr>
      <t xml:space="preserve"> 23 Feb: ringing</t>
    </r>
  </si>
  <si>
    <t xml:space="preserve">Sameer </t>
  </si>
  <si>
    <t>Hallmark Gold Bazar</t>
  </si>
  <si>
    <r>
      <rPr>
        <rFont val="Arial"/>
        <b/>
        <color theme="1"/>
      </rPr>
      <t>25 May: Ringing.</t>
    </r>
    <r>
      <rPr>
        <rFont val="Arial"/>
        <b val="0"/>
        <color theme="1"/>
      </rPr>
      <t xml:space="preserve"> 9 March: He wants a space in zaveri bazar but he have asked me to share the images and commercials for lower parel. 26 Feb: Ringing</t>
    </r>
  </si>
  <si>
    <t>10 March: He wants a space in zaveri bazar but he have asked me to share the images and commercials for lower parel. 26 Feb: Ringing</t>
  </si>
  <si>
    <t>Kambli</t>
  </si>
  <si>
    <t>GICL Sports LLP</t>
  </si>
  <si>
    <r>
      <rPr>
        <rFont val="Arial"/>
        <b/>
        <color theme="1"/>
      </rPr>
      <t xml:space="preserve">9 March: His requiremet is fulfilled 2 months ago. </t>
    </r>
    <r>
      <rPr>
        <rFont val="Arial"/>
        <b val="0"/>
        <color theme="1"/>
      </rPr>
      <t>26 Feb: Ringing</t>
    </r>
  </si>
  <si>
    <t>Dr. Vishal</t>
  </si>
  <si>
    <t>Gabale</t>
  </si>
  <si>
    <t>Team health</t>
  </si>
  <si>
    <t>1000sq.ft</t>
  </si>
  <si>
    <r>
      <rPr>
        <rFont val="Arial"/>
        <b/>
        <color theme="1"/>
      </rPr>
      <t>9 March: The space is out of his budget.</t>
    </r>
    <r>
      <rPr>
        <rFont val="Arial"/>
        <b val="0"/>
        <color theme="1"/>
      </rPr>
      <t xml:space="preserve"> 26 Feb: He needs 1000sq.ft and his budget is 2 lacs</t>
    </r>
  </si>
  <si>
    <t>Sihare</t>
  </si>
  <si>
    <t>24 Carrot E&amp;M Pvt Ltd</t>
  </si>
  <si>
    <r>
      <rPr>
        <rFont val="Arial"/>
        <b/>
        <color theme="1"/>
      </rPr>
      <t xml:space="preserve">25th May: Ringing. 9 March: Ringing, dropped a text. </t>
    </r>
    <r>
      <rPr>
        <rFont val="Arial"/>
        <b val="0"/>
        <color theme="1"/>
      </rPr>
      <t>26 Feb: He have asked me to share the details on whatsapp</t>
    </r>
  </si>
  <si>
    <t>Dimorra</t>
  </si>
  <si>
    <t>Club</t>
  </si>
  <si>
    <t>Lard tales pvt ltd</t>
  </si>
  <si>
    <r>
      <rPr>
        <rFont val="Arial"/>
        <b/>
        <color theme="1"/>
      </rPr>
      <t xml:space="preserve">9 March: They are not looking for any workspace. </t>
    </r>
    <r>
      <rPr>
        <rFont val="Arial"/>
        <b val="0"/>
        <color theme="1"/>
      </rPr>
      <t>26 Feb: Ringing</t>
    </r>
  </si>
  <si>
    <t xml:space="preserve">Prabhu </t>
  </si>
  <si>
    <t>White Leaf</t>
  </si>
  <si>
    <r>
      <rPr>
        <rFont val="Arial"/>
        <b/>
        <color theme="1"/>
      </rPr>
      <t xml:space="preserve">25 May: 50 Seats + Cabins. </t>
    </r>
    <r>
      <rPr>
        <rFont val="Arial"/>
        <b val="0"/>
        <color theme="1"/>
      </rPr>
      <t>9 March: Ringing, Dropped a text. 26 Feb: Ringing</t>
    </r>
  </si>
  <si>
    <t xml:space="preserve">50 Seat + 3 </t>
  </si>
  <si>
    <t>Akshay</t>
  </si>
  <si>
    <t>Enterprenuer</t>
  </si>
  <si>
    <r>
      <rPr>
        <rFont val="Arial"/>
        <b/>
        <color theme="1"/>
      </rPr>
      <t xml:space="preserve">25 May: Busy on call. 9 March: Dropped a text. </t>
    </r>
    <r>
      <rPr>
        <rFont val="Arial"/>
        <b val="0"/>
        <color theme="1"/>
      </rPr>
      <t>26 Feb: He has asked me to call tomorrow.</t>
    </r>
  </si>
  <si>
    <t>Kasp advisory</t>
  </si>
  <si>
    <r>
      <rPr>
        <rFont val="Arial"/>
        <b/>
        <color theme="1"/>
      </rPr>
      <t xml:space="preserve">25 May: Ringing. </t>
    </r>
    <r>
      <rPr>
        <rFont val="Arial"/>
        <b val="0"/>
        <color theme="1"/>
      </rPr>
      <t>9 March: He will visit today by 2 PM.</t>
    </r>
    <r>
      <rPr>
        <rFont val="Arial"/>
        <b/>
        <color theme="1"/>
      </rPr>
      <t xml:space="preserve"> </t>
    </r>
    <r>
      <rPr>
        <rFont val="Arial"/>
        <b val="0"/>
        <color theme="1"/>
      </rPr>
      <t>25 Feb: He needs 7 seats &amp; 1 conference and will able to visit next week</t>
    </r>
  </si>
  <si>
    <t xml:space="preserve">Jyoti </t>
  </si>
  <si>
    <t>Apte</t>
  </si>
  <si>
    <t>Strat-Edgy</t>
  </si>
  <si>
    <r>
      <rPr>
        <rFont val="Arial"/>
        <b/>
        <color theme="1"/>
      </rPr>
      <t xml:space="preserve">25 May: She has asked me to share the details of the space. </t>
    </r>
    <r>
      <rPr>
        <rFont val="Arial"/>
        <b val="0"/>
        <color theme="1"/>
      </rPr>
      <t>9 March: Ringing.</t>
    </r>
    <r>
      <rPr>
        <rFont val="Arial"/>
        <b/>
        <color theme="1"/>
      </rPr>
      <t xml:space="preserve"> </t>
    </r>
    <r>
      <rPr>
        <rFont val="Arial"/>
        <b val="0"/>
        <color theme="1"/>
      </rPr>
      <t>25 Feb: She needs 2  Seater Cabin Space</t>
    </r>
  </si>
  <si>
    <t>Phulsunge</t>
  </si>
  <si>
    <r>
      <rPr>
        <rFont val="Arial"/>
        <b/>
        <color theme="1"/>
      </rPr>
      <t xml:space="preserve">11 March: Not Interested. </t>
    </r>
    <r>
      <rPr>
        <rFont val="Arial"/>
        <b val="0"/>
        <color theme="1"/>
      </rPr>
      <t>9 March: Dropped him a text.</t>
    </r>
    <r>
      <rPr>
        <rFont val="Arial"/>
        <b/>
        <color theme="1"/>
      </rPr>
      <t xml:space="preserve"> </t>
    </r>
    <r>
      <rPr>
        <rFont val="Arial"/>
        <b val="0"/>
        <color theme="1"/>
      </rPr>
      <t>26 Feb: He says wework is charging 12k a seat in Vaswani Chambers. He will think about it and wil get back.</t>
    </r>
  </si>
  <si>
    <t>Gadhave</t>
  </si>
  <si>
    <t>26 Feb: He is looking for a space in Borivali</t>
  </si>
  <si>
    <t>Rian</t>
  </si>
  <si>
    <t>Creokala</t>
  </si>
  <si>
    <r>
      <rPr>
        <rFont val="Arial"/>
        <b/>
        <color theme="1"/>
      </rPr>
      <t xml:space="preserve">25 May: Ringing. 9 March: He will get back to me once his management revert's back. </t>
    </r>
    <r>
      <rPr>
        <rFont val="Arial"/>
        <b val="0"/>
        <color theme="1"/>
      </rPr>
      <t>5 March: 26 Feb: Ringing</t>
    </r>
  </si>
  <si>
    <t>Tinwala</t>
  </si>
  <si>
    <r>
      <rPr>
        <rFont val="Arial"/>
        <b/>
        <color theme="1"/>
      </rPr>
      <t xml:space="preserve">25 May: Not Interested. </t>
    </r>
    <r>
      <rPr>
        <rFont val="Arial"/>
        <b val="0"/>
        <color theme="1"/>
      </rPr>
      <t>9 March: Disconnected the call. 5 March: Busy on Call. 26 Feb: Declined the call</t>
    </r>
  </si>
  <si>
    <t>Amal</t>
  </si>
  <si>
    <t>Phatak</t>
  </si>
  <si>
    <r>
      <rPr>
        <rFont val="Arial"/>
        <b/>
        <color theme="1"/>
      </rPr>
      <t xml:space="preserve">25 May: Busy on call. </t>
    </r>
    <r>
      <rPr>
        <rFont val="Arial"/>
        <b val="0"/>
        <color theme="1"/>
      </rPr>
      <t>9 March: He is into a conventional office and is not sure about shared space. 5 March: Ringing.</t>
    </r>
    <r>
      <rPr>
        <rFont val="Arial"/>
        <b/>
        <color theme="1"/>
      </rPr>
      <t xml:space="preserve"> </t>
    </r>
    <r>
      <rPr>
        <rFont val="Arial"/>
        <b val="0"/>
        <color theme="1"/>
      </rPr>
      <t>26 Feb: He is currently into a conventional office in lalbaug. He will get back to me post 3 days</t>
    </r>
  </si>
  <si>
    <t>Diksha</t>
  </si>
  <si>
    <t>Bagda</t>
  </si>
  <si>
    <r>
      <rPr>
        <rFont val="Arial"/>
        <b/>
        <color theme="1"/>
      </rPr>
      <t xml:space="preserve">12 March: She don't need a office space. </t>
    </r>
    <r>
      <rPr>
        <rFont val="Arial"/>
        <b val="0"/>
        <color theme="1"/>
      </rPr>
      <t>9 March : Ringing.</t>
    </r>
    <r>
      <rPr>
        <rFont val="Arial"/>
        <b/>
        <color theme="1"/>
      </rPr>
      <t xml:space="preserve"> </t>
    </r>
    <r>
      <rPr>
        <rFont val="Arial"/>
        <b val="0"/>
        <color theme="1"/>
      </rPr>
      <t xml:space="preserve">5 March: Ringing. 28 Feb: Not answering the call. 27 Feb: Not answering the call. </t>
    </r>
  </si>
  <si>
    <t>Column 16</t>
  </si>
  <si>
    <t>O</t>
  </si>
  <si>
    <t xml:space="preserve">Sr. No </t>
  </si>
  <si>
    <t>Lead Type</t>
  </si>
  <si>
    <t>To small for SPEC</t>
  </si>
  <si>
    <t xml:space="preserve">Andheri Sakinaka </t>
  </si>
  <si>
    <t xml:space="preserve">Yuvraj </t>
  </si>
  <si>
    <t xml:space="preserve">Naaya Trade </t>
  </si>
  <si>
    <t>Looking for 1 cabin and 10 seats.</t>
  </si>
  <si>
    <t xml:space="preserve">Exploring </t>
  </si>
  <si>
    <r>
      <rPr>
        <rFont val="Roboto"/>
        <b/>
        <color rgb="FF666666"/>
      </rPr>
      <t xml:space="preserve">23rd: He said the requirement is fulfilled DND </t>
    </r>
    <r>
      <rPr>
        <rFont val="Roboto"/>
        <color rgb="FF666666"/>
      </rPr>
      <t>19 feb: disconnected my call 17th Feb: Ringing, dropped a text</t>
    </r>
    <r>
      <rPr>
        <rFont val="Roboto"/>
        <b/>
        <color rgb="FF666666"/>
      </rPr>
      <t xml:space="preserve"> </t>
    </r>
    <r>
      <rPr>
        <rFont val="Roboto"/>
        <color rgb="FF666666"/>
      </rPr>
      <t>05th feb: Tried calling switched off.</t>
    </r>
    <r>
      <rPr>
        <rFont val="Roboto"/>
        <b/>
        <color rgb="FF666666"/>
      </rPr>
      <t xml:space="preserve"> </t>
    </r>
    <r>
      <rPr>
        <rFont val="Roboto"/>
        <color rgb="FF666666"/>
      </rPr>
      <t>29th Jan: Ringing, Dropped a text</t>
    </r>
    <r>
      <rPr>
        <rFont val="Roboto"/>
        <b/>
        <color rgb="FF666666"/>
      </rPr>
      <t xml:space="preserve"> </t>
    </r>
    <r>
      <rPr>
        <rFont val="Roboto"/>
        <color rgb="FF666666"/>
      </rPr>
      <t>27th Jan: He is busy on another call, engaging for fitouts opportunity.</t>
    </r>
    <r>
      <rPr>
        <rFont val="Roboto"/>
        <b/>
        <color rgb="FF666666"/>
      </rPr>
      <t xml:space="preserve"> </t>
    </r>
    <r>
      <rPr>
        <rFont val="Roboto"/>
        <color rgb="FF666666"/>
      </rPr>
      <t>4th Jan: Tried calling for fitouts opportuinity didn't answer, I have dropped a text. 23rd Jan: He got a meesage from the founder saying that they are looking for space on outright only, I have pitched for Fitouts 22nd Jan: I Tried Calling him but he is not asnwering, I have dropped a text and email, I will ask andy to call him</t>
    </r>
    <r>
      <rPr>
        <rFont val="Roboto"/>
        <b/>
        <color rgb="FF666666"/>
      </rPr>
      <t xml:space="preserve">. </t>
    </r>
    <r>
      <rPr>
        <rFont val="Roboto"/>
        <color rgb="FF666666"/>
      </rPr>
      <t>21st Jan: I tied calling but it was switched off. I am sending an follow up email. 20th Jan: Treid calling he didn't answer. I have dropped a text. 19th Jan: Tried calling him but didn't answer Dropped a Text. 15th Jan: He is on leave due to family emergency and has not checked the layout that we shared. Asked me to connect next week. 14th Jan: Tried calling he disconected the call, I have dropped him a text. 13th Jan: Tried calling him for a follow up. He didn't answer I have dropped him a text. 12th Jan: I have shared the mock Layout as requested. 8th Jan: Spoke. I have shared the introductory mail will shortly  send the mock layouts and then he will visit.</t>
    </r>
  </si>
  <si>
    <t xml:space="preserve">Ashwin </t>
  </si>
  <si>
    <t>Visava Amusement Park &amp; Resorts</t>
  </si>
  <si>
    <r>
      <rPr>
        <rFont val="Roboto"/>
        <b/>
        <color rgb="FF666666"/>
      </rPr>
      <t>19th Spoke. He just kept the call saying already took office stop disturbing.</t>
    </r>
    <r>
      <rPr>
        <rFont val="Roboto"/>
        <color rgb="FF666666"/>
      </rPr>
      <t xml:space="preserve">16th Jan: Called him in 1st half not responding will ask andy to connect once.16th Jan: Called him second half didn't connect nor andy call has been answered 17th Jan: Ringing. dropped a text. 15th Jan: Dropped a Follow up text. 14th Jan: Called him twice in 1st and 2nd half. He is not responding. 13th Jan: Tried calling from m personal number he didn't answer that as well. No reply from the texts. 12th Jan: Tried calling today did not answer dropped a text. 9th Jan: Tried Calling Yesterday and today as well but did not answer the call. I have dropped him a text </t>
    </r>
  </si>
  <si>
    <t xml:space="preserve">Jodhani </t>
  </si>
  <si>
    <t xml:space="preserve">Krishna Air Cargo </t>
  </si>
  <si>
    <r>
      <rPr>
        <rFont val="Roboto"/>
        <b/>
        <color rgb="FF666666"/>
      </rPr>
      <t>16th Jan: Passed on to Shabbir.</t>
    </r>
    <r>
      <rPr>
        <rFont val="Roboto"/>
        <color rgb="FF666666"/>
      </rPr>
      <t xml:space="preserve"> 13th Jan: Spoke. He already has a space in Marol Naka which is about 700 sqft. He wants to refurbish that. I requested for a meeting he said he is travelling call back on Friday 2nd half. 12th Jan: Tried calling today did not answer dropped a text.9th Jan: Tried Calling but did not answer the call. I have dropped him a text </t>
    </r>
  </si>
  <si>
    <t>Andheri West</t>
  </si>
  <si>
    <t>10th Jan</t>
  </si>
  <si>
    <t xml:space="preserve">Rekha </t>
  </si>
  <si>
    <t>Upadyay</t>
  </si>
  <si>
    <t>98670 61963</t>
  </si>
  <si>
    <t>Saffron Strings</t>
  </si>
  <si>
    <t xml:space="preserve">50 seats, 3 cabins, 1 conference room, pantry and cafeteria </t>
  </si>
  <si>
    <r>
      <rPr>
        <rFont val="Roboto"/>
        <b/>
        <color rgb="FF666666"/>
      </rPr>
      <t xml:space="preserve">06 March: Spoke to Rekha ji, The requirement is still on hold </t>
    </r>
    <r>
      <rPr>
        <rFont val="Roboto"/>
        <color rgb="FF666666"/>
      </rPr>
      <t>20</t>
    </r>
    <r>
      <rPr>
        <rFont val="Roboto"/>
        <b/>
        <color rgb="FF666666"/>
      </rPr>
      <t xml:space="preserve"> </t>
    </r>
    <r>
      <rPr>
        <rFont val="Roboto"/>
        <color rgb="FF666666"/>
      </rPr>
      <t>Feb: Ringing, Dropped a text 05th Feb: Called Abhishek from Admin team to touch base but he didn't answer my call, dropped a text.</t>
    </r>
    <r>
      <rPr>
        <rFont val="Roboto"/>
        <b/>
        <color rgb="FF666666"/>
      </rPr>
      <t xml:space="preserve"> </t>
    </r>
    <r>
      <rPr>
        <rFont val="Roboto"/>
        <color rgb="FF666666"/>
      </rPr>
      <t>24th Jan: Dropped an Mail saying your requirement is on hold as disccussed with Abhishek.</t>
    </r>
    <r>
      <rPr>
        <rFont val="Roboto"/>
        <b/>
        <color rgb="FF666666"/>
      </rPr>
      <t xml:space="preserve"> </t>
    </r>
    <r>
      <rPr>
        <rFont val="Roboto"/>
        <color rgb="FF666666"/>
      </rPr>
      <t xml:space="preserve">21st Jan: Spoke. He said connect on Feb 1st week because there is not clarity from management yet. 19th Jan: Spoke. She gave me the number of Abhishek and he said they don't have an urgent requirement and I was pushing for a meeting he said they dont have a clear picture on the requirement so I wont be able to meet now but whenever their management give the clarity he will contact us. 17th Jan: She disconnected my call, I have asked for the number of Admin Manager Mr. Abhishek. 16th Jan: Called her again in 1st half she is not replying, I have dropped a text asking for a virtual call which can help us understand the grade of the building, thier Move-in timeline and thier budget so we can curate the options accordingly. 14th Jan: I tried calling her she did't asnwer my call dropped her a text. 13th Jan: I have requested a call to understand thier budget or the grade of the building. 12th Jan: I haave shared an introductory mail over her mail. 10th Jan: Spoke. She mentioned her requirement and the location preffered is near to their office in andheri west Aston Building </t>
    </r>
  </si>
  <si>
    <t>Vinayak</t>
  </si>
  <si>
    <t xml:space="preserve">Vinayak Electricals </t>
  </si>
  <si>
    <t>10 seats, 1 conference room, 1 cabin</t>
  </si>
  <si>
    <r>
      <rPr>
        <rFont val="Roboto"/>
        <b/>
        <color rgb="FF666666"/>
      </rPr>
      <t xml:space="preserve">14th Jan : Team said the budget of this client is very low can't proceed. </t>
    </r>
    <r>
      <rPr>
        <rFont val="Roboto"/>
        <color rgb="FF666666"/>
      </rPr>
      <t xml:space="preserve">13th Jan: I will Talk to the team if we can do this at 70k . 12th Jan: Called him to explain what we do and we cant close this in such a low price and even asked for his mail he said send everything on Whatsapp. 10th Jan. Spoke he shared his requirement Sakinaka would work but their budget is 70k max can't go beyond that </t>
    </r>
  </si>
  <si>
    <t>11th Jan</t>
  </si>
  <si>
    <t>Darrly</t>
  </si>
  <si>
    <t>Dsa</t>
  </si>
  <si>
    <t xml:space="preserve">Career Prerana </t>
  </si>
  <si>
    <r>
      <rPr>
        <rFont val="Roboto"/>
        <b/>
        <color rgb="FF666666"/>
      </rPr>
      <t xml:space="preserve">13th Jan: He was very rude on the call, he said where do you have your office. I said I have a space in sakinaka and if you want i can source more space as per your needs and wants he just kept the phone saying I dont want any space. </t>
    </r>
    <r>
      <rPr>
        <rFont val="Roboto"/>
        <color rgb="FF666666"/>
      </rPr>
      <t xml:space="preserve">12th Jan: Called him again he didn't asnwer the call. 11th Jan: Called him he just kept the phone saying call me tomorrow </t>
    </r>
  </si>
  <si>
    <t>Closed in Goregoan</t>
  </si>
  <si>
    <t xml:space="preserve">Andheri east </t>
  </si>
  <si>
    <t xml:space="preserve">Santosh </t>
  </si>
  <si>
    <t xml:space="preserve">Gavande </t>
  </si>
  <si>
    <t xml:space="preserve">Tally Solutions </t>
  </si>
  <si>
    <t>50-60</t>
  </si>
  <si>
    <t xml:space="preserve">50-60 seats, 3 boss cabins, 1 big conference, pantry and washrooms </t>
  </si>
  <si>
    <r>
      <rPr>
        <rFont val="Roboto"/>
        <b/>
        <color rgb="FF666666"/>
      </rPr>
      <t xml:space="preserve">27 Feb: Ringing, dropped a text </t>
    </r>
    <r>
      <rPr>
        <rFont val="Roboto"/>
        <color rgb="FF666666"/>
      </rPr>
      <t>19 Feb: Ringing, dropped a text</t>
    </r>
    <r>
      <rPr>
        <rFont val="Roboto"/>
        <b/>
        <color rgb="FF666666"/>
      </rPr>
      <t xml:space="preserve"> </t>
    </r>
    <r>
      <rPr>
        <rFont val="Roboto"/>
        <color rgb="FF666666"/>
      </rPr>
      <t>17 Feb: Santosh is busy in a meeting will call back 05th Feb: Tried calling the Admin guy and Santosh both didn't answer the call, dropped a text 23rd Jan: Spoke. I have pitched services and fitouts, he said sure if anything in that case comes through he will connect.</t>
    </r>
    <r>
      <rPr>
        <rFont val="Roboto"/>
        <b/>
        <color rgb="FF666666"/>
      </rPr>
      <t xml:space="preserve"> </t>
    </r>
    <r>
      <rPr>
        <rFont val="Roboto"/>
        <color rgb="FF666666"/>
      </rPr>
      <t>20th Jan: Tried calling him to pitch fitouts and services didn't asnwe my call. 17th Jan: I called him to a follow up he said the management is not looking for Managed office space because all th office they have are landlords properties only</t>
    </r>
    <r>
      <rPr>
        <rFont val="Roboto"/>
        <b/>
        <color rgb="FF666666"/>
      </rPr>
      <t>.</t>
    </r>
    <r>
      <rPr>
        <rFont val="Roboto"/>
        <color rgb="FF666666"/>
      </rPr>
      <t>14th Jan: Met Harish Chawan (Admin manager from Tally solution)  yesterday at their office in Lotus Corporate Park. They have around 20 offices PAN-India and he shared a detailed requirement with the seat configuration. However, he is not very familiar with the managed office space model and will be discussing it internally with the management. He will update us latest by Saturday, first half. Also talk to Manju sir with regards to the same</t>
    </r>
    <r>
      <rPr>
        <rFont val="Roboto"/>
        <b/>
        <color rgb="FF666666"/>
      </rPr>
      <t xml:space="preserve"> .</t>
    </r>
    <r>
      <rPr>
        <rFont val="Roboto"/>
        <color rgb="FF666666"/>
      </rPr>
      <t xml:space="preserve"> 13th Jan: Spoke. He was just giving random numbers like 5000 sq.ft to 8000 sq.ft space. I have requested a meeting so we can understand their requirement better and also propose inventory  on the same. 12th Jan: Tried calling him didnot answer my call 11th Jan: Andy spoke and he shared the requirement to him. I called him he said call after 4pm. After 4pm he did not answer my call. </t>
    </r>
  </si>
  <si>
    <t>19th Jan</t>
  </si>
  <si>
    <t xml:space="preserve">Dharmesh </t>
  </si>
  <si>
    <t xml:space="preserve">Popat </t>
  </si>
  <si>
    <t xml:space="preserve">Central Books </t>
  </si>
  <si>
    <t xml:space="preserve">15-20 seats, 2 cabins, 1 conference room 6-8 seats </t>
  </si>
  <si>
    <r>
      <rPr>
        <rFont val="Roboto"/>
        <b/>
        <color rgb="FF666666"/>
      </rPr>
      <t xml:space="preserve">26 May: Ringing, dropped a text 13 Mach: Ringing, dropped a text </t>
    </r>
    <r>
      <rPr>
        <rFont val="Roboto"/>
        <color rgb="FF666666"/>
      </rPr>
      <t>10 March: Ringing, dropped a text 06 March : Ringing, dropped a Text 02 March: Ringing Dropped a Text 27 March: Ringing, dropped a text 25 Feb: He said currently he is not having time because of his business will mostly visit after MArch meawhile if he get a window of 1 Hour He will try to visit</t>
    </r>
    <r>
      <rPr>
        <rFont val="Roboto"/>
        <b/>
        <color rgb="FF666666"/>
      </rPr>
      <t xml:space="preserve"> </t>
    </r>
    <r>
      <rPr>
        <rFont val="Roboto"/>
        <color rgb="FF666666"/>
      </rPr>
      <t>16th Feb: Spoke to Dharmesh he said this is the peak season of their business and is unable to take out time, he said he will check whenever he gets a bracket of 1 hour he will visit 06th Feb: Tried calling him he is busy on another call, dropped a Text and will call after sometime.</t>
    </r>
    <r>
      <rPr>
        <rFont val="Roboto"/>
        <b/>
        <color rgb="FF666666"/>
      </rPr>
      <t xml:space="preserve"> </t>
    </r>
    <r>
      <rPr>
        <rFont val="Roboto"/>
        <color rgb="FF666666"/>
      </rPr>
      <t>05th Feb: Took a Follow up he has asked for the location and said will visit in 2 days 04th Feb: Busy on another call dropped a text</t>
    </r>
    <r>
      <rPr>
        <rFont val="Roboto"/>
        <b/>
        <color rgb="FF666666"/>
      </rPr>
      <t xml:space="preserve"> </t>
    </r>
    <r>
      <rPr>
        <rFont val="Roboto"/>
        <color rgb="FF666666"/>
      </rPr>
      <t>03rd Feb: He disconnected my call</t>
    </r>
    <r>
      <rPr>
        <rFont val="Roboto"/>
        <b/>
        <color rgb="FF666666"/>
      </rPr>
      <t xml:space="preserve"> </t>
    </r>
    <r>
      <rPr>
        <rFont val="Roboto"/>
        <color rgb="FF666666"/>
      </rPr>
      <t>02nd feb: He said he is very caught up with work and didn't get a chance to visit, he mentioned that he will plan and let me know for tomorrow, so I am pushing for tomorrow 30th Jan: Tried Caling twice has not replied, dropped a text</t>
    </r>
    <r>
      <rPr>
        <rFont val="Roboto"/>
        <b/>
        <color rgb="FF666666"/>
      </rPr>
      <t xml:space="preserve"> </t>
    </r>
    <r>
      <rPr>
        <rFont val="Roboto"/>
        <color rgb="FF666666"/>
      </rPr>
      <t>29th Jan: Tried calling him, didn't asnwer as he mentioned he is not in town and will return today, will reachout again in second half.</t>
    </r>
    <r>
      <rPr>
        <rFont val="Roboto"/>
        <b/>
        <color rgb="FF666666"/>
      </rPr>
      <t xml:space="preserve">  </t>
    </r>
    <r>
      <rPr>
        <rFont val="Roboto"/>
        <color rgb="FF666666"/>
      </rPr>
      <t>27th Jan: Tried calling him in the first half, he didn't answer. I have dropped a message as well as a reminder mail to aling the site inspepction, will call in second half as well. He called me back saying he is not in town and will be able to visit on 29th or 30th Jan.</t>
    </r>
    <r>
      <rPr>
        <rFont val="Roboto"/>
        <b/>
        <color rgb="FF666666"/>
      </rPr>
      <t xml:space="preserve"> </t>
    </r>
    <r>
      <rPr>
        <rFont val="Roboto"/>
        <color rgb="FF666666"/>
      </rPr>
      <t>24th Jan: Spoke. He has asked me to send the layout over whatsapp and will discuss this with the management most likely to visit on Tuesday o Wednesday</t>
    </r>
    <r>
      <rPr>
        <rFont val="Roboto"/>
        <b/>
        <color rgb="FF666666"/>
      </rPr>
      <t xml:space="preserve"> </t>
    </r>
    <r>
      <rPr>
        <rFont val="Roboto"/>
        <color rgb="FF666666"/>
      </rPr>
      <t>22nd Jan: I have Dropped him a text today as he mentioned he is occupied in other task.</t>
    </r>
    <r>
      <rPr>
        <rFont val="Roboto"/>
        <b/>
        <color rgb="FF666666"/>
      </rPr>
      <t xml:space="preserve"> </t>
    </r>
    <r>
      <rPr>
        <rFont val="Roboto"/>
        <color rgb="FF666666"/>
      </rPr>
      <t>Pushing for a visit . 21st Jan:Tried Calling he is busy on a call. Taking a follow up on the layout and the visit . Spoke he has not seen the layout yet as he is occupied will check and revert. 20th Jan: Shared introductory mail as well as the first cut layouts. 19th Jan: Spoke. They are looking for 15-20, 1 conference of 6-8 seats and 2 cabins. Pitched 3i Sakinaka he is ok with the shared space. will take mail ID from marketing and share introductory deck as well as the mock layout accordingly.</t>
    </r>
  </si>
  <si>
    <t xml:space="preserve">Andheri East </t>
  </si>
  <si>
    <t xml:space="preserve">George </t>
  </si>
  <si>
    <t>Chemban</t>
  </si>
  <si>
    <t xml:space="preserve">The wisdom Club </t>
  </si>
  <si>
    <t>6-8 seater enclosed space</t>
  </si>
  <si>
    <r>
      <rPr>
        <rFont val="Roboto"/>
        <b/>
        <color rgb="FF666666"/>
      </rPr>
      <t xml:space="preserve">17 feb: Spoke he said he has already got a space in Vile parle and its a fitted out space under 50k doesn't need anything </t>
    </r>
    <r>
      <rPr>
        <rFont val="Roboto"/>
        <color rgb="FF666666"/>
      </rPr>
      <t>05th Feb: Ringing, Dropped a text</t>
    </r>
    <r>
      <rPr>
        <rFont val="Roboto"/>
        <b/>
        <color rgb="FF666666"/>
      </rPr>
      <t xml:space="preserve"> </t>
    </r>
    <r>
      <rPr>
        <rFont val="Roboto"/>
        <color rgb="FF666666"/>
      </rPr>
      <t xml:space="preserve">29th Jan: Tried calling him to pitch Landmark option, didn't answer, I have dropped a text 20th Jan: Took follow up he said he doesn't want sakinaka as he discussed the space with the team anything close to vile parle station would work for him. 19th Jan: Layout shared over mail. 19th Jan: Spoke. They are looking for 6-8 seats enclosed space thats is of about 200-300 sq.ft and he said my budget is around 70k, will send the introductory deck and layout accordingly </t>
    </r>
  </si>
  <si>
    <t xml:space="preserve">Andheri West </t>
  </si>
  <si>
    <t xml:space="preserve">Bonventure </t>
  </si>
  <si>
    <t xml:space="preserve">Chedda </t>
  </si>
  <si>
    <t xml:space="preserve">Neowiz Events </t>
  </si>
  <si>
    <t>20-22</t>
  </si>
  <si>
    <t xml:space="preserve">20-22 seats, 1 conference, 2 cabins and Pantry, cafeteria </t>
  </si>
  <si>
    <r>
      <rPr>
        <rFont val="Roboto"/>
        <b/>
        <color rgb="FF666666"/>
      </rPr>
      <t xml:space="preserve">27th He replied saying the interiors is in landlords scope, I have pitched for Services, just for a sake of Goodwill.  24th Jan: I tried calling him, he didn't answer I have dropped a text. </t>
    </r>
    <r>
      <rPr>
        <rFont val="Roboto"/>
        <color rgb="FF666666"/>
      </rPr>
      <t xml:space="preserve">22nd Jan: He texted me saying their team has got a place. I have asked if there is any chance for us Fitouts. 21st Jan: Tried calling him, he disconnected my call, dropped a text. 20th Jan: I tried calling him he disconnected. Called him in the second half as well, he didn't answer I have dropped him a text. 19th Jan: Spoke. They are in touch with multiple local brokers in Andheri West. He shared with me the details of their requirement but however when I was talking to him and explaning what we do, he mentioned that this is not what he is looking at and wants landlords conventional space. But will call back tomorrow as he was in rush and asked me to connect tomorrow </t>
    </r>
  </si>
  <si>
    <t>17th Jan</t>
  </si>
  <si>
    <t xml:space="preserve">Shripad </t>
  </si>
  <si>
    <t xml:space="preserve">Desai </t>
  </si>
  <si>
    <t xml:space="preserve">Indostar Home finance </t>
  </si>
  <si>
    <t>150 seats, 10 cabins, 1 board room of 30 seats, Conference room 10 seats, meeting room of 8,6,4 Pax, Reception with waiting area, Panty, cafteria of 35-40 Pax, server room, UPS room, Storage room - 3, File storage etc</t>
  </si>
  <si>
    <r>
      <rPr>
        <rFont val="Arial"/>
        <b/>
        <color rgb="FF666666"/>
      </rPr>
      <t xml:space="preserve">10 March: Ringing, Dropped a Text </t>
    </r>
    <r>
      <rPr>
        <rFont val="Arial"/>
        <color rgb="FF666666"/>
      </rPr>
      <t xml:space="preserve">06 March: Ringing, Dropped a Text 02nd MArch: Ringing, Dropped a Text 27 Feb: Dharmendra said the requirement is on hold and Shripad said he is travelling and will be back tomorrow so touch base either tomorrow with him or on Monday </t>
    </r>
    <r>
      <rPr>
        <rFont val="Arial"/>
        <b/>
        <color rgb="FF666666"/>
      </rPr>
      <t xml:space="preserve"> </t>
    </r>
    <r>
      <rPr>
        <rFont val="Arial"/>
        <color rgb="FF666666"/>
      </rPr>
      <t>17 Feb: Tried calling Shripad he is not answering Will ask mehul sir to call Shripad and Dharmendra both. Spoke. Mehul sir he is not giving meeting as is he already under negotitation for a conventional office</t>
    </r>
    <r>
      <rPr>
        <rFont val="Arial"/>
        <b/>
        <color rgb="FF666666"/>
      </rPr>
      <t xml:space="preserve"> 1</t>
    </r>
    <r>
      <rPr>
        <rFont val="Arial"/>
        <color rgb="FF666666"/>
      </rPr>
      <t>6th Feb: Ringing, dropped a text, Called again he said they are already in discussion for a conventional space with a party I asked which building he said can't share it now and he said if anything comes up he will call and disconnected the call.</t>
    </r>
    <r>
      <rPr>
        <rFont val="Arial"/>
        <b/>
        <color rgb="FF666666"/>
      </rPr>
      <t xml:space="preserve"> </t>
    </r>
    <r>
      <rPr>
        <rFont val="Arial"/>
        <color rgb="FF666666"/>
      </rPr>
      <t>13th: He said he is busy call back on monday</t>
    </r>
    <r>
      <rPr>
        <rFont val="Arial"/>
        <b/>
        <color rgb="FF666666"/>
      </rPr>
      <t xml:space="preserve"> </t>
    </r>
    <r>
      <rPr>
        <rFont val="Arial"/>
        <color rgb="FF666666"/>
      </rPr>
      <t>11th Feb: He is not answering, dropped a text 09th Feb: Ringing, Dropped a text.</t>
    </r>
    <r>
      <rPr>
        <rFont val="Arial"/>
        <b/>
        <color rgb="FF666666"/>
      </rPr>
      <t xml:space="preserve"> </t>
    </r>
    <r>
      <rPr>
        <rFont val="Arial"/>
        <color rgb="FF666666"/>
      </rPr>
      <t>06th Feb: Shared the Second cut inventory options as discussed 05th Feb: Spoke to Darmendra ji, he is saying now the requirement is for 10k-12k sqft carpet offered Location is from Western Express Highway to Chakala only</t>
    </r>
    <r>
      <rPr>
        <rFont val="Arial"/>
        <b/>
        <color rgb="FF666666"/>
      </rPr>
      <t xml:space="preserve"> </t>
    </r>
    <r>
      <rPr>
        <rFont val="Arial"/>
        <color rgb="FF666666"/>
      </rPr>
      <t>04th Feb: He replied on text saying lets connect tomorrow</t>
    </r>
    <r>
      <rPr>
        <rFont val="Arial"/>
        <b/>
        <color rgb="FF666666"/>
      </rPr>
      <t xml:space="preserve"> </t>
    </r>
    <r>
      <rPr>
        <rFont val="Arial"/>
        <color rgb="FF666666"/>
      </rPr>
      <t>02nd Feb: Tried calling he is not answering, I have dropped a text</t>
    </r>
    <r>
      <rPr>
        <rFont val="Arial"/>
        <b/>
        <color rgb="FF666666"/>
      </rPr>
      <t xml:space="preserve"> </t>
    </r>
    <r>
      <rPr>
        <rFont val="Arial"/>
        <color rgb="FF666666"/>
      </rPr>
      <t>30th Jan: Tried calling both didn't answer, I will drop a follow up email and message</t>
    </r>
    <r>
      <rPr>
        <rFont val="Arial"/>
        <b/>
        <color rgb="FF666666"/>
      </rPr>
      <t xml:space="preserve"> </t>
    </r>
    <r>
      <rPr>
        <rFont val="Arial"/>
        <color rgb="FF666666"/>
      </rPr>
      <t>29th Jan: Spoke to Dharmendra he said he will check and let us know the timings for inspection today. Also Spoke to Shripad ji for the same.</t>
    </r>
    <r>
      <rPr>
        <rFont val="Arial"/>
        <b/>
        <color rgb="FF666666"/>
      </rPr>
      <t xml:space="preserve"> </t>
    </r>
    <r>
      <rPr>
        <rFont val="Arial"/>
        <color rgb="FF666666"/>
      </rPr>
      <t>28th Jan: Spoke to Dharmendra he said he is not keeping well and has not checked the options will check and revert 27th Jan: Spoke to Dharmendra, he is saying he has not checked the options yet will check and and then we can get over a call because he has already scouted the micro market.</t>
    </r>
    <r>
      <rPr>
        <rFont val="Arial"/>
        <b/>
        <color rgb="FF666666"/>
      </rPr>
      <t xml:space="preserve"> </t>
    </r>
    <r>
      <rPr>
        <rFont val="Arial"/>
        <color rgb="FF666666"/>
      </rPr>
      <t>24th Jan: Took a follow up with Shripad, He is occupied rightnow will call back in sometime. Spoke with Shripad he said, he has forwarded the mail to Mr. Dharmendra he is the right POC, Spoke to Dharmendra as well but is not in office today connect next week.</t>
    </r>
    <r>
      <rPr>
        <rFont val="Arial"/>
        <b/>
        <color rgb="FF666666"/>
      </rPr>
      <t xml:space="preserve"> </t>
    </r>
    <r>
      <rPr>
        <rFont val="Arial"/>
        <color rgb="FF666666"/>
      </rPr>
      <t>22nd Jan : Sent the deck</t>
    </r>
    <r>
      <rPr>
        <rFont val="Arial"/>
        <b/>
        <color rgb="FF666666"/>
      </rPr>
      <t xml:space="preserve"> .</t>
    </r>
    <r>
      <rPr>
        <rFont val="Arial"/>
        <color rgb="FF666666"/>
      </rPr>
      <t>21st Jan: Vinamra gave options will send the deck   20th Jan: I have asked Vinamra to send the options. 19th Jan: Dharmendar called me the Admin Manager and gave me the detail brief of the requirement. They need 8k-10 sqft carpet in the same location mentioned by Shripad. I explained him what we do and asked for a meeting he said sure will connect let me just ask Management and get a heads up because he will also have to ask the managment and then will meet. I asked for the budget he said not yet decided. Next steps source properties for the same. 17th Jan: Spoke to Shripad he was not having the detailed requirement as he is not the correct POC. shared introductory mail asking for Admin contact. But he mentioned he wants 8k sq.ft from Kanakia wallstreet to Airport road</t>
    </r>
  </si>
  <si>
    <t xml:space="preserve">Abbas </t>
  </si>
  <si>
    <t xml:space="preserve">Shaikh </t>
  </si>
  <si>
    <r>
      <rPr>
        <rFont val="Calibri, sans-serif"/>
        <b/>
        <color rgb="FF666666"/>
        <sz val="11.0"/>
      </rPr>
      <t xml:space="preserve">27 Feb: Tried calling he disconnected my call and texted saying in a meeting </t>
    </r>
    <r>
      <rPr>
        <rFont val="Calibri, sans-serif"/>
        <color rgb="FF666666"/>
        <sz val="11.0"/>
      </rPr>
      <t>23 Feb: Shared the details of the Sakinaka as requested he asked to wait till Saturday so he management can come back 17th Feb: Spoke to Himanshu he is back today from leave and will check the layout and discuss internally and get back to us by EOD 16th Feb: Tried calling himanshu, Ringing Dropped a text. Abbas ji said Himanshu is leading and is currently on leave for a wedding, We also share the layout for the landmark 06th Feb: Shared the mock layout for CNB Square and spoke to Himanshu he said they are also considering CNB Square as a better option, meanwhile we have to create mock layout for Landmark Ground floor as well but the landlord doesn't have the drawing for the same, discuss this with team either if we can give 6th floor half or ground floor to send someone 03rd Feb: The team visited we showed them Landmark, CNB square and AFL house, Layout to mode for CNB Square and landmark 02nd Feb: We have a site visit tomorrow 30th Jan: Shared the inventory over mail tried calling Abbas &amp; Himanshu didn't answer my call. Called again we will be doing a virtual call tomorrow with the client around after 12 pm.</t>
    </r>
    <r>
      <rPr>
        <rFont val="Calibri, sans-serif"/>
        <b/>
        <color rgb="FF666666"/>
        <sz val="11.0"/>
      </rPr>
      <t xml:space="preserve"> </t>
    </r>
    <r>
      <rPr>
        <rFont val="Calibri, sans-serif"/>
        <color rgb="FF666666"/>
        <sz val="11.0"/>
      </rPr>
      <t>29th Jan: Tried calling Himanshu and Abbas both didn't answer the call wanted to understand their budget, but nonthe less I will share the options with him focusing on landmark more.</t>
    </r>
    <r>
      <rPr>
        <rFont val="Calibri, sans-serif"/>
        <b/>
        <color rgb="FF666666"/>
        <sz val="11.0"/>
      </rPr>
      <t xml:space="preserve"> </t>
    </r>
    <r>
      <rPr>
        <rFont val="Calibri, sans-serif"/>
        <color rgb="FF666666"/>
        <sz val="11.0"/>
      </rPr>
      <t>27th Jan: Tried calling Abbas he disconnected my call, then I tried calling Himanshu the ADMIN POC, didn't connect (Understand their budget and the grade of building) dropped a text to both. 24th Jan: Awating for options, Tried calling the client as well to understand their budget and the grade he didn't answer 22nd Jan: Shared requirement With vinamra</t>
    </r>
    <r>
      <rPr>
        <rFont val="Calibri, sans-serif"/>
        <b/>
        <color rgb="FF666666"/>
        <sz val="11.0"/>
      </rPr>
      <t>.</t>
    </r>
    <r>
      <rPr>
        <rFont val="Calibri, sans-serif"/>
        <color rgb="FF666666"/>
        <sz val="11.0"/>
      </rPr>
      <t xml:space="preserve"> 21stJan: Spoke. They have thier office in Sakinaka and are planning to move from there and take office from Andheri Railway Station  Chakala of the requirement mentioned. He shared me the number of his Admin Person Mr. Himanshu spoke to him as well he shared me the details and will let us know about the virtual call. Shared this requirement with vinamra for options </t>
    </r>
  </si>
  <si>
    <t xml:space="preserve">55-60 seats </t>
  </si>
  <si>
    <t>55-60 seats, 2-3 cabins, 1 Conference room of 8-10 seats and 2 washrooms.</t>
  </si>
  <si>
    <r>
      <rPr>
        <rFont val="Roboto"/>
        <b/>
        <color rgb="FF666666"/>
      </rPr>
      <t xml:space="preserve">26 May: Ringing, dropped a text </t>
    </r>
    <r>
      <rPr>
        <rFont val="Roboto"/>
        <color rgb="FF666666"/>
      </rPr>
      <t>25 May: Ringing, dropped a text 13 Mach: Ringing, dropped a text 09 March: I went to their office and due to war situation they are unable to focus on Growth</t>
    </r>
    <r>
      <rPr>
        <rFont val="Roboto"/>
        <b/>
        <color rgb="FF666666"/>
      </rPr>
      <t xml:space="preserve"> </t>
    </r>
    <r>
      <rPr>
        <rFont val="Roboto"/>
        <color rgb="FF666666"/>
      </rPr>
      <t>06 March: Ringing, Dropped a Text 02 March: Spoke. Due to war they have alot workload Could't focus on this asked me to connect on Friday 27 Feb: Himanshu disconnected my call and Texted saying currently in Meeting</t>
    </r>
    <r>
      <rPr>
        <rFont val="Roboto"/>
        <b/>
        <color rgb="FF666666"/>
      </rPr>
      <t xml:space="preserve"> </t>
    </r>
    <r>
      <rPr>
        <rFont val="Roboto"/>
        <color rgb="FF666666"/>
      </rPr>
      <t>23 Feb: Shared the details of the Sakinaka as requested he asked to wait till Saturday so he management can come back 17th Feb: Spoke to Himanshu he is back today from leave and will check the layout and discuss internally and get back to us by EOD 16th Feb: Tried calling himanshu, Ringing Dropped a text. Abbas ji said Himanshu is leading and is currently on leave for a wedding, We also share the layout for the landmark 06th Feb: Shared the mock layout for CNB Square and spoke to Himanshu he said they are also considering CNB Square as a better option, meanwhile we have to create mock layout for Landmark Ground floor as well but the landlord doesn't have the drawing for the same, discuss this with team either if we can give 6th floor half or ground floor to send someone 03rd Feb: The team visited we showed them Landmark, CNB square and AFL house, Layout to mode for CNB Square and landmark 02nd Feb: We have a site visit tomorrow 30th Jan: Shared the inventory over mail tried calling Abbas &amp; Himanshu didn't answer my call. Called again we will be doing a virtual call tomorrow with the client around after 12 pm.</t>
    </r>
    <r>
      <rPr>
        <rFont val="Roboto"/>
        <b/>
        <color rgb="FF666666"/>
      </rPr>
      <t xml:space="preserve"> </t>
    </r>
    <r>
      <rPr>
        <rFont val="Roboto"/>
        <color rgb="FF666666"/>
      </rPr>
      <t>29th Jan: Tried calling Himanshu and Abbas both didn't answer the call wanted to understand their budget, but nonthe less I will share the options with him focusing on landmark more.</t>
    </r>
    <r>
      <rPr>
        <rFont val="Roboto"/>
        <b/>
        <color rgb="FF666666"/>
      </rPr>
      <t xml:space="preserve"> </t>
    </r>
    <r>
      <rPr>
        <rFont val="Roboto"/>
        <color rgb="FF666666"/>
      </rPr>
      <t>27th Jan: Tried calling Abbas he disconnected my call, then I tried calling Himanshu the ADMIN POC, didn't connect (Understand their budget and the grade of building) dropped a text to both. 24th Jan: Awating for options, Tried calling the client as well to understand their budget and the grade he didn't answer 22nd Jan: Shared requirement With vinamra</t>
    </r>
    <r>
      <rPr>
        <rFont val="Roboto"/>
        <b/>
        <color rgb="FF666666"/>
      </rPr>
      <t>.</t>
    </r>
    <r>
      <rPr>
        <rFont val="Roboto"/>
        <color rgb="FF666666"/>
      </rPr>
      <t xml:space="preserve"> 21stJan: Spoke. They have thier office in Sakinaka and are planning to move from there and take office from Andheri Railway Station  Chakala of the requirement mentioned. He shared me the number of his Admin Person Mr. Himanshu spoke to him as well he shared me the details and will let us know about the virtual call. Shared this requirement with vinamra for options </t>
    </r>
  </si>
  <si>
    <t>Uday</t>
  </si>
  <si>
    <t xml:space="preserve">Vijayan </t>
  </si>
  <si>
    <t>Excel Software &amp; Systems Pvt. Ltd., Mumbai</t>
  </si>
  <si>
    <t xml:space="preserve">20 - 25 seats </t>
  </si>
  <si>
    <t xml:space="preserve">20-25 seats, 1 cabin, washrooms </t>
  </si>
  <si>
    <r>
      <rPr>
        <rFont val="Roboto"/>
        <b/>
        <color rgb="FF666666"/>
      </rPr>
      <t xml:space="preserve">05th Feb: Spoke today as well but he is stuck with the budget and wants it under 1 lakh </t>
    </r>
    <r>
      <rPr>
        <rFont val="Roboto"/>
        <color rgb="FF666666"/>
      </rPr>
      <t>29th Jan: Tried calling to pitch Landmark &amp; sakinaka, but he mentioned that thier budget is below 1 lakh ad wants a space near MIDC he don't want to go to sakinaka because he used to own office there and want to avoid that building. Discuss this with the team</t>
    </r>
    <r>
      <rPr>
        <rFont val="Roboto"/>
        <b/>
        <color rgb="FF666666"/>
      </rPr>
      <t xml:space="preserve"> </t>
    </r>
    <r>
      <rPr>
        <rFont val="Roboto"/>
        <color rgb="FF666666"/>
      </rPr>
      <t>27th Jan: Spoke he said he is not looking for a managed office space just a space even if the space is bareshell he can do the fitouts. I strongly pitched sakinaka, but he doesn't wants to go there, any space closer to the metro station before Marol works for him. Budget not more then Rs. 1 lakh</t>
    </r>
    <r>
      <rPr>
        <rFont val="Roboto"/>
        <b/>
        <color rgb="FF666666"/>
      </rPr>
      <t>.</t>
    </r>
    <r>
      <rPr>
        <rFont val="Roboto"/>
        <color rgb="FF666666"/>
      </rPr>
      <t xml:space="preserve"> 24th Jan: Ringing, dropped a text</t>
    </r>
    <r>
      <rPr>
        <rFont val="Roboto"/>
        <b/>
        <color rgb="FF666666"/>
      </rPr>
      <t xml:space="preserve"> </t>
    </r>
    <r>
      <rPr>
        <rFont val="Roboto"/>
        <color rgb="FF666666"/>
      </rPr>
      <t>22nd Jan: Tried calling he didn't answer will drop a text. 21st Jan: Tried calling him didn't connect, dropped a text</t>
    </r>
  </si>
  <si>
    <t xml:space="preserve">Jadhav </t>
  </si>
  <si>
    <t>98206 69082</t>
  </si>
  <si>
    <t>creative Hub</t>
  </si>
  <si>
    <r>
      <rPr>
        <rFont val="Roboto"/>
        <b/>
        <color rgb="FF666666"/>
      </rPr>
      <t xml:space="preserve">10 March: Ringing, Dropped a Text </t>
    </r>
    <r>
      <rPr>
        <rFont val="Roboto"/>
        <color rgb="FF666666"/>
      </rPr>
      <t>06 March: Ringing, Dropped a Text 02nd MArch: Ringing, Dropped a Text 27 Feb: Ringing, Dropped a Text 23 Feb: Ringing, Dropped a Text 19 Feb: Ringing, Dropped a Text 13 Feb: Ringing, Dropped a Text 06th Feb: Tried Calling Didn't answer Dropped a Text 05th Feb: Ringing, dropped a tex</t>
    </r>
    <r>
      <rPr>
        <rFont val="Roboto"/>
        <b/>
        <color rgb="FF666666"/>
      </rPr>
      <t xml:space="preserve">t. </t>
    </r>
    <r>
      <rPr>
        <rFont val="Roboto"/>
        <color rgb="FF666666"/>
      </rPr>
      <t>29th Jan: Tried calling today as well, he is not answering, Dropped a text and will ask andy to call 27th Jan: He is not asnwering my calls and text 24th Jan: He disconnected my call, dropped a text 22nd Jan: Tried calling he didn't answer will drop a text. 21st Jan: Tried calling him didn't Answer will, dropped a text</t>
    </r>
  </si>
  <si>
    <t xml:space="preserve">Nirbhay </t>
  </si>
  <si>
    <t>97696 10601</t>
  </si>
  <si>
    <t>VTS</t>
  </si>
  <si>
    <t xml:space="preserve">22nd Jan: He just kept the call saying we don't need anyspace now. 21st Jan: Tried calling him busy on another call, will call in sometime </t>
  </si>
  <si>
    <t xml:space="preserve">Clix Capital </t>
  </si>
  <si>
    <t xml:space="preserve">75 seats </t>
  </si>
  <si>
    <t xml:space="preserve">75 w.s, 1 conference room - 10 seats, 2 meeting room - 4 seats, pantry , Cafeteria - 25 seats, 1 server, reception with waiting area, M/F washroom Car park 5-6 required </t>
  </si>
  <si>
    <r>
      <rPr>
        <rFont val="Roboto"/>
        <b/>
        <color rgb="FF666666"/>
      </rPr>
      <t xml:space="preserve">13 Mach: Ringing, dropped a text </t>
    </r>
    <r>
      <rPr>
        <rFont val="Roboto"/>
        <color rgb="FF666666"/>
      </rPr>
      <t>09 March: Spoke and Asked for a meeting but he is not available today and tomorrow</t>
    </r>
    <r>
      <rPr>
        <rFont val="Roboto"/>
        <b/>
        <color rgb="FF666666"/>
      </rPr>
      <t xml:space="preserve"> </t>
    </r>
    <r>
      <rPr>
        <rFont val="Roboto"/>
        <color rgb="FF666666"/>
      </rPr>
      <t>06 March: Didn't connect Dropped a Text</t>
    </r>
    <r>
      <rPr>
        <rFont val="Roboto"/>
        <b/>
        <color rgb="FF666666"/>
      </rPr>
      <t xml:space="preserve"> </t>
    </r>
    <r>
      <rPr>
        <rFont val="Roboto"/>
        <color rgb="FF666666"/>
      </rPr>
      <t>02 March: Ringing, dropped a text 27 Feb: Spoke he said his budget is very tight and he is trying to negotiate with their current landlord for extension and doesn't wants a managed office solution ( LEAVE AND LICENCE only) and budget is only 8 lakhs.</t>
    </r>
    <r>
      <rPr>
        <rFont val="Roboto"/>
        <b/>
        <color rgb="FF666666"/>
      </rPr>
      <t xml:space="preserve"> </t>
    </r>
    <r>
      <rPr>
        <rFont val="Roboto"/>
        <color rgb="FF666666"/>
      </rPr>
      <t>16th Feb: Spoke and I Asked for a meeting he is available tomorrow and from day after he is in Pune</t>
    </r>
    <r>
      <rPr>
        <rFont val="Roboto"/>
        <b/>
        <color rgb="FF666666"/>
      </rPr>
      <t xml:space="preserve"> </t>
    </r>
    <r>
      <rPr>
        <rFont val="Roboto"/>
        <color rgb="FF666666"/>
      </rPr>
      <t>13th Feb: Ringing, droppd a text</t>
    </r>
    <r>
      <rPr>
        <rFont val="Roboto"/>
        <b/>
        <color rgb="FF666666"/>
      </rPr>
      <t xml:space="preserve"> </t>
    </r>
    <r>
      <rPr>
        <rFont val="Roboto"/>
        <color rgb="FF666666"/>
      </rPr>
      <t>11th Feb: He called me and said he has a client who is lookig for 80 seats and has a budget 9 lakh. I asked which client then he said its a Pharma client but let him ask if he is looking for managed office.</t>
    </r>
    <r>
      <rPr>
        <rFont val="Roboto"/>
        <b/>
        <color rgb="FF666666"/>
      </rPr>
      <t xml:space="preserve">  </t>
    </r>
    <r>
      <rPr>
        <rFont val="Roboto"/>
        <color rgb="FF666666"/>
      </rPr>
      <t>08th Feb: Spoke. He said they are already in discussion with their current landlord to extend 05th Feb: Spoke. He said the property that we gave must have the higher rentals of about 250 psft on carpet and his budget is about 5.5 lakhs not more than that. I have requested a meeting he said will let me know</t>
    </r>
    <r>
      <rPr>
        <rFont val="Roboto"/>
        <b/>
        <color rgb="FF666666"/>
      </rPr>
      <t xml:space="preserve"> </t>
    </r>
    <r>
      <rPr>
        <rFont val="Roboto"/>
        <color rgb="FF666666"/>
      </rPr>
      <t>02nd Feb: Spoke he was not in town and now he is back. I have asked for a visit and a meeting most he said will review and let me know.</t>
    </r>
    <r>
      <rPr>
        <rFont val="Roboto"/>
        <b/>
        <color rgb="FF666666"/>
      </rPr>
      <t xml:space="preserve"> </t>
    </r>
    <r>
      <rPr>
        <rFont val="Roboto"/>
        <color rgb="FF666666"/>
      </rPr>
      <t>30th Jan: Sent the inventory deck took a follow up he said he is in town and also there is some negotiation going on with their current Landlord</t>
    </r>
    <r>
      <rPr>
        <rFont val="Roboto"/>
        <b/>
        <color rgb="FF666666"/>
      </rPr>
      <t xml:space="preserve"> </t>
    </r>
    <r>
      <rPr>
        <rFont val="Roboto"/>
        <color rgb="FF666666"/>
      </rPr>
      <t xml:space="preserve">29th Jan: Tried calling Him didn't answer the call but I will share the options with him focusing on landmark. 27th Jan : Spoke the client is looking for an A grade building 24th Jan: Spoke to the client their budget is 6 lakhs only and is not in mumbai asked me to connect next week  22nd Jan: Shared the Requirement with Vinamra. 21st Jan: Spoke. They have a requirement as mentioned. Current office is in Solitaire corporate park their lease is expiring they are trying to extend that but in the backend if they get a suitable space they will move out as well. Sublocation from WEH to Chakala. </t>
    </r>
  </si>
  <si>
    <t>Hamavvand</t>
  </si>
  <si>
    <t>Chwda</t>
  </si>
  <si>
    <t>Balaji Telefilms</t>
  </si>
  <si>
    <r>
      <rPr>
        <rFont val="Roboto"/>
        <b/>
        <color rgb="FF666666"/>
      </rPr>
      <t xml:space="preserve">06 March: Ringing message dropped </t>
    </r>
    <r>
      <rPr>
        <rFont val="Roboto"/>
        <color rgb="FF666666"/>
      </rPr>
      <t>16 Feb: Ringing, Dropped a text 29th Jan: Tried calling him didn't aswer text and calls, I will Andy to speak because he spoke initally. He replied saying the project is delayed and will get in touch when resumed</t>
    </r>
    <r>
      <rPr>
        <rFont val="Roboto"/>
        <b/>
        <color rgb="FF666666"/>
      </rPr>
      <t xml:space="preserve">.  </t>
    </r>
    <r>
      <rPr>
        <rFont val="Roboto"/>
        <color rgb="FF666666"/>
      </rPr>
      <t>28th Jan: Tried calling him today as well he is not answering calls, I have texted him 27th Jan: Ringing didn't answer.</t>
    </r>
    <r>
      <rPr>
        <rFont val="Roboto"/>
        <b/>
        <color rgb="FF666666"/>
      </rPr>
      <t xml:space="preserve"> </t>
    </r>
    <r>
      <rPr>
        <rFont val="Roboto"/>
        <color rgb="FF666666"/>
      </rPr>
      <t>24th Jan: Tried calling he is not answering and nor replying to text</t>
    </r>
    <r>
      <rPr>
        <rFont val="Roboto"/>
        <b/>
        <color rgb="FF666666"/>
      </rPr>
      <t xml:space="preserve"> </t>
    </r>
    <r>
      <rPr>
        <rFont val="Roboto"/>
        <color rgb="FF666666"/>
      </rPr>
      <t>22nd Jan: Tried calling him didn't Answer will, dropped a text. 21st Jan: Tried calling him didn't Answer will, dropped a text</t>
    </r>
  </si>
  <si>
    <t>Mistry</t>
  </si>
  <si>
    <t>50 seats</t>
  </si>
  <si>
    <t xml:space="preserve">50 w.s, 4 cabins, 1 conference 10 seats, 1 meeting room 4 seats </t>
  </si>
  <si>
    <t xml:space="preserve">Assymetric </t>
  </si>
  <si>
    <r>
      <rPr>
        <rFont val="Calibri, sans-serif"/>
        <b/>
        <color rgb="FF666666"/>
        <sz val="11.0"/>
      </rPr>
      <t xml:space="preserve">13 March: Spoke. Asked me to connect on Monday - Tuesday </t>
    </r>
    <r>
      <rPr>
        <rFont val="Calibri, sans-serif"/>
        <color rgb="FF666666"/>
        <sz val="11.0"/>
      </rPr>
      <t>10th March: Spoke he said there is a family emergency and will be back on Monday Touch base then 09th March: Ringing, dropped a text</t>
    </r>
    <r>
      <rPr>
        <rFont val="Calibri, sans-serif"/>
        <b/>
        <color rgb="FF666666"/>
        <sz val="11.0"/>
      </rPr>
      <t xml:space="preserve"> </t>
    </r>
    <r>
      <rPr>
        <rFont val="Calibri, sans-serif"/>
        <color rgb="FF666666"/>
        <sz val="11.0"/>
      </rPr>
      <t>06 March: He said Sakinaka wont work for him, I have shared few options of Marol with him over whatsapp as he said whatsapp me</t>
    </r>
    <r>
      <rPr>
        <rFont val="Calibri, sans-serif"/>
        <b/>
        <color rgb="FF666666"/>
        <sz val="11.0"/>
      </rPr>
      <t xml:space="preserve"> </t>
    </r>
    <r>
      <rPr>
        <rFont val="Calibri, sans-serif"/>
        <color rgb="FF666666"/>
        <sz val="11.0"/>
      </rPr>
      <t>02 March: Ringing, dropped a text</t>
    </r>
    <r>
      <rPr>
        <rFont val="Calibri, sans-serif"/>
        <b/>
        <color rgb="FF666666"/>
        <sz val="11.0"/>
      </rPr>
      <t xml:space="preserve"> </t>
    </r>
    <r>
      <rPr>
        <rFont val="Calibri, sans-serif"/>
        <color rgb="FF666666"/>
        <sz val="11.0"/>
      </rPr>
      <t>27 Feb: He said my budget is 4 lakhs max, I have pitched sakinaka and shared the details over Whatsapp</t>
    </r>
    <r>
      <rPr>
        <rFont val="Calibri, sans-serif"/>
        <b/>
        <color rgb="FF666666"/>
        <sz val="11.0"/>
      </rPr>
      <t xml:space="preserve"> </t>
    </r>
    <r>
      <rPr>
        <rFont val="Calibri, sans-serif"/>
        <color rgb="FF666666"/>
        <sz val="11.0"/>
      </rPr>
      <t>16th Feb: Disconnected my call, Dropped a text 13th Feb: Ringing, dropped a Text</t>
    </r>
    <r>
      <rPr>
        <rFont val="Calibri, sans-serif"/>
        <b/>
        <color rgb="FF666666"/>
        <sz val="11.0"/>
      </rPr>
      <t xml:space="preserve"> </t>
    </r>
    <r>
      <rPr>
        <rFont val="Calibri, sans-serif"/>
        <color rgb="FF666666"/>
        <sz val="11.0"/>
      </rPr>
      <t>11th Feb: Disconnect my call, Texted him 06th Feb: Ringing. Dropped a text. 05th Feb: Disconnected my call, dropped a text.</t>
    </r>
    <r>
      <rPr>
        <rFont val="Calibri, sans-serif"/>
        <b/>
        <color rgb="FF666666"/>
        <sz val="11.0"/>
      </rPr>
      <t xml:space="preserve"> </t>
    </r>
    <r>
      <rPr>
        <rFont val="Calibri, sans-serif"/>
        <color rgb="FF666666"/>
        <sz val="11.0"/>
      </rPr>
      <t xml:space="preserve">03rd Feb: Tried calling 02nd Feb: Spoke he said was occupied thats the reason he was not answering. He have asked for the options not more 2-3 options which are under 4.5 lakhs 29th Jan: Tried calling him as he said connect on thursday around 11am , didn't answer, I have texted him 27th Jan: Vinamra spoke to him for a meeting and he said yes we can meet connect on Thursday. 23rd Jan: He texted me saying went through your deck, but currently they are only looking for traditional office, as discussed with the management. I have pitched services and fitouts 22nd Jan: Spoke He Has a reqirement closer towards Andheri station and western express highway. I explained him who we are and what we do. He said send me your introductory deck over mail and wp I will check with the team if this is the solution that they are looking at and will revert because they have a tight budget of under 5 lakhs. 21st Jan: Spoke. He asked me to call around 6 pm. Called him he disconnected </t>
    </r>
  </si>
  <si>
    <t>Purohit</t>
  </si>
  <si>
    <t>Mek Peripherals PVT LTD</t>
  </si>
  <si>
    <r>
      <rPr>
        <rFont val="Roboto"/>
        <b/>
        <color rgb="FF666666"/>
      </rPr>
      <t>29th Jan: Spoke. He said he took a space in Laminton road</t>
    </r>
    <r>
      <rPr>
        <rFont val="Roboto"/>
        <color rgb="FF666666"/>
      </rPr>
      <t xml:space="preserve"> 27th Jan: Ringing, Dropped a text. 24th Jan: He is not replying to text and calls 22nd Jan: ringing dropped a text.21st Jan: Tried calling him didn't Answer will, dropped a text</t>
    </r>
  </si>
  <si>
    <t>Santoshkumar</t>
  </si>
  <si>
    <t>Narwate</t>
  </si>
  <si>
    <t>Frontier Business Systems Pvt Ltd</t>
  </si>
  <si>
    <t xml:space="preserve">30 seats </t>
  </si>
  <si>
    <t xml:space="preserve">30w.s, 3 cabins, 1 board room of 12-15 seats, 3 car parks and 7 bike parks </t>
  </si>
  <si>
    <r>
      <rPr>
        <rFont val="Roboto"/>
        <b/>
        <color rgb="FF666666"/>
      </rPr>
      <t xml:space="preserve">29th Jan: Spoke he said internally they are exploring more option becuase they find the traffic to be a challenge because most of their employees come from Roadways. He mentioned if anything comes in favour to us will connect again but will take some time to discuss on this  </t>
    </r>
    <r>
      <rPr>
        <rFont val="Roboto"/>
        <color rgb="FF666666"/>
      </rPr>
      <t>28th Jan: Mr. Sharad kumar form admin team visited today, they kind of liked the space will discuss internally and get back</t>
    </r>
    <r>
      <rPr>
        <rFont val="Roboto"/>
        <b/>
        <color rgb="FF666666"/>
      </rPr>
      <t xml:space="preserve"> </t>
    </r>
    <r>
      <rPr>
        <rFont val="Roboto"/>
        <color rgb="FF666666"/>
      </rPr>
      <t xml:space="preserve">27th Jan: He said will visit tomorrow. 24th Jan: Called him he said have not checked the layout and will resume on tuesday connect then 22nd Jan: Sent Mock layout over mail and wp. 21stJan: Tried calling him didn't Answer will, dropped a text.  Spoke requirement shared. I have pitched sakinaka, shared the deck on mail as well as wp as well as asked the team to create a mock layout </t>
    </r>
  </si>
  <si>
    <t>A Datta</t>
  </si>
  <si>
    <t>Nayak Amerkar</t>
  </si>
  <si>
    <t>Arpina LLP</t>
  </si>
  <si>
    <t xml:space="preserve">2-3 seats </t>
  </si>
  <si>
    <r>
      <rPr>
        <rFont val="Roboto"/>
        <b/>
        <color rgb="FF666666"/>
      </rPr>
      <t>22nd Jan : Looking for a virtual office.</t>
    </r>
    <r>
      <rPr>
        <rFont val="Roboto"/>
        <color rgb="FF666666"/>
      </rPr>
      <t xml:space="preserve"> 21st Jan:He disconnected my call, I have dropped a text. He called me back saying he wants 2-3 seats in Andheri Kurla road. I have pitched sakinaka 3i space and shared images and deck over mail </t>
    </r>
  </si>
  <si>
    <t>Patankar</t>
  </si>
  <si>
    <t>solution</t>
  </si>
  <si>
    <r>
      <rPr>
        <rFont val="Roboto"/>
        <b/>
        <color rgb="FF666666"/>
      </rPr>
      <t xml:space="preserve">06th Feb: He said he is not looking for any space </t>
    </r>
    <r>
      <rPr>
        <rFont val="Roboto"/>
        <color rgb="FF666666"/>
      </rPr>
      <t>05th Ringing, dropped a text.</t>
    </r>
    <r>
      <rPr>
        <rFont val="Roboto"/>
        <b/>
        <color rgb="FF666666"/>
      </rPr>
      <t xml:space="preserve"> </t>
    </r>
    <r>
      <rPr>
        <rFont val="Roboto"/>
        <color rgb="FF666666"/>
      </rPr>
      <t>02nd Feb: Tried calling he is busy on another call, dropped a text 29th Jan: He answered my call saying he is in a meeting and will call back.</t>
    </r>
    <r>
      <rPr>
        <rFont val="Roboto"/>
        <b/>
        <color rgb="FF666666"/>
      </rPr>
      <t xml:space="preserve"> </t>
    </r>
    <r>
      <rPr>
        <rFont val="Roboto"/>
        <color rgb="FF666666"/>
      </rPr>
      <t xml:space="preserve"> 27th Jan: Ringing, Dropped a Text 24 Jan: Tried calling he is not answering, I have dropped a text. 23 Jan: Ringing</t>
    </r>
  </si>
  <si>
    <t xml:space="preserve">Shravani </t>
  </si>
  <si>
    <t>Mandar</t>
  </si>
  <si>
    <t>Aeon Enterprises</t>
  </si>
  <si>
    <t>2 Seats</t>
  </si>
  <si>
    <r>
      <rPr>
        <rFont val="Roboto"/>
        <b/>
        <color rgb="FF666666"/>
      </rPr>
      <t xml:space="preserve">02nd Feb: Spoke. He in no longer looking for the space </t>
    </r>
    <r>
      <rPr>
        <rFont val="Roboto"/>
        <color rgb="FF666666"/>
      </rPr>
      <t>29th Jan: (Shubham) tried calling him didn't answer dropped a text</t>
    </r>
    <r>
      <rPr>
        <rFont val="Roboto"/>
        <b/>
        <color rgb="FF666666"/>
      </rPr>
      <t xml:space="preserve"> </t>
    </r>
    <r>
      <rPr>
        <rFont val="Roboto"/>
        <color rgb="FF666666"/>
      </rPr>
      <t>27th Jan: Ringing didn't answer. 24th Jan: OS. 23 Jan: He needs 2 Open WS. Need to share the details</t>
    </r>
  </si>
  <si>
    <t>Ramakrishnan</t>
  </si>
  <si>
    <t>20Cube Logistics</t>
  </si>
  <si>
    <t xml:space="preserve">8-10 seats </t>
  </si>
  <si>
    <t>8-10 seats, 5 seater meeting room*2</t>
  </si>
  <si>
    <r>
      <rPr>
        <rFont val="Roboto"/>
        <b/>
        <color rgb="FF666666"/>
      </rPr>
      <t xml:space="preserve">10 march: Spoke he said the requirement is still on hold </t>
    </r>
    <r>
      <rPr>
        <rFont val="Roboto"/>
        <color rgb="FF666666"/>
      </rPr>
      <t>16th Feb: He didn't answer calls so I have dropped a follow up mail he replied saying currently the reqirement is on hold</t>
    </r>
    <r>
      <rPr>
        <rFont val="Roboto"/>
        <b/>
        <color rgb="FF666666"/>
      </rPr>
      <t xml:space="preserve">  </t>
    </r>
    <r>
      <rPr>
        <rFont val="Roboto"/>
        <color rgb="FF666666"/>
      </rPr>
      <t>06th Feb: We had shared the first cut layout for the same. Spoke to Vishnu prasad ji, he said he will check</t>
    </r>
    <r>
      <rPr>
        <rFont val="Roboto"/>
        <b/>
        <color rgb="FF666666"/>
      </rPr>
      <t xml:space="preserve">  </t>
    </r>
    <r>
      <rPr>
        <rFont val="Roboto"/>
        <color rgb="FF666666"/>
      </rPr>
      <t>03rd Feb: His admin guy visited the space. Next steps they want commercials and is looking for 10 seats + 2 meeting room of 5 seats each 02nd Feb: His admin guy Mr. Vishnu Reached out to me and will visit tomorrow in Andheri Sakinaka 29th Jan: Spoke. He put me on hold and connect the HR/Admin guy he took my number and said will call back in 30 mins. 27th Jan: He didn't answer, dropped a text.  24 Jan: He disconnect my call, I have dropped a text, he replied saying lets connect on tuesday</t>
    </r>
    <r>
      <rPr>
        <rFont val="Roboto"/>
        <b/>
        <color rgb="FF666666"/>
      </rPr>
      <t xml:space="preserve"> </t>
    </r>
    <r>
      <rPr>
        <rFont val="Roboto"/>
        <color rgb="FF666666"/>
      </rPr>
      <t xml:space="preserve"> 23 Jan: Disconected the call</t>
    </r>
  </si>
  <si>
    <t>Bhupendra</t>
  </si>
  <si>
    <t>Ingle</t>
  </si>
  <si>
    <t>Transformics Marketing</t>
  </si>
  <si>
    <t>Dedicated Open Workstation</t>
  </si>
  <si>
    <r>
      <rPr>
        <rFont val="Roboto"/>
        <b/>
        <color rgb="FF666666"/>
      </rPr>
      <t xml:space="preserve">04th Feb: He Visted the space but he came by road on a peak time and was stuck in traffic he find traffics as a problem </t>
    </r>
    <r>
      <rPr>
        <rFont val="Roboto"/>
        <color rgb="FF666666"/>
      </rPr>
      <t>03rd Spoke. He said he will visit tomorrow 02nd Feb: (Shubham) Tried calling he is not answering dorpped him a text 29th Jan: (Shravani) Tried calling him didn't answer dropped a text 27th Jan. Ringing. dropped a text. 23 Jan: He will be visiting on Tuesday or Wednesday</t>
    </r>
  </si>
  <si>
    <t>Ghayre</t>
  </si>
  <si>
    <t>team telesystems</t>
  </si>
  <si>
    <t>24 Jan: 23 Jan: He is looking for outright purpose.</t>
  </si>
  <si>
    <t>Mahesh</t>
  </si>
  <si>
    <t>Mahesh Naik</t>
  </si>
  <si>
    <t>saraswat</t>
  </si>
  <si>
    <r>
      <rPr>
        <rFont val="Roboto"/>
        <b/>
        <color rgb="FF666666"/>
      </rPr>
      <t xml:space="preserve">27th Jan : He is looking for a residential house  </t>
    </r>
    <r>
      <rPr>
        <rFont val="Roboto"/>
        <color rgb="FF666666"/>
      </rPr>
      <t>24 Jan: This number is not reachable will try to reach out on whataspp 23 Jan: OS</t>
    </r>
  </si>
  <si>
    <t>Pawar</t>
  </si>
  <si>
    <t>Flipkart</t>
  </si>
  <si>
    <t>100 seats with 3–4 cabins, 1 conference (10–12 pax), pantry, cafeteria (20 pax capacity minimum) and washrooms.</t>
  </si>
  <si>
    <r>
      <rPr>
        <rFont val="Roboto"/>
        <b/>
        <color rgb="FF666666"/>
      </rPr>
      <t xml:space="preserve">13 Mach: Ringing, dropped a text </t>
    </r>
    <r>
      <rPr>
        <rFont val="Roboto"/>
        <color rgb="FF666666"/>
      </rPr>
      <t>10th March: Ringing, dropped a text. He replied saying will call back</t>
    </r>
    <r>
      <rPr>
        <rFont val="Roboto"/>
        <b/>
        <color rgb="FF666666"/>
      </rPr>
      <t xml:space="preserve"> </t>
    </r>
    <r>
      <rPr>
        <rFont val="Roboto"/>
        <color rgb="FF666666"/>
      </rPr>
      <t>06 March: Disconnected the call 04 March: Ringing, dropped a Text 02 March: Ringing, Dropped a text He replied saying was on leave and will be back on Wednesday 27 Feb: Switched off. I have texted and sent a follow up mail</t>
    </r>
    <r>
      <rPr>
        <rFont val="Roboto"/>
        <b/>
        <color rgb="FF666666"/>
      </rPr>
      <t xml:space="preserve"> </t>
    </r>
    <r>
      <rPr>
        <rFont val="Roboto"/>
        <color rgb="FF666666"/>
      </rPr>
      <t>16th Feb: Ringing. Dropped a text</t>
    </r>
    <r>
      <rPr>
        <rFont val="Roboto"/>
        <b/>
        <color rgb="FF666666"/>
      </rPr>
      <t xml:space="preserve"> </t>
    </r>
    <r>
      <rPr>
        <rFont val="Roboto"/>
        <color rgb="FF666666"/>
      </rPr>
      <t>13th Feb: Disconnect my call, dropped a text</t>
    </r>
    <r>
      <rPr>
        <rFont val="Roboto"/>
        <b/>
        <color rgb="FF666666"/>
      </rPr>
      <t xml:space="preserve"> </t>
    </r>
    <r>
      <rPr>
        <rFont val="Roboto"/>
        <color rgb="FF666666"/>
      </rPr>
      <t>10th Feb: Ringing, dropped a Text</t>
    </r>
    <r>
      <rPr>
        <rFont val="Roboto"/>
        <b/>
        <color rgb="FF666666"/>
      </rPr>
      <t xml:space="preserve"> </t>
    </r>
    <r>
      <rPr>
        <rFont val="Roboto"/>
        <color rgb="FF666666"/>
      </rPr>
      <t>07th Feb: Ringing, Dropped a text</t>
    </r>
    <r>
      <rPr>
        <rFont val="Roboto"/>
        <b/>
        <color rgb="FF666666"/>
      </rPr>
      <t xml:space="preserve"> </t>
    </r>
    <r>
      <rPr>
        <rFont val="Roboto"/>
        <color rgb="FF666666"/>
      </rPr>
      <t>06th: switched off, dropped a text</t>
    </r>
    <r>
      <rPr>
        <rFont val="Roboto"/>
        <b/>
        <color rgb="FF666666"/>
      </rPr>
      <t xml:space="preserve"> </t>
    </r>
    <r>
      <rPr>
        <rFont val="Roboto"/>
        <color rgb="FF666666"/>
      </rPr>
      <t>05th Feb: Ringing, Dropped a text</t>
    </r>
    <r>
      <rPr>
        <rFont val="Roboto"/>
        <b/>
        <color rgb="FF666666"/>
      </rPr>
      <t xml:space="preserve"> </t>
    </r>
    <r>
      <rPr>
        <rFont val="Roboto"/>
        <color rgb="FF666666"/>
      </rPr>
      <t>04th Feb: Shared the first cut inventory options and spoke he said he occupied in some personal commitement will resume tomorrow and will check and we can do a virtual call by friday.</t>
    </r>
    <r>
      <rPr>
        <rFont val="Roboto"/>
        <b/>
        <color rgb="FF666666"/>
      </rPr>
      <t xml:space="preserve"> </t>
    </r>
    <r>
      <rPr>
        <rFont val="Roboto"/>
        <color rgb="FF666666"/>
      </rPr>
      <t>29th Jan: Tried calling Him didn't answer the call but I will share the options with him focusing on landmark. Spoke He is not looking at Andheri Now wants to look after Ghatkopar, Vikroli and Vidyavihar.</t>
    </r>
    <r>
      <rPr>
        <rFont val="Roboto"/>
        <b/>
        <color rgb="FF666666"/>
      </rPr>
      <t xml:space="preserve">  </t>
    </r>
    <r>
      <rPr>
        <rFont val="Roboto"/>
        <color rgb="FF666666"/>
      </rPr>
      <t>28th Jan: Tried calling him to share the details of the options and discuss Landmark Property did't answer, I have dropped a text 24th Jan: I have activated local brokers as well as will share the requriement to Vinamra as well once he answers the call 23 Jan: Spoke to Sachin from Flipkart. Location priority: Vidya Vihar (current office), Ghatkopar, Andheri East (near railway or metro station) Initially, he was not aware of the managed office model, so I walked him through the structure. Move-in timelines are not yet decided. I have asked for a meeting that's cool with him but he asked me to sit with inventory options. Next Steps: Send an introductory deck &amp; Source relevant options in the above micro-markets for this ticket size</t>
    </r>
  </si>
  <si>
    <t>Prem</t>
  </si>
  <si>
    <t>equiflex Private Limited</t>
  </si>
  <si>
    <t>50 Seats + 4 Cabins + 12 Seater Meeting Room.</t>
  </si>
  <si>
    <t xml:space="preserve">March - April </t>
  </si>
  <si>
    <r>
      <rPr>
        <rFont val="Roboto"/>
        <b/>
        <color rgb="FF666666"/>
      </rPr>
      <t xml:space="preserve">02 March: Prem ji said The requirement is on hold for now due to March ending I have recorded the same over mail </t>
    </r>
    <r>
      <rPr>
        <rFont val="Roboto"/>
        <color rgb="FF666666"/>
      </rPr>
      <t>27 Feb: I have sent the available inventories details of Lotus corporate park to the client over mail and asked for a virtual cal to shortlist options 26 Feb: Mehul Sir Spoke to Prem ahuja he said he is travelling and will try to arrange a call to discuss the options  25 Feb: Put a follow up Mail no reply yet 23 Feb: We have shared the 2nd cut inventores form Bandra to Goregoan</t>
    </r>
    <r>
      <rPr>
        <rFont val="Roboto"/>
        <b/>
        <color rgb="FF666666"/>
      </rPr>
      <t xml:space="preserve"> </t>
    </r>
    <r>
      <rPr>
        <rFont val="Roboto"/>
        <color rgb="FF666666"/>
      </rPr>
      <t>17 Feb: As Discussed with the team they are now looking for options from Bandra to goregoan near highway, source property for the same and spoke to vinamra he said he is busy and will call back</t>
    </r>
    <r>
      <rPr>
        <rFont val="Roboto"/>
        <b/>
        <color rgb="FF666666"/>
      </rPr>
      <t xml:space="preserve"> </t>
    </r>
    <r>
      <rPr>
        <rFont val="Roboto"/>
        <color rgb="FF666666"/>
      </rPr>
      <t>16th Feb: Mehul sir Met the client he got the updates</t>
    </r>
    <r>
      <rPr>
        <rFont val="Roboto"/>
        <b/>
        <color rgb="FF666666"/>
      </rPr>
      <t xml:space="preserve"> </t>
    </r>
    <r>
      <rPr>
        <rFont val="Roboto"/>
        <color rgb="FF666666"/>
      </rPr>
      <t>06th Feb: We have shared the layout spoke with Prem ji, He said very nice layout you made exactly what wanted but their promoter is not there today and will come on Monday. They will discuss this internally and get back to us on monday</t>
    </r>
    <r>
      <rPr>
        <rFont val="Roboto"/>
        <b/>
        <color rgb="FF666666"/>
      </rPr>
      <t xml:space="preserve"> </t>
    </r>
    <r>
      <rPr>
        <rFont val="Roboto"/>
        <color rgb="FF666666"/>
      </rPr>
      <t>03rd Feb: The Team visited and want to maintain the cubical style rquirement shared with the team waiting for Mock Layout</t>
    </r>
    <r>
      <rPr>
        <rFont val="Roboto"/>
        <b/>
        <color rgb="FF666666"/>
      </rPr>
      <t xml:space="preserve"> </t>
    </r>
    <r>
      <rPr>
        <rFont val="Roboto"/>
        <color rgb="FF666666"/>
      </rPr>
      <t>02nd Feb : Revisiting tomorrow with seniority</t>
    </r>
    <r>
      <rPr>
        <rFont val="Roboto"/>
        <b/>
        <color rgb="FF666666"/>
      </rPr>
      <t xml:space="preserve"> </t>
    </r>
    <r>
      <rPr>
        <rFont val="Roboto"/>
        <color rgb="FF666666"/>
      </rPr>
      <t>29th Jan: Yesterday I shared the requirement with Ankit sir, he said no bandwith and can get the layout tomorrow</t>
    </r>
    <r>
      <rPr>
        <rFont val="Roboto"/>
        <b/>
        <color rgb="FF666666"/>
      </rPr>
      <t xml:space="preserve"> </t>
    </r>
    <r>
      <rPr>
        <rFont val="Roboto"/>
        <color rgb="FF666666"/>
      </rPr>
      <t xml:space="preserve">28th Jan: Visit done. Showcased the property of landmark, Share the mock layout at the earliest 27th Jan: Spoke. Vinamra has proposed Landmark, conduct a visit tomorrow 23 Jan: Need to share him a introductry deck and some options available in andheri that fit his requirement.28th </t>
    </r>
  </si>
  <si>
    <t>Jiban</t>
  </si>
  <si>
    <t>Datta</t>
  </si>
  <si>
    <t>Jyoti display pvt ltd</t>
  </si>
  <si>
    <t xml:space="preserve">2-3 open workstations </t>
  </si>
  <si>
    <r>
      <rPr>
        <rFont val="Roboto"/>
        <b/>
        <color rgb="FF666666"/>
      </rPr>
      <t xml:space="preserve">10 March: Ringing, Dropped a Text </t>
    </r>
    <r>
      <rPr>
        <rFont val="Roboto"/>
        <color rgb="FF666666"/>
      </rPr>
      <t>06 March: Ringing, Dropped a Text 02nd MArch: Ringing, Dropped a Text 27 Feb: Busy on call dropped a Text</t>
    </r>
    <r>
      <rPr>
        <rFont val="Roboto"/>
        <b/>
        <color rgb="FF666666"/>
      </rPr>
      <t xml:space="preserve"> </t>
    </r>
    <r>
      <rPr>
        <rFont val="Roboto"/>
        <color rgb="FF666666"/>
      </rPr>
      <t>23 Feb: Ringing, Dropped a Text 19 Feb: Ringing, Dropped a Text 13 Feb: Ringing, Dropped a Text 06th Feb: Busy in call Dropped a text 05th Feb: Ringing Dropped a Text 03rd Feb: Busy on call dropped a text</t>
    </r>
    <r>
      <rPr>
        <rFont val="Roboto"/>
        <b/>
        <color rgb="FF666666"/>
      </rPr>
      <t xml:space="preserve"> </t>
    </r>
    <r>
      <rPr>
        <rFont val="Roboto"/>
        <color rgb="FF666666"/>
      </rPr>
      <t>29th Jan: He disconnected my call will call back, dropped a Text. He replied saying currectly out of town connect on Monday.</t>
    </r>
    <r>
      <rPr>
        <rFont val="Roboto"/>
        <b/>
        <color rgb="FF666666"/>
      </rPr>
      <t xml:space="preserve"> </t>
    </r>
    <r>
      <rPr>
        <rFont val="Roboto"/>
        <color rgb="FF666666"/>
      </rPr>
      <t>27th Jan: Ringing, dropped a text. 24 Jan: Ringing, dropped a text 23 Jan: Ringing</t>
    </r>
  </si>
  <si>
    <t>Shivang</t>
  </si>
  <si>
    <t>Gor</t>
  </si>
  <si>
    <t>Keystone funding</t>
  </si>
  <si>
    <r>
      <rPr>
        <rFont val="Roboto"/>
        <b/>
        <color rgb="FF666666"/>
      </rPr>
      <t xml:space="preserve">10 March: Ringing, Dropped a Text </t>
    </r>
    <r>
      <rPr>
        <rFont val="Roboto"/>
        <b val="0"/>
        <color rgb="FF666666"/>
      </rPr>
      <t>06 March: Ringing, Dropped a Text 02nd MArch: Ringing, Dropped a Text 27 Feb: Ringing, Dropped a Voice note and Text</t>
    </r>
    <r>
      <rPr>
        <rFont val="Roboto"/>
        <b/>
        <color rgb="FF666666"/>
      </rPr>
      <t xml:space="preserve"> </t>
    </r>
    <r>
      <rPr>
        <rFont val="Roboto"/>
        <b val="0"/>
        <color rgb="FF666666"/>
      </rPr>
      <t>23 Feb: Ringing, Dropped a Text 19 Feb: Ringing, Dropped a Text 13 Feb: Ringing, Dropped a Text 06th Feb: Didn't answer Dropped a Text 05th Feb: Dropped a voice note and a text 29th Jan: Ringing, dropped a text. and voice note sent.</t>
    </r>
    <r>
      <rPr>
        <rFont val="Roboto"/>
        <b/>
        <color rgb="FF666666"/>
      </rPr>
      <t xml:space="preserve"> </t>
    </r>
    <r>
      <rPr>
        <rFont val="Roboto"/>
        <b val="0"/>
        <color rgb="FF666666"/>
      </rPr>
      <t xml:space="preserve">27th Jan: Ringing, ropped a text. 24 Jan: Ringing. Sent a Voice note and a text </t>
    </r>
  </si>
  <si>
    <t>Sameir</t>
  </si>
  <si>
    <t>Sheikh</t>
  </si>
  <si>
    <t>GoWarranty</t>
  </si>
  <si>
    <r>
      <rPr>
        <rFont val="Roboto"/>
        <b/>
        <color rgb="FF666666"/>
      </rPr>
      <t xml:space="preserve">10 March : Called him 5 times today but have disconnected my call </t>
    </r>
    <r>
      <rPr>
        <rFont val="Roboto"/>
        <b val="0"/>
        <color rgb="FF666666"/>
      </rPr>
      <t>09 Mach: He visited the sakinaka space and from then I am Trying to call him he has not answered   06 March: Ringing, Dropped a Text He replied saying he will visit on Monday</t>
    </r>
    <r>
      <rPr>
        <rFont val="Roboto"/>
        <b/>
        <color rgb="FF666666"/>
      </rPr>
      <t xml:space="preserve"> </t>
    </r>
    <r>
      <rPr>
        <rFont val="Roboto"/>
        <b val="0"/>
        <color rgb="FF666666"/>
      </rPr>
      <t xml:space="preserve"> 02nd MArch: Ringing, Dropped a Text 27 Feb: Disconnected the call, dropped a Text 23 Feb: Ringing, Dropped a Text 19 Feb: Ringing, Dropped a Text 13 Feb: Ringing, Dropped a Text 06th Feb: Tried Calling Today, Didn't answer Dropped a Text 05th Feb: Ringing, Dropped a Text 05th Feb: Ringing, droped a text 29th Jan: Ringing, Dropped a text</t>
    </r>
    <r>
      <rPr>
        <rFont val="Roboto"/>
        <b/>
        <color rgb="FF666666"/>
      </rPr>
      <t xml:space="preserve"> </t>
    </r>
    <r>
      <rPr>
        <rFont val="Roboto"/>
        <b val="0"/>
        <color rgb="FF666666"/>
      </rPr>
      <t>27th Jan: Ringing, dropped a text. 24 Jan: Ringing. Dropped a Text on WP</t>
    </r>
  </si>
  <si>
    <t>Dumbare</t>
  </si>
  <si>
    <t>Angel one</t>
  </si>
  <si>
    <r>
      <rPr>
        <rFont val="Roboto"/>
        <b/>
        <color rgb="FF666666"/>
      </rPr>
      <t>10 March: Disconnected my call, Dropped a Text 0</t>
    </r>
    <r>
      <rPr>
        <rFont val="Roboto"/>
        <b val="0"/>
        <color rgb="FF666666"/>
      </rPr>
      <t>6 March: Ringing, Dropped a Text 02nd MArch: Ringing, Dropped a Text 27 Feb: Ringing, Dropped a Text</t>
    </r>
    <r>
      <rPr>
        <rFont val="Roboto"/>
        <b/>
        <color rgb="FF666666"/>
      </rPr>
      <t xml:space="preserve"> </t>
    </r>
    <r>
      <rPr>
        <rFont val="Roboto"/>
        <b val="0"/>
        <color rgb="FF666666"/>
      </rPr>
      <t>23 Feb: Ringing, Dropped a Text 19 Feb: Ringing, Dropped a Text 13 Feb: Ringing, Dropped a Text 06th Feb: Tried Calling Today, Didn't answer Dropped a Text 05th Feb: Ringing, Dropped a Text 05th Feb: Busy on another call dropped a text</t>
    </r>
    <r>
      <rPr>
        <rFont val="Roboto"/>
        <b/>
        <color rgb="FF666666"/>
      </rPr>
      <t xml:space="preserve"> </t>
    </r>
    <r>
      <rPr>
        <rFont val="Roboto"/>
        <b val="0"/>
        <color rgb="FF666666"/>
      </rPr>
      <t>29th Jan: He disconnected my call, will call in sometime, dropped a text.</t>
    </r>
    <r>
      <rPr>
        <rFont val="Roboto"/>
        <b/>
        <color rgb="FF666666"/>
      </rPr>
      <t xml:space="preserve"> </t>
    </r>
    <r>
      <rPr>
        <rFont val="Roboto"/>
        <b val="0"/>
        <color rgb="FF666666"/>
      </rPr>
      <t xml:space="preserve">27th Jan: Ringing, Dropped a text. 24 Jan: He is Busy asked me to call in 2nd half around 5pm. I tried calling him but it didn't connect </t>
    </r>
  </si>
  <si>
    <t>Closed in Solitaire corporate park by CNW</t>
  </si>
  <si>
    <t xml:space="preserve">Suresh </t>
  </si>
  <si>
    <t>Pai</t>
  </si>
  <si>
    <t>Jio Financial Services Ltd</t>
  </si>
  <si>
    <r>
      <rPr>
        <rFont val="Roboto"/>
        <b/>
        <color rgb="FF666666"/>
      </rPr>
      <t xml:space="preserve">05th Feb: Disconnected my call, dropped a text </t>
    </r>
    <r>
      <rPr>
        <rFont val="Roboto"/>
        <b val="0"/>
        <color rgb="FF666666"/>
      </rPr>
      <t>03rd Feb: Ringing, dropped a Text</t>
    </r>
    <r>
      <rPr>
        <rFont val="Roboto"/>
        <b/>
        <color rgb="FF666666"/>
      </rPr>
      <t xml:space="preserve"> </t>
    </r>
    <r>
      <rPr>
        <rFont val="Roboto"/>
        <b val="0"/>
        <color rgb="FF666666"/>
      </rPr>
      <t>29th Jan: He is busy on another call will call back in sometime and I have also dropped a text on WP</t>
    </r>
    <r>
      <rPr>
        <rFont val="Roboto"/>
        <b/>
        <color rgb="FF666666"/>
      </rPr>
      <t xml:space="preserve"> </t>
    </r>
    <r>
      <rPr>
        <rFont val="Roboto"/>
        <b val="0"/>
        <color rgb="FF666666"/>
      </rPr>
      <t>27th Jan: Treid calling he didn't answer. 24 Jan: Ringing. Dropped a Text on WP</t>
    </r>
  </si>
  <si>
    <t xml:space="preserve">Trivedi </t>
  </si>
  <si>
    <t>iWeb Technology PVT LTD</t>
  </si>
  <si>
    <r>
      <rPr>
        <rFont val="Roboto"/>
        <b/>
        <color rgb="FF666666"/>
      </rPr>
      <t xml:space="preserve">10 March: Ringing, Dropped a Text </t>
    </r>
    <r>
      <rPr>
        <rFont val="Roboto"/>
        <b val="0"/>
        <color rgb="FF666666"/>
      </rPr>
      <t>06 March: Ringing, Dropped a Text 02nd MArch: Ringing, Dropped a Text 27 Feb: Ringing, Dropped a Text</t>
    </r>
    <r>
      <rPr>
        <rFont val="Roboto"/>
        <b/>
        <color rgb="FF666666"/>
      </rPr>
      <t xml:space="preserve"> </t>
    </r>
    <r>
      <rPr>
        <rFont val="Roboto"/>
        <b val="0"/>
        <color rgb="FF666666"/>
      </rPr>
      <t>23 Feb: Ringing, Dropped a Text 19 Feb: Ringing, Dropped a Text 13 Feb: Ringing, Dropped a Text 06th Feb: Tried Calling Today, Didn't answer Dropped a Text 05th Feb: Ringing, Dropped a Text 05th Feb: Tried calling he is not answering. Dropped a Text 29th Jan: He repied saying lets connect next week he is out of town.</t>
    </r>
    <r>
      <rPr>
        <rFont val="Roboto"/>
        <b/>
        <color rgb="FF666666"/>
      </rPr>
      <t xml:space="preserve"> </t>
    </r>
    <r>
      <rPr>
        <rFont val="Roboto"/>
        <b val="0"/>
        <color rgb="FF666666"/>
      </rPr>
      <t xml:space="preserve">28th Jan : He disconnected the call. I have dropped a text  27th Jan: Ringing. Dropped a text on WP. </t>
    </r>
  </si>
  <si>
    <t xml:space="preserve">Nilesh </t>
  </si>
  <si>
    <t xml:space="preserve">Liberty General Insurance </t>
  </si>
  <si>
    <r>
      <rPr>
        <rFont val="Roboto"/>
        <b/>
        <color rgb="FF666666"/>
      </rPr>
      <t xml:space="preserve">29th Jan: Spoke. He said no requirement as of now by mistakely someone filled the details no requirements as of now </t>
    </r>
    <r>
      <rPr>
        <rFont val="Roboto"/>
        <b val="0"/>
        <color rgb="FF666666"/>
      </rPr>
      <t xml:space="preserve">28th Jan: Spoke. He said he is in a meeting and will call back </t>
    </r>
  </si>
  <si>
    <t xml:space="preserve">Manish </t>
  </si>
  <si>
    <t xml:space="preserve">Kapasi </t>
  </si>
  <si>
    <t>Avion</t>
  </si>
  <si>
    <t xml:space="preserve">10-12 seats </t>
  </si>
  <si>
    <r>
      <rPr>
        <rFont val="Roboto"/>
        <b/>
        <color rgb="FF666666"/>
      </rPr>
      <t xml:space="preserve">10 March: Busy on call Dropped a Text </t>
    </r>
    <r>
      <rPr>
        <rFont val="Roboto"/>
        <b val="0"/>
        <color rgb="FF666666"/>
      </rPr>
      <t>06 March: Ringing, Dropped a Text 02nd MArch: Ringing, Dropped a Text 27 Feb: Ringing, Dropped a Text 23 Feb: Ringing, Dropped a Text 19 Feb: Ringing, Dropped a Text 13 Feb: Ringing, Dropped a Text 06th Feb: Tried Calling Today, Didn't answer Dropped a Text</t>
    </r>
    <r>
      <rPr>
        <rFont val="Roboto"/>
        <b/>
        <color rgb="FF666666"/>
      </rPr>
      <t xml:space="preserve">  </t>
    </r>
    <r>
      <rPr>
        <rFont val="Roboto"/>
        <b val="0"/>
        <color rgb="FF666666"/>
      </rPr>
      <t>05th Feb: Tried calling, He is not answering dropped a text 02nd Feb: He repiled to the text saying need 600 sqft, for 10-12 seats I have pitched ad sent the details and images of sakinaka</t>
    </r>
    <r>
      <rPr>
        <rFont val="Roboto"/>
        <b/>
        <color rgb="FF666666"/>
      </rPr>
      <t xml:space="preserve">  </t>
    </r>
    <r>
      <rPr>
        <rFont val="Roboto"/>
        <b val="0"/>
        <color rgb="FF666666"/>
      </rPr>
      <t>29th Jan: Spoke. He said In a meeting drop a text will revert</t>
    </r>
    <r>
      <rPr>
        <rFont val="Roboto"/>
        <b/>
        <color rgb="FF666666"/>
      </rPr>
      <t xml:space="preserve"> </t>
    </r>
    <r>
      <rPr>
        <rFont val="Roboto"/>
        <b val="0"/>
        <color rgb="FF666666"/>
      </rPr>
      <t xml:space="preserve">28th Jan: Tried calling he is busy on a call, I have dropped a text and will call back in sometime again </t>
    </r>
  </si>
  <si>
    <t xml:space="preserve">Arun </t>
  </si>
  <si>
    <t xml:space="preserve">Sabnis </t>
  </si>
  <si>
    <t>Creator Advertising LTD</t>
  </si>
  <si>
    <t>20 seats</t>
  </si>
  <si>
    <t xml:space="preserve">20 seats, 2 cabins and 1 conference </t>
  </si>
  <si>
    <t xml:space="preserve">Sakinaka </t>
  </si>
  <si>
    <r>
      <rPr>
        <rFont val="Roboto"/>
        <b/>
        <color rgb="FF666666"/>
      </rPr>
      <t xml:space="preserve">06th Feb: Spoke to Sameer ji, he said Arun ji is continuing with their exisiting office which in Mira road. </t>
    </r>
    <r>
      <rPr>
        <rFont val="Roboto"/>
        <b val="0"/>
        <color rgb="FF666666"/>
      </rPr>
      <t>05th Feb: Tried calling Arun ji and Sameer both, disconnected. Dropped a Text over wp</t>
    </r>
    <r>
      <rPr>
        <rFont val="Roboto"/>
        <b/>
        <color rgb="FF666666"/>
      </rPr>
      <t xml:space="preserve">  </t>
    </r>
    <r>
      <rPr>
        <rFont val="Roboto"/>
        <b val="0"/>
        <color rgb="FF666666"/>
      </rPr>
      <t>04th Feb: Spoke to Arun ji, he said I will talk to sameer and get back 2nd Feb: Tried calling Arun ji &amp; Sameer ji, both didn't answer I have dropped a text</t>
    </r>
    <r>
      <rPr>
        <rFont val="Roboto"/>
        <b/>
        <color rgb="FF666666"/>
      </rPr>
      <t xml:space="preserve"> 
</t>
    </r>
    <r>
      <rPr>
        <rFont val="Roboto"/>
        <b val="0"/>
        <color rgb="FF666666"/>
      </rPr>
      <t xml:space="preserve">28th Jan: Spoke. The requirement is shared and I have pitched sakinaka, spoke to sameer ji as well who is from Admin in his team. Shared the details over whatsapp, asked me to not send it over mail </t>
    </r>
  </si>
  <si>
    <t xml:space="preserve">Raktim </t>
  </si>
  <si>
    <t xml:space="preserve">Esperer Onco Nutrition </t>
  </si>
  <si>
    <t xml:space="preserve">15 seats </t>
  </si>
  <si>
    <t>15 w.s, 2 cabins &amp; 1 coference (6 seats)</t>
  </si>
  <si>
    <t xml:space="preserve">28th Jan: Tried calling he has not answered, dropped a voice not a message over WP. Spoke. He is looking for a space in Vikroli East for 15w.s, 2 cabins and 1 conference of 6 seats, check with the team if we can do this. I tried pitching sakinaka, but their current office is in sakinaka and because of traffic they want to move. Thier budget is 1 lakh </t>
  </si>
  <si>
    <t xml:space="preserve">Chirag </t>
  </si>
  <si>
    <t>Enrich Securities</t>
  </si>
  <si>
    <t xml:space="preserve">28th Jan: Spoke. He said there is no requirement as of now and kept the phone </t>
  </si>
  <si>
    <t xml:space="preserve">Balkrishna </t>
  </si>
  <si>
    <t xml:space="preserve">Tiwari </t>
  </si>
  <si>
    <t xml:space="preserve">JMD Insurance services </t>
  </si>
  <si>
    <t xml:space="preserve">50 seats </t>
  </si>
  <si>
    <r>
      <rPr>
        <rFont val="Roboto"/>
        <b/>
        <color rgb="FF666666"/>
      </rPr>
      <t xml:space="preserve">03rd Feb: He just kept the call saying requirement done </t>
    </r>
    <r>
      <rPr>
        <rFont val="Roboto"/>
        <b val="0"/>
        <color rgb="FF666666"/>
      </rPr>
      <t>02nd Feb: Tried calling you didn't answer dropped a text. 29th Jan: Ringing dropped a text and voice note as well.</t>
    </r>
    <r>
      <rPr>
        <rFont val="Roboto"/>
        <b/>
        <color rgb="FF666666"/>
      </rPr>
      <t xml:space="preserve"> </t>
    </r>
    <r>
      <rPr>
        <rFont val="Roboto"/>
        <b val="0"/>
        <color rgb="FF666666"/>
      </rPr>
      <t>28th Jan: Ringing, dropped a text</t>
    </r>
  </si>
  <si>
    <t xml:space="preserve">Rikin </t>
  </si>
  <si>
    <t xml:space="preserve">Doshi </t>
  </si>
  <si>
    <t xml:space="preserve">Flying Pencil </t>
  </si>
  <si>
    <t xml:space="preserve">22 seats </t>
  </si>
  <si>
    <t xml:space="preserve">22 w.s, 2-3 cabins, 1 conference </t>
  </si>
  <si>
    <r>
      <rPr>
        <rFont val="Roboto"/>
        <b/>
        <color rgb="FF666666"/>
      </rPr>
      <t xml:space="preserve">27 Feb: He said Sakinaka wont work for him because of Traffice, Tried pitching other option in Andheri but his budget is only 2.5 Max for Fully managed space will have to discuss internally if we want to cater to this requirement </t>
    </r>
    <r>
      <rPr>
        <rFont val="Roboto"/>
        <b val="0"/>
        <color rgb="FF666666"/>
      </rPr>
      <t>26th Feb: Spoke he said he will try to visit as he is caught up with something</t>
    </r>
    <r>
      <rPr>
        <rFont val="Roboto"/>
        <b/>
        <color rgb="FF666666"/>
      </rPr>
      <t xml:space="preserve"> </t>
    </r>
    <r>
      <rPr>
        <rFont val="Roboto"/>
        <b val="0"/>
        <color rgb="FF666666"/>
      </rPr>
      <t>13th Feb : ringing dropped a text</t>
    </r>
    <r>
      <rPr>
        <rFont val="Roboto"/>
        <b/>
        <color rgb="FF666666"/>
      </rPr>
      <t xml:space="preserve"> </t>
    </r>
    <r>
      <rPr>
        <rFont val="Roboto"/>
        <b val="0"/>
        <color rgb="FF666666"/>
      </rPr>
      <t>07th Feb: Spoke he said he is not in Mumbai will come next weekend connect then 05th Feb: Spoke. He said he will come down for inspection on saturday and will confirm by tomorrow for the same</t>
    </r>
    <r>
      <rPr>
        <rFont val="Roboto"/>
        <b/>
        <color rgb="FF666666"/>
      </rPr>
      <t xml:space="preserve"> </t>
    </r>
    <r>
      <rPr>
        <rFont val="Roboto"/>
        <b val="0"/>
        <color rgb="FF666666"/>
      </rPr>
      <t>02nd Feb: Spoke. He said will discuss the option of sakinaka because this fits their pocket and will try to visit on Saturday 29th Jan: Spoke. He said curently occupied in other tasks connect on Saturday</t>
    </r>
    <r>
      <rPr>
        <rFont val="Roboto"/>
        <b/>
        <color rgb="FF666666"/>
      </rPr>
      <t xml:space="preserve"> </t>
    </r>
    <r>
      <rPr>
        <rFont val="Roboto"/>
        <b val="0"/>
        <color rgb="FF666666"/>
      </rPr>
      <t>28th Jan : Spoke and pitched the Landmark space, they are not sure whether they want a co working space will check and revert tomorrow. Also pitched Sakinaka, but the client is not looking at sakinaka</t>
    </r>
    <r>
      <rPr>
        <rFont val="Roboto"/>
        <b/>
        <color rgb="FF666666"/>
      </rPr>
      <t xml:space="preserve"> </t>
    </r>
  </si>
  <si>
    <t xml:space="preserve">Vishwannath </t>
  </si>
  <si>
    <t xml:space="preserve">Reddy </t>
  </si>
  <si>
    <t xml:space="preserve">Shriram Automall </t>
  </si>
  <si>
    <t>150 seats</t>
  </si>
  <si>
    <t xml:space="preserve">150 w.s, 5-6 cabins, 1 conference room 6-8 pax, Pantry &amp; washrooms </t>
  </si>
  <si>
    <r>
      <rPr>
        <rFont val="Roboto"/>
        <b/>
        <color rgb="FF666666"/>
      </rPr>
      <t xml:space="preserve">16th Feb: Spoke. He said the requirement is not live for now and has gone on hold, I have recorded that on mail </t>
    </r>
    <r>
      <rPr>
        <rFont val="Roboto"/>
        <b val="0"/>
        <color rgb="FF666666"/>
      </rPr>
      <t>06th Feb: Spoke. I aksed for a meeting as the options are already shared but he said he is not in Mumbai and will come in next week</t>
    </r>
    <r>
      <rPr>
        <rFont val="Roboto"/>
        <b/>
        <color rgb="FF666666"/>
      </rPr>
      <t xml:space="preserve"> </t>
    </r>
    <r>
      <rPr>
        <rFont val="Roboto"/>
        <b val="0"/>
        <color rgb="FF666666"/>
      </rPr>
      <t>05th Feb: Ringing, Dropped a text message</t>
    </r>
    <r>
      <rPr>
        <rFont val="Roboto"/>
        <b/>
        <color rgb="FF666666"/>
      </rPr>
      <t xml:space="preserve"> </t>
    </r>
    <r>
      <rPr>
        <rFont val="Roboto"/>
        <b val="0"/>
        <color rgb="FF666666"/>
      </rPr>
      <t>04th Feb: He has asked me to call tomorrow 02nd Feb: Tried calling him twice no he has not answered. I have dropped a text</t>
    </r>
    <r>
      <rPr>
        <rFont val="Roboto"/>
        <b/>
        <color rgb="FF666666"/>
      </rPr>
      <t xml:space="preserve"> </t>
    </r>
    <r>
      <rPr>
        <rFont val="Roboto"/>
        <b val="0"/>
        <color rgb="FF666666"/>
      </rPr>
      <t xml:space="preserve">31th Jan: We have shared the options 29th Jan: We have to share the options. 28th Jan: Spoke they have the requirement as specified location preferred is Kurla to Andheri, Sent introductory deck also have to share the options </t>
    </r>
  </si>
  <si>
    <t xml:space="preserve">Pravin </t>
  </si>
  <si>
    <t xml:space="preserve">Rohra </t>
  </si>
  <si>
    <t xml:space="preserve">12-14 seats </t>
  </si>
  <si>
    <t xml:space="preserve">12 - 14 w.s and 1 cabin of 4 seats </t>
  </si>
  <si>
    <r>
      <rPr>
        <rFont val="Roboto"/>
        <b/>
        <color rgb="FF666666"/>
      </rPr>
      <t xml:space="preserve">08th Feb: As discussed with Geeta ji the requirement is currently on hold as per thier Managements call </t>
    </r>
    <r>
      <rPr>
        <rFont val="Roboto"/>
        <color rgb="FF666666"/>
      </rPr>
      <t>06th Feb: Spoke to Mukesh ji, he said he will check with his management and let us know by Monday 06th Feb: Shared the First cut layout to mukesh ji &amp; geeta ji on mail</t>
    </r>
    <r>
      <rPr>
        <rFont val="Roboto"/>
        <b/>
        <color rgb="FF666666"/>
      </rPr>
      <t xml:space="preserve"> </t>
    </r>
    <r>
      <rPr>
        <rFont val="Roboto"/>
        <color rgb="FF666666"/>
      </rPr>
      <t>03rd Feb: Mr. Mukesh visited the space and the next steps are to give the mock layout following with commercials and the requirement is 12 w.s (3*2) + 2 cabins on the facade and 1 conference room 02nd Feb: Tried calling both didn't answer, dropped a text. Geeta ji replied saying her collegue Mr. Mukesh will mostly visit the sakinaka space tomorrow.</t>
    </r>
    <r>
      <rPr>
        <rFont val="Roboto"/>
        <b/>
        <color rgb="FF666666"/>
      </rPr>
      <t xml:space="preserve"> </t>
    </r>
    <r>
      <rPr>
        <rFont val="Roboto"/>
        <color rgb="FF666666"/>
      </rPr>
      <t xml:space="preserve"> 29th Jan: Spoke. Pravin ji gave the call to Geeta ji, I have pitched Sakinaka, sent an introducion mail with the space details and images. 28th Jan: Ringing, dropped a text</t>
    </r>
  </si>
  <si>
    <t xml:space="preserve">Supriya </t>
  </si>
  <si>
    <t xml:space="preserve">Rao </t>
  </si>
  <si>
    <t xml:space="preserve">Fundly </t>
  </si>
  <si>
    <t>45 seats</t>
  </si>
  <si>
    <t xml:space="preserve">45 w.s, 2 cabins, 1 conference room, Pantry and washrooms </t>
  </si>
  <si>
    <t xml:space="preserve">31st May </t>
  </si>
  <si>
    <r>
      <rPr>
        <rFont val="Roboto"/>
        <b/>
        <color rgb="FF666666"/>
      </rPr>
      <t xml:space="preserve">15 March: They have hold the Requirement as of now because of War situation </t>
    </r>
    <r>
      <rPr>
        <rFont val="Roboto"/>
        <b val="0"/>
        <color rgb="FF666666"/>
      </rPr>
      <t>13 March: She said she is in a meeting and the senior is not yet here in Mumbai 10 March: Spoke. She said the Senior Admin has not returned yet touch base on next week 06 March: Busy on another call dropped a text Spoke she said her senior admin is not in town and will be back on Next week touch base then</t>
    </r>
    <r>
      <rPr>
        <rFont val="Roboto"/>
        <b/>
        <color rgb="FF666666"/>
      </rPr>
      <t xml:space="preserve"> </t>
    </r>
    <r>
      <rPr>
        <rFont val="Roboto"/>
        <b val="0"/>
        <color rgb="FF666666"/>
      </rPr>
      <t>05 March : Ringing, dropped a text</t>
    </r>
    <r>
      <rPr>
        <rFont val="Roboto"/>
        <b/>
        <color rgb="FF666666"/>
      </rPr>
      <t xml:space="preserve"> </t>
    </r>
    <r>
      <rPr>
        <rFont val="Roboto"/>
        <b val="0"/>
        <color rgb="FF666666"/>
      </rPr>
      <t>04 March: Ringing, dropped a text I have sent a followup mail</t>
    </r>
    <r>
      <rPr>
        <rFont val="Roboto"/>
        <b/>
        <color rgb="FF666666"/>
      </rPr>
      <t xml:space="preserve"> </t>
    </r>
    <r>
      <rPr>
        <rFont val="Roboto"/>
        <b val="0"/>
        <color rgb="FF666666"/>
      </rPr>
      <t>02 March: Ringing, Dropped a text</t>
    </r>
    <r>
      <rPr>
        <rFont val="Roboto"/>
        <b/>
        <color rgb="FF666666"/>
      </rPr>
      <t xml:space="preserve"> </t>
    </r>
    <r>
      <rPr>
        <rFont val="Roboto"/>
        <b val="0"/>
        <color rgb="FF666666"/>
      </rPr>
      <t>27 Feb: Ringing, dropped a text. She called back and said the requirement is still live and I strongly Pitched Landmark, she is open to see the unit but their budget is 12k per seat. I have asked for a meeting and she mentioned Touch base on Wednesday 16th Feb: Ringing, dropped a Text</t>
    </r>
    <r>
      <rPr>
        <rFont val="Roboto"/>
        <b/>
        <color rgb="FF666666"/>
      </rPr>
      <t xml:space="preserve"> </t>
    </r>
    <r>
      <rPr>
        <rFont val="Roboto"/>
        <b val="0"/>
        <color rgb="FF666666"/>
      </rPr>
      <t>13th Feb: Ringing dropped a text 10th Feb: Ringing Dropped a Text. 06th Feb: Spoke. She said I had check that what will be the commercials for the same, I asked her to visit. She said she will try to visit on Monday</t>
    </r>
    <r>
      <rPr>
        <rFont val="Roboto"/>
        <b/>
        <color rgb="FF666666"/>
      </rPr>
      <t xml:space="preserve"> </t>
    </r>
    <r>
      <rPr>
        <rFont val="Roboto"/>
        <b val="0"/>
        <color rgb="FF666666"/>
      </rPr>
      <t>05th Feb: Ringing, dropped a text 04th Feb: Ringing, Didn't answer my call will call tomorrow again</t>
    </r>
    <r>
      <rPr>
        <rFont val="Roboto"/>
        <b/>
        <color rgb="FF666666"/>
      </rPr>
      <t xml:space="preserve"> </t>
    </r>
    <r>
      <rPr>
        <rFont val="Roboto"/>
        <b val="0"/>
        <color rgb="FF666666"/>
      </rPr>
      <t>02nd Feb: Spoke. She is occupied today asked me to call tomorow.</t>
    </r>
    <r>
      <rPr>
        <rFont val="Roboto"/>
        <b/>
        <color rgb="FF666666"/>
      </rPr>
      <t xml:space="preserve"> </t>
    </r>
    <r>
      <rPr>
        <rFont val="Roboto"/>
        <b val="0"/>
        <color rgb="FF666666"/>
      </rPr>
      <t>30th Jan: Shared the details of Landmark over mail</t>
    </r>
    <r>
      <rPr>
        <rFont val="Roboto"/>
        <b/>
        <color rgb="FF666666"/>
      </rPr>
      <t xml:space="preserve"> </t>
    </r>
    <r>
      <rPr>
        <rFont val="Roboto"/>
        <b val="0"/>
        <color rgb="FF666666"/>
      </rPr>
      <t>29th Jan: Spoke. They Need 45 w.s. 2 cabins and 10 seater conference room. I have pitched and shared the images of Landmark. They are currently at wework Marol and are paying Rs. 20,000 per seat and their lease expires on May 31.</t>
    </r>
  </si>
  <si>
    <t>Bagve</t>
  </si>
  <si>
    <t>Edelwises capital NBFC</t>
  </si>
  <si>
    <t xml:space="preserve">4 seats </t>
  </si>
  <si>
    <t xml:space="preserve">4 seater cabin </t>
  </si>
  <si>
    <r>
      <rPr>
        <rFont val="Roboto"/>
        <b/>
        <color rgb="FF666666"/>
      </rPr>
      <t xml:space="preserve">04th Feb: Tried calling him for a follow up, didn't answer dropped a text </t>
    </r>
    <r>
      <rPr>
        <rFont val="Roboto"/>
        <b val="0"/>
        <color rgb="FF666666"/>
      </rPr>
      <t>02nd Feb: Spoke. Looking for a 4 seater cabin space, Pitced Sakinaka doesn't work for him. Pitched Landmark. Move in timeline 2 months 31st Jan: Tried Calling didn't Answer dropped a Text.</t>
    </r>
    <r>
      <rPr>
        <rFont val="Roboto"/>
        <b/>
        <color rgb="FF666666"/>
      </rPr>
      <t xml:space="preserve"> </t>
    </r>
    <r>
      <rPr>
        <rFont val="Roboto"/>
        <b val="0"/>
        <color rgb="FF666666"/>
      </rPr>
      <t>29th Jan: Ringing, Dropped a Voice note and a text over WP</t>
    </r>
  </si>
  <si>
    <t xml:space="preserve">Abhijeet </t>
  </si>
  <si>
    <t xml:space="preserve">Morey </t>
  </si>
  <si>
    <t xml:space="preserve">Voltas </t>
  </si>
  <si>
    <r>
      <rPr>
        <rFont val="Roboto"/>
        <b/>
        <color rgb="FF666666"/>
      </rPr>
      <t xml:space="preserve">10th March: Ringing, dropped a text </t>
    </r>
    <r>
      <rPr>
        <rFont val="Roboto"/>
        <b val="0"/>
        <color rgb="FF666666"/>
      </rPr>
      <t>06th Feb: Spoke. He said currently the requirement is on hold</t>
    </r>
    <r>
      <rPr>
        <rFont val="Roboto"/>
        <b/>
        <color rgb="FF666666"/>
      </rPr>
      <t xml:space="preserve"> </t>
    </r>
    <r>
      <rPr>
        <rFont val="Roboto"/>
        <b val="0"/>
        <color rgb="FF666666"/>
      </rPr>
      <t>04th Feb: Ringing, Dropped a text</t>
    </r>
    <r>
      <rPr>
        <rFont val="Roboto"/>
        <b/>
        <color rgb="FF666666"/>
      </rPr>
      <t xml:space="preserve"> </t>
    </r>
    <r>
      <rPr>
        <rFont val="Roboto"/>
        <b val="0"/>
        <color rgb="FF666666"/>
      </rPr>
      <t>02nd Feb: Ringing. Dropped a Text</t>
    </r>
    <r>
      <rPr>
        <rFont val="Roboto"/>
        <b/>
        <color rgb="FF666666"/>
      </rPr>
      <t xml:space="preserve">  </t>
    </r>
    <r>
      <rPr>
        <rFont val="Roboto"/>
        <b val="0"/>
        <color rgb="FF666666"/>
      </rPr>
      <t>31st Jan: Ringing Dropped a Text 29th Jan: Busy on call. Dropped a Text</t>
    </r>
  </si>
  <si>
    <t xml:space="preserve">Dollarose </t>
  </si>
  <si>
    <t>Vaz</t>
  </si>
  <si>
    <t xml:space="preserve"> Drip Capital</t>
  </si>
  <si>
    <t>100 w.s, 2 cabins of 4 seater each</t>
  </si>
  <si>
    <t xml:space="preserve">Need a shared space </t>
  </si>
  <si>
    <t>Move in Time ASAP</t>
  </si>
  <si>
    <r>
      <rPr>
        <rFont val="Roboto"/>
        <b/>
        <color rgb="FF666666"/>
      </rPr>
      <t xml:space="preserve">Requirement on hold 13 MArch: I have replied to mail saying Rs. 18.750 per seat number </t>
    </r>
    <r>
      <rPr>
        <rFont val="Roboto"/>
        <b val="0"/>
        <color rgb="FF666666"/>
      </rPr>
      <t>12 March: She has reverted with the mail saying her budget is 17-18k Per seat only for SCP Give commercials basis that</t>
    </r>
    <r>
      <rPr>
        <rFont val="Roboto"/>
        <b/>
        <color rgb="FF666666"/>
      </rPr>
      <t xml:space="preserve"> </t>
    </r>
    <r>
      <rPr>
        <rFont val="Roboto"/>
        <b val="0"/>
        <color rgb="FF666666"/>
      </rPr>
      <t>10 March: Mehul sir Spoke to her yesterday and made a few changes in the layout which will now be made by Diwakar</t>
    </r>
    <r>
      <rPr>
        <rFont val="Roboto"/>
        <b/>
        <color rgb="FF666666"/>
      </rPr>
      <t xml:space="preserve"> </t>
    </r>
    <r>
      <rPr>
        <rFont val="Roboto"/>
        <b val="0"/>
        <color rgb="FF666666"/>
      </rPr>
      <t>07 March: We shared the commercial deck with her over mail which she find to costly.</t>
    </r>
    <r>
      <rPr>
        <rFont val="Roboto"/>
        <b/>
        <color rgb="FF666666"/>
      </rPr>
      <t xml:space="preserve"> </t>
    </r>
    <r>
      <rPr>
        <rFont val="Roboto"/>
        <b val="0"/>
        <color rgb="FF666666"/>
      </rPr>
      <t>05 March: Met her team and shared the MOM we have to share all the commercials and 3D's and 2D's</t>
    </r>
    <r>
      <rPr>
        <rFont val="Roboto"/>
        <b/>
        <color rgb="FF666666"/>
      </rPr>
      <t xml:space="preserve"> </t>
    </r>
    <r>
      <rPr>
        <rFont val="Roboto"/>
        <b val="0"/>
        <color rgb="FF666666"/>
      </rPr>
      <t>02 March: Meeting her on Thursday 12pm in their office to showcase our 3D</t>
    </r>
    <r>
      <rPr>
        <rFont val="Roboto"/>
        <b/>
        <color rgb="FF666666"/>
      </rPr>
      <t xml:space="preserve"> </t>
    </r>
    <r>
      <rPr>
        <rFont val="Roboto"/>
        <b val="0"/>
        <color rgb="FF666666"/>
      </rPr>
      <t>27 Feb: She Replied saying She will confirm the Meeting on Monday for Wednesday 26 Feb: We have sent Landmark and SCP Layout over mail and Asked for meeting for Monday</t>
    </r>
    <r>
      <rPr>
        <rFont val="Roboto"/>
        <b/>
        <color rgb="FF666666"/>
      </rPr>
      <t xml:space="preserve"> </t>
    </r>
    <r>
      <rPr>
        <rFont val="Roboto"/>
        <b val="0"/>
        <color rgb="FF666666"/>
      </rPr>
      <t>17th Feb: Ringing, Texted her asking can we line up inspection for tomorrow. She Replied on Text saying we can do the site inspection on Friday at 3pm 16th Feb: Ringing, Dropped a text she repied saying need 1-2 days more as the Admin Has just joined back today and will plan visit in 1-2 days 09th Feb: Spoke. She said their Admin Manager is on leave and will return in Next week touch base then</t>
    </r>
    <r>
      <rPr>
        <rFont val="Roboto"/>
        <b/>
        <color rgb="FF666666"/>
      </rPr>
      <t xml:space="preserve">  </t>
    </r>
    <r>
      <rPr>
        <rFont val="Roboto"/>
        <b val="0"/>
        <color rgb="FF666666"/>
      </rPr>
      <t>08th Feb: Ringing, Dropped a Text</t>
    </r>
    <r>
      <rPr>
        <rFont val="Roboto"/>
        <b/>
        <color rgb="FF666666"/>
      </rPr>
      <t xml:space="preserve"> </t>
    </r>
    <r>
      <rPr>
        <rFont val="Roboto"/>
        <b val="0"/>
        <color rgb="FF666666"/>
      </rPr>
      <t>06th Feb: Ringing, Dropped a text</t>
    </r>
    <r>
      <rPr>
        <rFont val="Roboto"/>
        <b/>
        <color rgb="FF666666"/>
      </rPr>
      <t xml:space="preserve"> </t>
    </r>
    <r>
      <rPr>
        <rFont val="Roboto"/>
        <b val="0"/>
        <color rgb="FF666666"/>
      </rPr>
      <t>05th Feb: Sent the intorductory deck and share the options as well</t>
    </r>
    <r>
      <rPr>
        <rFont val="Roboto"/>
        <b/>
        <color rgb="FF666666"/>
      </rPr>
      <t xml:space="preserve"> </t>
    </r>
    <r>
      <rPr>
        <rFont val="Roboto"/>
        <b val="0"/>
        <color rgb="FF666666"/>
      </rPr>
      <t>04th Feb: She shared me a brief requirement and was caught up wit some work asked me to call tomorrow in the morning</t>
    </r>
    <r>
      <rPr>
        <rFont val="Roboto"/>
        <b/>
        <color rgb="FF666666"/>
      </rPr>
      <t xml:space="preserve"> </t>
    </r>
    <r>
      <rPr>
        <rFont val="Roboto"/>
        <b val="0"/>
        <color rgb="FF666666"/>
      </rPr>
      <t>02nd Feb: She said she is in a meeting and will call back in an hour</t>
    </r>
    <r>
      <rPr>
        <rFont val="Roboto"/>
        <b/>
        <color rgb="FF666666"/>
      </rPr>
      <t xml:space="preserve"> </t>
    </r>
    <r>
      <rPr>
        <rFont val="Roboto"/>
        <b val="0"/>
        <color rgb="FF666666"/>
      </rPr>
      <t>31st Jan: Tried Calling Didn't answer will</t>
    </r>
    <r>
      <rPr>
        <rFont val="Roboto"/>
        <b/>
        <color rgb="FF666666"/>
      </rPr>
      <t xml:space="preserve"> </t>
    </r>
    <r>
      <rPr>
        <rFont val="Roboto"/>
        <b val="0"/>
        <color rgb="FF666666"/>
      </rPr>
      <t>drop a text 30th Jan: Saniel Sir tried calling you but didn't answer</t>
    </r>
  </si>
  <si>
    <t xml:space="preserve">Dipti </t>
  </si>
  <si>
    <t xml:space="preserve">Chitale </t>
  </si>
  <si>
    <t xml:space="preserve">Mechlai Financial Solutions LTD </t>
  </si>
  <si>
    <t>40 seats</t>
  </si>
  <si>
    <t xml:space="preserve">35 - 40w.s , 4 small cabins, 1 meeing rooo 4-6 seater  </t>
  </si>
  <si>
    <r>
      <rPr>
        <rFont val="Roboto"/>
        <b/>
        <color rgb="FF666666"/>
      </rPr>
      <t xml:space="preserve">25 Feb: Spoke to Hemant he said the requirement is currently on Hold and are continuing in Colaba itself also Tried reaching out to Dipti Ma'am she disconnected the call </t>
    </r>
    <r>
      <rPr>
        <rFont val="Roboto"/>
        <b val="0"/>
        <color rgb="FF666666"/>
      </rPr>
      <t>20 Feb: Dipti disconnected my call and Hemant said will have to check with Dipti ma'am, I have pitched for as is where is Sakinaka 19 Feb: Tried calling Hemant and Dipti Both didn't answer the call</t>
    </r>
    <r>
      <rPr>
        <rFont val="Roboto"/>
        <b/>
        <color rgb="FF666666"/>
      </rPr>
      <t xml:space="preserve"> </t>
    </r>
    <r>
      <rPr>
        <rFont val="Roboto"/>
        <b val="0"/>
        <color rgb="FF666666"/>
      </rPr>
      <t>17 Feb: Ringing, Dropped a text</t>
    </r>
    <r>
      <rPr>
        <rFont val="Roboto"/>
        <b/>
        <color rgb="FF666666"/>
      </rPr>
      <t xml:space="preserve"> </t>
    </r>
    <r>
      <rPr>
        <rFont val="Roboto"/>
        <b val="0"/>
        <color rgb="FF666666"/>
      </rPr>
      <t>16th Feb: Spoke to Hemant and dipti both they said their budget is max 3.5 lakhs which is the top that they can go upto as we shared the layout for landmark for their requirement as well, discuss this with the team</t>
    </r>
    <r>
      <rPr>
        <rFont val="Roboto"/>
        <b/>
        <color rgb="FF666666"/>
      </rPr>
      <t xml:space="preserve"> </t>
    </r>
    <r>
      <rPr>
        <rFont val="Roboto"/>
        <b val="0"/>
        <color rgb="FF666666"/>
      </rPr>
      <t>9th Feb: Shared the inventory on mail and asked Hemant ji to visit he said he is busy and will need the layout first 06th Feb: Spoke. The requirement doesn't fit in the Sakinaka space the option of Landmark over mail and asked team to create mock layout 04th Feb: Mr. Hemant from Admin team Visited the space of sakinaka. Liked the space we have to give mock layouts as per the rquirement brief</t>
    </r>
    <r>
      <rPr>
        <rFont val="Roboto"/>
        <b/>
        <color rgb="FF666666"/>
      </rPr>
      <t xml:space="preserve"> </t>
    </r>
    <r>
      <rPr>
        <rFont val="Roboto"/>
        <b val="0"/>
        <color rgb="FF666666"/>
      </rPr>
      <t xml:space="preserve">02nd Feb: Tried calling didn't answer the call, will call aain in sometime. Dropped a Text over Wp. Spoke she has asked me to share the details of Sakinaka and landmark. </t>
    </r>
  </si>
  <si>
    <t xml:space="preserve">Nishika </t>
  </si>
  <si>
    <t xml:space="preserve">Ghoda </t>
  </si>
  <si>
    <t>02nd Feb: She said has dropped the plan and continuing in their space.</t>
  </si>
  <si>
    <t xml:space="preserve">Rajinder </t>
  </si>
  <si>
    <t xml:space="preserve">Sethi </t>
  </si>
  <si>
    <t>Silverline clearing and forwarding agency</t>
  </si>
  <si>
    <r>
      <rPr>
        <rFont val="Roboto"/>
        <b/>
        <color rgb="FF666666"/>
      </rPr>
      <t xml:space="preserve">18 Feb: He said the requirement is closed </t>
    </r>
    <r>
      <rPr>
        <rFont val="Roboto"/>
        <b val="0"/>
        <color rgb="FF666666"/>
      </rPr>
      <t>16th Feb: Ringing dropped a text 13th Feb: Ringing, dropped a text</t>
    </r>
    <r>
      <rPr>
        <rFont val="Roboto"/>
        <b/>
        <color rgb="FF666666"/>
      </rPr>
      <t xml:space="preserve"> </t>
    </r>
    <r>
      <rPr>
        <rFont val="Roboto"/>
        <b val="0"/>
        <color rgb="FF666666"/>
      </rPr>
      <t>09th Feb: Tried calling, didn;t answer dropped a text</t>
    </r>
    <r>
      <rPr>
        <rFont val="Roboto"/>
        <b/>
        <color rgb="FF666666"/>
      </rPr>
      <t xml:space="preserve"> </t>
    </r>
    <r>
      <rPr>
        <rFont val="Roboto"/>
        <b val="0"/>
        <color rgb="FF666666"/>
      </rPr>
      <t>06th Feb: Ringing, dropped a Text</t>
    </r>
    <r>
      <rPr>
        <rFont val="Roboto"/>
        <b/>
        <color rgb="FF666666"/>
      </rPr>
      <t xml:space="preserve"> </t>
    </r>
    <r>
      <rPr>
        <rFont val="Roboto"/>
        <b val="0"/>
        <color rgb="FF666666"/>
      </rPr>
      <t xml:space="preserve">04th Feb: Ringing, Dropped a Text 02nd Feb: Busy on another call, will call back in sometime and I have dropped a text. </t>
    </r>
  </si>
  <si>
    <t xml:space="preserve">Sukanya </t>
  </si>
  <si>
    <t xml:space="preserve">Pange </t>
  </si>
  <si>
    <t xml:space="preserve">R k Sarang &amp; co </t>
  </si>
  <si>
    <t xml:space="preserve">20 w.s, 1 cabin, 1 car park </t>
  </si>
  <si>
    <t xml:space="preserve">Move-in Timeline 3-6 months </t>
  </si>
  <si>
    <r>
      <rPr>
        <rFont val="Roboto"/>
        <b/>
        <color rgb="FF666666"/>
      </rPr>
      <t xml:space="preserve">10 March: Ringing, Dropped a Text </t>
    </r>
    <r>
      <rPr>
        <rFont val="Roboto"/>
        <b val="0"/>
        <color rgb="FF666666"/>
      </rPr>
      <t>06 March: Ringing, Dropped a Text 02nd MArch: Ringing, Dropped a Text 27 Feb: Ringing, Message Dropped 23rd Feb: Ringing dropped a Text 17th Feb: Ringing, Dropped a text 13th feb: Ringing, Dropped a text 06th Feb: Ringing, Dropped a Text</t>
    </r>
    <r>
      <rPr>
        <rFont val="Roboto"/>
        <b/>
        <color rgb="FF666666"/>
      </rPr>
      <t xml:space="preserve"> </t>
    </r>
    <r>
      <rPr>
        <rFont val="Roboto"/>
        <b val="0"/>
        <color rgb="FF666666"/>
      </rPr>
      <t xml:space="preserve">04th Feb: Spoke. Shared the requirement. I have pitched and shared the details of Sakinaka. </t>
    </r>
  </si>
  <si>
    <t>Niklilesh</t>
  </si>
  <si>
    <t xml:space="preserve">Mishra </t>
  </si>
  <si>
    <t xml:space="preserve">04th Feb: He just kept the call saying. Already finalized somewhere else </t>
  </si>
  <si>
    <t xml:space="preserve">Farhan </t>
  </si>
  <si>
    <t xml:space="preserve">Khan </t>
  </si>
  <si>
    <t>Alchemist Talent &amp; marketing soltuions</t>
  </si>
  <si>
    <t xml:space="preserve">150 seats </t>
  </si>
  <si>
    <t xml:space="preserve">150 w.s, 5 boss cabin, 2 conference room (15-20 seats and 10-12 seats), 2-3 small 4 seater meeting rooms and Pantry, washrooms </t>
  </si>
  <si>
    <r>
      <rPr>
        <rFont val="Roboto"/>
        <b/>
        <color rgb="FF666666"/>
      </rPr>
      <t xml:space="preserve">10 March: Spoke he said the reuriement is still on hold </t>
    </r>
    <r>
      <rPr>
        <rFont val="Roboto"/>
        <b val="0"/>
        <color rgb="FF666666"/>
      </rPr>
      <t>09th Feb: He said the requirment is currently on hold as per his management descision. I have recorded the same on mail</t>
    </r>
    <r>
      <rPr>
        <rFont val="Roboto"/>
        <b/>
        <color rgb="FF666666"/>
      </rPr>
      <t xml:space="preserve"> </t>
    </r>
    <r>
      <rPr>
        <rFont val="Roboto"/>
        <b val="0"/>
        <color rgb="FF666666"/>
      </rPr>
      <t xml:space="preserve">06th Feb: Tried calling him twice, didn't answer, dropped a Text 05th Feb: Tried calling didn't answer dropped a Text 04th Feb: Spoke. He shared the requirement brief. I have proposed few options on call as well. Current office is in Kanakia zillion. Looking for options on in Andheri kurla Road. I have shared the introductory deck and the first cut inventory options over mail </t>
    </r>
  </si>
  <si>
    <t xml:space="preserve">Dikesh </t>
  </si>
  <si>
    <t xml:space="preserve">Darge </t>
  </si>
  <si>
    <t>SD Expresslink PVT LTD</t>
  </si>
  <si>
    <t xml:space="preserve">7-8 seats </t>
  </si>
  <si>
    <t xml:space="preserve">7-8 w.s, 1 cabin </t>
  </si>
  <si>
    <t xml:space="preserve">Can give 1 year lockin </t>
  </si>
  <si>
    <r>
      <rPr>
        <rFont val="Roboto"/>
        <b/>
        <color rgb="FF666666"/>
      </rPr>
      <t xml:space="preserve">06 March: He said he Already took a space in Sakinaka conventional at 20k rentals </t>
    </r>
    <r>
      <rPr>
        <rFont val="Roboto"/>
        <b val="0"/>
        <color rgb="FF666666"/>
      </rPr>
      <t>04 March: Ringing, Dropped a text</t>
    </r>
    <r>
      <rPr>
        <rFont val="Roboto"/>
        <b/>
        <color rgb="FF666666"/>
      </rPr>
      <t xml:space="preserve"> </t>
    </r>
    <r>
      <rPr>
        <rFont val="Roboto"/>
        <b val="0"/>
        <color rgb="FF666666"/>
      </rPr>
      <t>27 Feb: Switched off, Dropped a text</t>
    </r>
    <r>
      <rPr>
        <rFont val="Roboto"/>
        <b/>
        <color rgb="FF666666"/>
      </rPr>
      <t xml:space="preserve"> </t>
    </r>
    <r>
      <rPr>
        <rFont val="Roboto"/>
        <b val="0"/>
        <color rgb="FF666666"/>
      </rPr>
      <t>25 Feb: Switched off, dropped a Text 20 Feb: Ringing Dropped a text. 17 Feb: He didn't answer, Dropped a text. 16th Feb: Tried calling he said he is busy and call tomorrow</t>
    </r>
    <r>
      <rPr>
        <rFont val="Roboto"/>
        <b/>
        <color rgb="FF666666"/>
      </rPr>
      <t xml:space="preserve"> </t>
    </r>
    <r>
      <rPr>
        <rFont val="Roboto"/>
        <b val="0"/>
        <color rgb="FF666666"/>
      </rPr>
      <t xml:space="preserve">06th Feb: Busy on another call, Texted him 05th Feb: Spoke. He has shared the requirement brief, I have pitched and shared the details of Sakinaka over whatsapp </t>
    </r>
  </si>
  <si>
    <t>Bupen</t>
  </si>
  <si>
    <t xml:space="preserve">Gokani </t>
  </si>
  <si>
    <t xml:space="preserve">EDifice Medical Technologies </t>
  </si>
  <si>
    <r>
      <rPr>
        <rFont val="Roboto"/>
        <b/>
        <color rgb="FF666666"/>
      </rPr>
      <t xml:space="preserve">10 March: Ringing, Dropped a Text </t>
    </r>
    <r>
      <rPr>
        <rFont val="Roboto"/>
        <b val="0"/>
        <color rgb="FF666666"/>
      </rPr>
      <t>06 March: Ringing, Dropped a Text 02nd MArch: Ringing, Dropped a Text 27 Feb: Ringing, Dropped a Text</t>
    </r>
    <r>
      <rPr>
        <rFont val="Roboto"/>
        <b/>
        <color rgb="FF666666"/>
      </rPr>
      <t xml:space="preserve"> </t>
    </r>
    <r>
      <rPr>
        <rFont val="Roboto"/>
        <b val="0"/>
        <color rgb="FF666666"/>
      </rPr>
      <t>23 Feb: Ringing, Dropped a Text 19 Feb: Ringing, Dropped a Text 13 Feb: Ringing, Dropped a Text 06th Feb: Tried Calling Today, Didn't answer Dropped a Text 05th Feb: Ringing, Dropped a Text</t>
    </r>
    <r>
      <rPr>
        <rFont val="Roboto"/>
        <b/>
        <color rgb="FF666666"/>
      </rPr>
      <t xml:space="preserve"> </t>
    </r>
    <r>
      <rPr>
        <rFont val="Roboto"/>
        <b val="0"/>
        <color rgb="FF666666"/>
      </rPr>
      <t>05th Feb: Spoke, He is in a meeting asked me to Text on wp</t>
    </r>
  </si>
  <si>
    <t xml:space="preserve">Piyush </t>
  </si>
  <si>
    <t xml:space="preserve">Yes Madam </t>
  </si>
  <si>
    <r>
      <rPr>
        <rFont val="Roboto"/>
        <b/>
        <color rgb="FF666666"/>
      </rPr>
      <t>10 March: Ringing, Dropped a Text 0</t>
    </r>
    <r>
      <rPr>
        <rFont val="Roboto"/>
        <b val="0"/>
        <color rgb="FF666666"/>
      </rPr>
      <t>6 March: Ringing, Dropped a Text 02nd MArch: Ringing, Dropped a Text 27 Feb: Ringing, Dropped a Text 23 Feb: Ringing, Dropped a Text 19 Feb: Ringing, Dropped a Text 13 Feb: Ringing, Dropped a Text 06th Feb: Tried Calling Today, Didn't answer Dropped a Text</t>
    </r>
    <r>
      <rPr>
        <rFont val="Roboto"/>
        <b/>
        <color rgb="FF666666"/>
      </rPr>
      <t xml:space="preserve"> </t>
    </r>
    <r>
      <rPr>
        <rFont val="Roboto"/>
        <b val="0"/>
        <color rgb="FF666666"/>
      </rPr>
      <t>05th Feb: Ringing, Dropped a Text</t>
    </r>
  </si>
  <si>
    <t xml:space="preserve">Mayuresh </t>
  </si>
  <si>
    <t xml:space="preserve">Kamat </t>
  </si>
  <si>
    <t xml:space="preserve">Dart Global </t>
  </si>
  <si>
    <r>
      <rPr>
        <rFont val="Roboto"/>
        <b/>
        <color rgb="FF666666"/>
      </rPr>
      <t>10 March: Ringing, Dropped a Text</t>
    </r>
    <r>
      <rPr>
        <rFont val="Roboto"/>
        <b val="0"/>
        <color rgb="FF666666"/>
      </rPr>
      <t xml:space="preserve"> 06 March: Ringing, Dropped a Text 02nd MArch: Ringing, Dropped a Text 27 Feb: Ringing, Dropped a voice note and Text  23 Feb: Ringing, Dropped a Text 19 Feb: Ringing, Dropped a Text 13 Feb: Ringing, Dropped a Tex t07th Feb: Didn't answer my call, dropped a text</t>
    </r>
  </si>
  <si>
    <t xml:space="preserve">Joshi </t>
  </si>
  <si>
    <t>East Consultancy Pvt Ltd</t>
  </si>
  <si>
    <t xml:space="preserve">2-3 seats enclosed </t>
  </si>
  <si>
    <r>
      <rPr>
        <rFont val="Roboto"/>
        <b/>
        <color rgb="FF666666"/>
      </rPr>
      <t>10 March : Ringing, Dropped a Text</t>
    </r>
    <r>
      <rPr>
        <rFont val="Roboto"/>
        <b val="0"/>
        <color rgb="FF666666"/>
      </rPr>
      <t xml:space="preserve"> 06 March: Ringing, Dropped a Text 02nd March: Ringing, Dropped a Text 27 Feb: Ringing, Dropped a Text 23 Feb: Ringing, Didn't answer 19 feb: Ringing, Dropped a Text</t>
    </r>
    <r>
      <rPr>
        <rFont val="Roboto"/>
        <b/>
        <color rgb="FF666666"/>
      </rPr>
      <t xml:space="preserve"> 1</t>
    </r>
    <r>
      <rPr>
        <rFont val="Roboto"/>
        <b val="0"/>
        <color rgb="FF666666"/>
      </rPr>
      <t xml:space="preserve">6 feb: Ringing, did not answer 12 feb: Spoke and shaed the details of sakinaka 07th Feb: Disconnected my call dropped a Text </t>
    </r>
  </si>
  <si>
    <t xml:space="preserve">Mahesh </t>
  </si>
  <si>
    <t xml:space="preserve">Mhatre </t>
  </si>
  <si>
    <t>07th Feb: He said I am not at all looking for a space DND</t>
  </si>
  <si>
    <t>Nilesh</t>
  </si>
  <si>
    <t xml:space="preserve">3 w.s enclosed </t>
  </si>
  <si>
    <r>
      <rPr>
        <rFont val="Roboto"/>
        <b/>
        <color rgb="FF666666"/>
      </rPr>
      <t xml:space="preserve">09 Feb: He said the requirement is no longer live due to budget issues </t>
    </r>
    <r>
      <rPr>
        <rFont val="Roboto"/>
        <b val="0"/>
        <color rgb="FF666666"/>
      </rPr>
      <t>07th Feb: Spoke he wants 3 seats and the budget is Rs. 4000 to 5000 per seat only. Shared the details over Whatsapp of sakinaka</t>
    </r>
  </si>
  <si>
    <t xml:space="preserve">Gl Security Pvt Ltd </t>
  </si>
  <si>
    <t xml:space="preserve">25 w.s and 1 cabin </t>
  </si>
  <si>
    <r>
      <rPr>
        <rFont val="Roboto"/>
        <b/>
        <color rgb="FF666666"/>
      </rPr>
      <t>10 March: Spoke he said busy in a meeting will call back</t>
    </r>
    <r>
      <rPr>
        <rFont val="Roboto"/>
        <b val="0"/>
        <color rgb="FF666666"/>
      </rPr>
      <t xml:space="preserve">  06 March: Ringing, dropped a text 02nd MArch : Ringing, dropped a text 27 Feb: Ringing, Message dropped 23rd Feb:Ringing, Dropped a text16th Feb: Ringing, Dropped a text</t>
    </r>
    <r>
      <rPr>
        <rFont val="Roboto"/>
        <b/>
        <color rgb="FF666666"/>
      </rPr>
      <t xml:space="preserve"> </t>
    </r>
    <r>
      <rPr>
        <rFont val="Roboto"/>
        <b val="0"/>
        <color rgb="FF666666"/>
      </rPr>
      <t>11th Feb : Tried calling did not answer the call</t>
    </r>
    <r>
      <rPr>
        <rFont val="Roboto"/>
        <b/>
        <color rgb="FF666666"/>
      </rPr>
      <t xml:space="preserve"> </t>
    </r>
    <r>
      <rPr>
        <rFont val="Roboto"/>
        <b val="0"/>
        <color rgb="FF666666"/>
      </rPr>
      <t>07th Feb: Spoke He said thier first prefernce is not sharing the space but then too he asked for the details. Shared the same over wp</t>
    </r>
  </si>
  <si>
    <t xml:space="preserve">Rohit </t>
  </si>
  <si>
    <t xml:space="preserve">Dalvi </t>
  </si>
  <si>
    <r>
      <rPr>
        <rFont val="Roboto"/>
        <b/>
        <color rgb="FF666666"/>
      </rPr>
      <t xml:space="preserve">09 feb: He is not looking for space </t>
    </r>
    <r>
      <rPr>
        <rFont val="Roboto"/>
        <b val="0"/>
        <color rgb="FF666666"/>
      </rPr>
      <t xml:space="preserve">07th Feb: Asked me to call on monday </t>
    </r>
  </si>
  <si>
    <t xml:space="preserve">Vikram </t>
  </si>
  <si>
    <r>
      <rPr>
        <rFont val="Roboto"/>
        <b/>
        <color rgb="FF666666"/>
      </rPr>
      <t>10 MArch: Spoke he is not looking for any space and kept the call</t>
    </r>
    <r>
      <rPr>
        <rFont val="Roboto"/>
        <b val="0"/>
        <color rgb="FF666666"/>
      </rPr>
      <t xml:space="preserve"> 06 March: Ringing, dropped a text 02nd March: Ringing, dropped a text 27 Feb: Ringing, Dropped a Text</t>
    </r>
    <r>
      <rPr>
        <rFont val="Roboto"/>
        <b/>
        <color rgb="FF666666"/>
      </rPr>
      <t xml:space="preserve"> </t>
    </r>
    <r>
      <rPr>
        <rFont val="Roboto"/>
        <b val="0"/>
        <color rgb="FF666666"/>
      </rPr>
      <t xml:space="preserve">19 Feb:  Ringing, Dropped a Text13th Feb : Ringing, dropped a text 09 feb: called by shravani Didn't answer 07th Feb: Disconnected my call dropped a Text </t>
    </r>
  </si>
  <si>
    <r>
      <rPr>
        <rFont val="Roboto"/>
        <b/>
        <color rgb="FF666666"/>
      </rPr>
      <t>10 MArch: Ringing, dropped a text and voice note</t>
    </r>
    <r>
      <rPr>
        <rFont val="Roboto"/>
        <b val="0"/>
        <color rgb="FF666666"/>
      </rPr>
      <t xml:space="preserve"> 06 March : Ringing, dropped a text 02nd March: Riging, dropped a Text  27 Feb: Ringing, Dropped a Text</t>
    </r>
    <r>
      <rPr>
        <rFont val="Roboto"/>
        <b/>
        <color rgb="FF666666"/>
      </rPr>
      <t xml:space="preserve"> </t>
    </r>
    <r>
      <rPr>
        <rFont val="Roboto"/>
        <b val="0"/>
        <color rgb="FF666666"/>
      </rPr>
      <t>23 Feb: Ringing, Dropped a Text 19 Feb: Ringing, dropped a Text</t>
    </r>
    <r>
      <rPr>
        <rFont val="Roboto"/>
        <b/>
        <color rgb="FF666666"/>
      </rPr>
      <t xml:space="preserve"> </t>
    </r>
    <r>
      <rPr>
        <rFont val="Roboto"/>
        <b val="0"/>
        <color rgb="FF666666"/>
      </rPr>
      <t xml:space="preserve">16th Feb: Asked to call me tomorrow 07th Feb: Asked me to call on monday </t>
    </r>
  </si>
  <si>
    <t>Krishnendu</t>
  </si>
  <si>
    <t>Chatterjee</t>
  </si>
  <si>
    <t>AGOS Aviation</t>
  </si>
  <si>
    <t xml:space="preserve">9 Feb: He needs a virtual office </t>
  </si>
  <si>
    <t>Maqbool</t>
  </si>
  <si>
    <t>Ahmed</t>
  </si>
  <si>
    <t>MH Chemicals India</t>
  </si>
  <si>
    <t xml:space="preserve">9 feb: Wrong Number </t>
  </si>
  <si>
    <t>Pradeep</t>
  </si>
  <si>
    <t>Sawant</t>
  </si>
  <si>
    <t>Ginger Hotels</t>
  </si>
  <si>
    <t xml:space="preserve">25-30 seats </t>
  </si>
  <si>
    <t>25-20 worstations</t>
  </si>
  <si>
    <r>
      <rPr>
        <rFont val="Roboto"/>
        <b/>
        <color rgb="FF666666"/>
      </rPr>
      <t xml:space="preserve">27 Feb: Spoke. He said the requirment is hold due to System Migration and will resume in April connect then </t>
    </r>
    <r>
      <rPr>
        <rFont val="Roboto"/>
        <b val="0"/>
        <color rgb="FF666666"/>
      </rPr>
      <t>25 Feb: Ringing, Dropped a Text</t>
    </r>
    <r>
      <rPr>
        <rFont val="Roboto"/>
        <b/>
        <color rgb="FF666666"/>
      </rPr>
      <t xml:space="preserve"> </t>
    </r>
    <r>
      <rPr>
        <rFont val="Roboto"/>
        <b val="0"/>
        <color rgb="FF666666"/>
      </rPr>
      <t>20 feb: Ringing, dropped a text He replied saying he is out for a seminar and will return on monday Reach out then.19 Feb: Ringing Msg dropped.</t>
    </r>
    <r>
      <rPr>
        <rFont val="Roboto"/>
        <b/>
        <color rgb="FF666666"/>
      </rPr>
      <t xml:space="preserve"> </t>
    </r>
    <r>
      <rPr>
        <rFont val="Roboto"/>
        <b val="0"/>
        <color rgb="FF666666"/>
      </rPr>
      <t>17th Feb: Ringing, dropped a text</t>
    </r>
    <r>
      <rPr>
        <rFont val="Roboto"/>
        <b/>
        <color rgb="FF666666"/>
      </rPr>
      <t xml:space="preserve"> </t>
    </r>
    <r>
      <rPr>
        <rFont val="Roboto"/>
        <b val="0"/>
        <color rgb="FF666666"/>
      </rPr>
      <t>16 feb: Spoke. He said he is looking for 30 seats in Andheri and I have proposed the space of sakinaka over mail (Pushing for Visit) he said he will check and let us know by weekend becuase his boss is travelling 9 Feb: Called but no answer</t>
    </r>
  </si>
  <si>
    <t>Sanjay</t>
  </si>
  <si>
    <t>Avon Lifestle Products Pvt Ltd</t>
  </si>
  <si>
    <r>
      <rPr>
        <rFont val="Roboto"/>
        <b/>
        <color rgb="FF666666"/>
      </rPr>
      <t xml:space="preserve">10 MArch: Busy on a call dopped a Text </t>
    </r>
    <r>
      <rPr>
        <rFont val="Roboto"/>
        <b val="0"/>
        <color rgb="FF666666"/>
      </rPr>
      <t>06 March: Ringing, dropped a text 02nd March: Ringing, dropped a text 27 Feb: Tried calling didn't answer Dropped a voice note and text over whatsapp</t>
    </r>
    <r>
      <rPr>
        <rFont val="Roboto"/>
        <b/>
        <color rgb="FF666666"/>
      </rPr>
      <t xml:space="preserve"> </t>
    </r>
    <r>
      <rPr>
        <rFont val="Roboto"/>
        <b val="0"/>
        <color rgb="FF666666"/>
      </rPr>
      <t>9 Feb: his office building may go into redevelopment hence exploring the market. wants a call back on 20th Feb and can meet between 23rd to 28th Feb for a discussion and looking for roughly 100 seats touch base then.</t>
    </r>
  </si>
  <si>
    <t>Ajay</t>
  </si>
  <si>
    <t>CDEF Services LLP</t>
  </si>
  <si>
    <r>
      <rPr>
        <rFont val="Roboto"/>
        <b/>
        <color rgb="FF666666"/>
      </rPr>
      <t xml:space="preserve">27 Feb: Ringing Dropped a Text called back he said he wants a residential premises only </t>
    </r>
    <r>
      <rPr>
        <rFont val="Roboto"/>
        <color rgb="FF666666"/>
      </rPr>
      <t xml:space="preserve">23 Feb: Ringing, Dropped a text 19 Feb: Ringing Dropped a text 16th Feb: Ringing, dropped a Text 13 feb: Called by shravani Ringing, dropped a Text Feb 10: Called 20 to 30 seats even a 5 to 6 bhk flat works with commercial use permission, </t>
    </r>
  </si>
  <si>
    <t>A.P. Sanzgiri &amp; Co</t>
  </si>
  <si>
    <r>
      <rPr>
        <rFont val="Roboto"/>
        <b/>
        <color rgb="FF666666"/>
      </rPr>
      <t xml:space="preserve">10 March: he said the requirement is on hold due to March ending touch base in April </t>
    </r>
    <r>
      <rPr>
        <rFont val="Roboto"/>
        <color rgb="FF666666"/>
      </rPr>
      <t>06 MArch: Ringing, dropped a text 02Nd March: Ringing, dropped a text 27 feb: Disconnected the call dropped a text 23 Feb: Ringing, Dropped a Text 19 feb: Disconnected the call dropped a text 17 feb: Ringing, dropped a text. 12 Feb: His current office is in Santacurz and will share his requirement on whatsapp. He was not interested in MOS but would like to know the commercials.</t>
    </r>
  </si>
  <si>
    <t>Vikas</t>
  </si>
  <si>
    <t>Tarekar</t>
  </si>
  <si>
    <t>Urban Corp Bank</t>
  </si>
  <si>
    <r>
      <rPr>
        <rFont val="Roboto"/>
        <b/>
        <color rgb="FF666666"/>
      </rPr>
      <t xml:space="preserve">09 March : As per Last discussion with Mehul sir they Might not be our client because they need their own office as per RBI Guidelines </t>
    </r>
    <r>
      <rPr>
        <rFont val="Roboto"/>
        <b val="0"/>
        <color rgb="FF666666"/>
      </rPr>
      <t>07 March: Ringing, Dropped a message by Mehul Sir</t>
    </r>
    <r>
      <rPr>
        <rFont val="Roboto"/>
        <b/>
        <color rgb="FF666666"/>
      </rPr>
      <t xml:space="preserve"> </t>
    </r>
    <r>
      <rPr>
        <rFont val="Roboto"/>
        <b val="0"/>
        <color rgb="FF666666"/>
      </rPr>
      <t>05 March: Mehul Sir Tried calling him didn't Answer will call again 26 Feb: Mehul sir spoke he said Will resume on 5th March  25 Feb: Followup mail Sent</t>
    </r>
    <r>
      <rPr>
        <rFont val="Roboto"/>
        <b/>
        <color rgb="FF666666"/>
      </rPr>
      <t xml:space="preserve"> </t>
    </r>
    <r>
      <rPr>
        <rFont val="Roboto"/>
        <b val="0"/>
        <color rgb="FF666666"/>
      </rPr>
      <t>9 Feb: Ringing, dropped a Text 16 Feb: Layout and commercial offer sent 12 Feb: Visit done, layout and commercials to be shared</t>
    </r>
  </si>
  <si>
    <t>Impex</t>
  </si>
  <si>
    <t xml:space="preserve">1 seat </t>
  </si>
  <si>
    <t xml:space="preserve">1 w.s </t>
  </si>
  <si>
    <r>
      <rPr>
        <rFont val="Arial"/>
        <b/>
        <color theme="1"/>
      </rPr>
      <t xml:space="preserve">04 March: Ringing, dropped a text he replied saying currently the requirement is on hold </t>
    </r>
    <r>
      <rPr>
        <rFont val="Arial"/>
        <b val="0"/>
        <color theme="1"/>
      </rPr>
      <t>27 Feb: Switched off, Dropped a Message</t>
    </r>
    <r>
      <rPr>
        <rFont val="Arial"/>
        <b/>
        <color theme="1"/>
      </rPr>
      <t xml:space="preserve"> </t>
    </r>
    <r>
      <rPr>
        <rFont val="Arial"/>
        <b val="0"/>
        <color theme="1"/>
      </rPr>
      <t>25 feb: He asked to whatsapp currently in a meeting 19 feb: Ringing Dropped a text. He recalled me and has a requirement of 1 seat I have shared the details over wp and pitched Sakinaka 17 Feb: Ringing, dropped a text</t>
    </r>
    <r>
      <rPr>
        <rFont val="Arial"/>
        <b/>
        <color theme="1"/>
      </rPr>
      <t xml:space="preserve"> </t>
    </r>
    <r>
      <rPr>
        <rFont val="Arial"/>
        <b val="0"/>
        <color theme="1"/>
      </rPr>
      <t xml:space="preserve">13 Feb: Ringing, dropped a text. </t>
    </r>
  </si>
  <si>
    <t xml:space="preserve">Edward </t>
  </si>
  <si>
    <t>Service Master India</t>
  </si>
  <si>
    <r>
      <rPr>
        <rFont val="Arial"/>
        <b/>
        <color theme="1"/>
      </rPr>
      <t xml:space="preserve">10 March: Switch off, dropped a text </t>
    </r>
    <r>
      <rPr>
        <rFont val="Arial"/>
        <b val="0"/>
        <color theme="1"/>
      </rPr>
      <t>06 March: Ringing, dropped a text 02nd March: Ringing, dropped a text 27 Feb: Ringing, Dropped a Text 23rd Feb: Ringing, Dropped a text 19 feb: Disconnected the call, dropped a text 17 feb: Ringing, dropped a text</t>
    </r>
    <r>
      <rPr>
        <rFont val="Arial"/>
        <b/>
        <color theme="1"/>
      </rPr>
      <t xml:space="preserve"> </t>
    </r>
    <r>
      <rPr>
        <rFont val="Arial"/>
        <b val="0"/>
        <color theme="1"/>
      </rPr>
      <t>13 Feb: Disconnected the call.</t>
    </r>
  </si>
  <si>
    <t>Devang</t>
  </si>
  <si>
    <t xml:space="preserve">Thakkar </t>
  </si>
  <si>
    <t xml:space="preserve">Metcraft Steel Pvt LTD </t>
  </si>
  <si>
    <t xml:space="preserve">30 w.s </t>
  </si>
  <si>
    <t xml:space="preserve">30 seats, 1 conference 8, 4 cabins </t>
  </si>
  <si>
    <t>Move-in Timeline Not Yet decided</t>
  </si>
  <si>
    <r>
      <rPr>
        <rFont val="Arial"/>
        <b/>
        <color theme="1"/>
      </rPr>
      <t xml:space="preserve">06 March: He said the requirement is on hold due to budgeting issue internally </t>
    </r>
    <r>
      <rPr>
        <rFont val="Arial"/>
        <b val="0"/>
        <color theme="1"/>
      </rPr>
      <t xml:space="preserve">04 March: Didn't Connect, Dropped a text </t>
    </r>
    <r>
      <rPr>
        <rFont val="Arial"/>
        <b/>
        <color theme="1"/>
      </rPr>
      <t xml:space="preserve"> </t>
    </r>
    <r>
      <rPr>
        <rFont val="Arial"/>
        <b val="0"/>
        <color theme="1"/>
      </rPr>
      <t>27 Feb: Ringing, dropped a Text</t>
    </r>
    <r>
      <rPr>
        <rFont val="Arial"/>
        <b/>
        <color theme="1"/>
      </rPr>
      <t xml:space="preserve"> </t>
    </r>
    <r>
      <rPr>
        <rFont val="Arial"/>
        <b val="0"/>
        <color theme="1"/>
      </rPr>
      <t>25 Feb: He has not checked the details as he was travelling and will check tomorrow and revert 20 Feb: He said Whatsapp me whatever inventeries we have expect for Sakinaka as there is lot of traffic, I have shared Landmark and Kanakia Wallstreet</t>
    </r>
    <r>
      <rPr>
        <rFont val="Arial"/>
        <b/>
        <color theme="1"/>
      </rPr>
      <t xml:space="preserve"> </t>
    </r>
    <r>
      <rPr>
        <rFont val="Arial"/>
        <b val="0"/>
        <color theme="1"/>
      </rPr>
      <t>17 Feb: Ringing, Dropped a text 16 Feb: Spoke he said call tomorrow, he is caught up today</t>
    </r>
    <r>
      <rPr>
        <rFont val="Arial"/>
        <b/>
        <color theme="1"/>
      </rPr>
      <t xml:space="preserve"> </t>
    </r>
  </si>
  <si>
    <t xml:space="preserve">Rajkumar </t>
  </si>
  <si>
    <t>Vijan</t>
  </si>
  <si>
    <t xml:space="preserve">Aviva </t>
  </si>
  <si>
    <r>
      <rPr>
        <rFont val="Arial"/>
        <b/>
        <color theme="1"/>
      </rPr>
      <t xml:space="preserve">10 March: Busy on call, dropped a text </t>
    </r>
    <r>
      <rPr>
        <rFont val="Arial"/>
        <b val="0"/>
        <color theme="1"/>
      </rPr>
      <t>06 March: Ringing, dropped a text 02nd March: Ringing, dropped a text 27 Feb: Ringing, Dropped a Text</t>
    </r>
    <r>
      <rPr>
        <rFont val="Arial"/>
        <b/>
        <color theme="1"/>
      </rPr>
      <t xml:space="preserve"> </t>
    </r>
    <r>
      <rPr>
        <rFont val="Arial"/>
        <b val="0"/>
        <color theme="1"/>
      </rPr>
      <t>23 Feb: Ringing, Dropped a Text 20 Feb: Disconnected My call, dropped a text.</t>
    </r>
    <r>
      <rPr>
        <rFont val="Arial"/>
        <b/>
        <color theme="1"/>
      </rPr>
      <t xml:space="preserve"> </t>
    </r>
    <r>
      <rPr>
        <rFont val="Arial"/>
        <b val="0"/>
        <color theme="1"/>
      </rPr>
      <t>17 feb: Ringing, Dropped a Text</t>
    </r>
    <r>
      <rPr>
        <rFont val="Arial"/>
        <b/>
        <color theme="1"/>
      </rPr>
      <t xml:space="preserve"> </t>
    </r>
    <r>
      <rPr>
        <rFont val="Arial"/>
        <b val="0"/>
        <color theme="1"/>
      </rPr>
      <t xml:space="preserve">16 Feb: He disconnect my call, dropped a text </t>
    </r>
  </si>
  <si>
    <t xml:space="preserve">Aditya </t>
  </si>
  <si>
    <t xml:space="preserve">Bacardi </t>
  </si>
  <si>
    <r>
      <rPr>
        <rFont val="Arial"/>
        <b/>
        <color theme="1"/>
      </rPr>
      <t xml:space="preserve">10 March:Ringing, dropped a text </t>
    </r>
    <r>
      <rPr>
        <rFont val="Arial"/>
        <b val="0"/>
        <color theme="1"/>
      </rPr>
      <t xml:space="preserve">6 March : Ringing, dropped a text 02nd March: Ringing, dropped a text 27 Feb: Ringing, Dropped a Text 23 Feb : Ringing, Dropped a Text20 Feb: Disconnected My call, dropped a text 19 Feb: Ringing, Dropped a Text </t>
    </r>
  </si>
  <si>
    <t xml:space="preserve">Rahim </t>
  </si>
  <si>
    <t xml:space="preserve">Aslam </t>
  </si>
  <si>
    <t xml:space="preserve">One Above </t>
  </si>
  <si>
    <t xml:space="preserve">60 w.s </t>
  </si>
  <si>
    <t>60 w.s- 65, 1 conference, 5 cabins</t>
  </si>
  <si>
    <r>
      <rPr>
        <rFont val="Arial"/>
        <b/>
        <color theme="1"/>
      </rPr>
      <t xml:space="preserve">13 Mach: Ringing, dropped a text saying shared the images and the team is working on the  layout </t>
    </r>
    <r>
      <rPr>
        <rFont val="Arial"/>
        <b val="0"/>
        <color theme="1"/>
      </rPr>
      <t xml:space="preserve"> 12 March: Sent Images and actioned he layout with the team for AJ House and Indiana Business center 10 March: Sent Detailed MOM With the client over mail need to share the Images and Best fit layouts</t>
    </r>
    <r>
      <rPr>
        <rFont val="Arial"/>
        <b/>
        <color theme="1"/>
      </rPr>
      <t xml:space="preserve"> </t>
    </r>
    <r>
      <rPr>
        <rFont val="Arial"/>
        <b val="0"/>
        <color theme="1"/>
      </rPr>
      <t>09 March : We did site inspection yesterday with Alia Ma'am</t>
    </r>
    <r>
      <rPr>
        <rFont val="Arial"/>
        <b/>
        <color theme="1"/>
      </rPr>
      <t xml:space="preserve"> </t>
    </r>
    <r>
      <rPr>
        <rFont val="Arial"/>
        <b val="0"/>
        <color theme="1"/>
      </rPr>
      <t>06 March: Shared the options of Marol over mail. Site Visit on Monday at 3pm 04 March: Spoke we have to share the options of Marol only because they have only 4 lakh as a budget and doesn't want to go to Sakinaka</t>
    </r>
    <r>
      <rPr>
        <rFont val="Arial"/>
        <b/>
        <color theme="1"/>
      </rPr>
      <t xml:space="preserve"> </t>
    </r>
    <r>
      <rPr>
        <rFont val="Arial"/>
        <b val="0"/>
        <color theme="1"/>
      </rPr>
      <t>27 Feb: Spoke he connected me to her HR Admin (Alia), She asked for the options shared to Rahim on Whatsapp I will Mail the inventory deck to her, Current office is in Marol Antarishkh Building 25 Feb: Ringing, Dropped a text</t>
    </r>
    <r>
      <rPr>
        <rFont val="Arial"/>
        <b/>
        <color theme="1"/>
      </rPr>
      <t xml:space="preserve"> </t>
    </r>
    <r>
      <rPr>
        <rFont val="Arial"/>
        <b val="0"/>
        <color theme="1"/>
      </rPr>
      <t>23 feb: Spoke he said send the options over whatsapp and not mail and then he will discuss with team and let us know and kept the call. Shared the inventory Deck over whatsapp 20 feb: Ringing, Dropped a Text 19 Feb: Ringing, Dropped a Text</t>
    </r>
    <r>
      <rPr>
        <rFont val="Arial"/>
        <b/>
        <color theme="1"/>
      </rPr>
      <t xml:space="preserve"> </t>
    </r>
  </si>
  <si>
    <t xml:space="preserve">Ivan </t>
  </si>
  <si>
    <t xml:space="preserve">Shikha </t>
  </si>
  <si>
    <t xml:space="preserve">Haavia Inc </t>
  </si>
  <si>
    <r>
      <rPr>
        <rFont val="Arial"/>
        <b/>
        <color theme="1"/>
      </rPr>
      <t>10 March : Ringing, dropped a text</t>
    </r>
    <r>
      <rPr>
        <rFont val="Arial"/>
        <b val="0"/>
        <color theme="1"/>
      </rPr>
      <t xml:space="preserve"> 06 March: Ringing, dropped a text 02 March: Ringing, dropped a text</t>
    </r>
    <r>
      <rPr>
        <rFont val="Arial"/>
        <b/>
        <color theme="1"/>
      </rPr>
      <t xml:space="preserve"> </t>
    </r>
    <r>
      <rPr>
        <rFont val="Arial"/>
        <b val="0"/>
        <color theme="1"/>
      </rPr>
      <t>27 Feb: Ringing, Dropped a Text 23 Feb: She Replied to text saying Looking for space in Hyderabad I have asked for the details of Requirment no reply yet</t>
    </r>
    <r>
      <rPr>
        <rFont val="Arial"/>
        <b/>
        <color theme="1"/>
      </rPr>
      <t xml:space="preserve"> </t>
    </r>
    <r>
      <rPr>
        <rFont val="Arial"/>
        <b val="0"/>
        <color theme="1"/>
      </rPr>
      <t>20 Feb: Disconnected My call, dropped a text</t>
    </r>
    <r>
      <rPr>
        <rFont val="Arial"/>
        <b/>
        <color theme="1"/>
      </rPr>
      <t xml:space="preserve"> </t>
    </r>
    <r>
      <rPr>
        <rFont val="Arial"/>
        <b val="0"/>
        <color theme="1"/>
      </rPr>
      <t>19 Feb: Ringing, Dropped a Text</t>
    </r>
    <r>
      <rPr>
        <rFont val="Arial"/>
        <b/>
        <color theme="1"/>
      </rPr>
      <t xml:space="preserve"> 2</t>
    </r>
  </si>
  <si>
    <t xml:space="preserve">Viral </t>
  </si>
  <si>
    <t xml:space="preserve">Vora </t>
  </si>
  <si>
    <t xml:space="preserve">19 Feb: He said he has not put up any inquiry and is not looking for space </t>
  </si>
  <si>
    <t xml:space="preserve">Ashutosh </t>
  </si>
  <si>
    <t xml:space="preserve">Ibs </t>
  </si>
  <si>
    <r>
      <rPr>
        <rFont val="Arial"/>
        <b/>
        <color theme="1"/>
      </rPr>
      <t xml:space="preserve">10 March: Ringing, dropped a text  </t>
    </r>
    <r>
      <rPr>
        <rFont val="Arial"/>
        <b val="0"/>
        <color theme="1"/>
      </rPr>
      <t>05 March : Ringing, dropped a text no reply yet</t>
    </r>
    <r>
      <rPr>
        <rFont val="Arial"/>
        <b/>
        <color theme="1"/>
      </rPr>
      <t xml:space="preserve"> </t>
    </r>
    <r>
      <rPr>
        <rFont val="Arial"/>
        <b val="0"/>
        <color theme="1"/>
      </rPr>
      <t>02nd March : Ringing, dropped a Text 27 feb: Busy on call, dropped a text 25 Feb: Ringing, Dropped a Text</t>
    </r>
    <r>
      <rPr>
        <rFont val="Arial"/>
        <b/>
        <color theme="1"/>
      </rPr>
      <t xml:space="preserve"> </t>
    </r>
  </si>
  <si>
    <t xml:space="preserve">Parag </t>
  </si>
  <si>
    <t xml:space="preserve">Gaitonde </t>
  </si>
  <si>
    <t>Advaisys LLP</t>
  </si>
  <si>
    <t xml:space="preserve">11 seats and 1 cabin </t>
  </si>
  <si>
    <r>
      <rPr>
        <rFont val="Arial"/>
        <b/>
        <color theme="1"/>
      </rPr>
      <t xml:space="preserve">14 March: Spoke he visited the space of Crescent solitaire but he dosn't want a shared office </t>
    </r>
    <r>
      <rPr>
        <rFont val="Arial"/>
        <b val="0"/>
        <color theme="1"/>
      </rPr>
      <t>13 Mach: Ringing, dropped a text</t>
    </r>
    <r>
      <rPr>
        <rFont val="Arial"/>
        <b/>
        <color theme="1"/>
      </rPr>
      <t xml:space="preserve"> </t>
    </r>
    <r>
      <rPr>
        <rFont val="Arial"/>
        <b val="0"/>
        <color theme="1"/>
      </rPr>
      <t>10th March: Disconnected the call, dropped a text 06 March: Ringing, dropped a text</t>
    </r>
    <r>
      <rPr>
        <rFont val="Arial"/>
        <b/>
        <color theme="1"/>
      </rPr>
      <t xml:space="preserve"> </t>
    </r>
    <r>
      <rPr>
        <rFont val="Arial"/>
        <b val="0"/>
        <color theme="1"/>
      </rPr>
      <t>04 March: Disconnected the call, dropped a text</t>
    </r>
    <r>
      <rPr>
        <rFont val="Arial"/>
        <b/>
        <color theme="1"/>
      </rPr>
      <t xml:space="preserve"> </t>
    </r>
    <r>
      <rPr>
        <rFont val="Arial"/>
        <b val="0"/>
        <color theme="1"/>
      </rPr>
      <t xml:space="preserve">27 Feb: Spoke He said he will get back to us in regards to sakinaka as he is not Comfortable to share the space 25 Feb: Spoke. He shared the requirment brief not really looking for space in Sakinaka, But he asked for the details because he has the budget of 70-80k. Sent the details over whatsapp and mail </t>
    </r>
  </si>
  <si>
    <t xml:space="preserve">Pinki </t>
  </si>
  <si>
    <t>Parikh</t>
  </si>
  <si>
    <t>Aleido India Pvt LTD</t>
  </si>
  <si>
    <t xml:space="preserve">15 seats, 2-3 cabins, 1 conference of 6-8 seats, Pantry </t>
  </si>
  <si>
    <r>
      <rPr>
        <rFont val="Arial"/>
        <b/>
        <color theme="1"/>
      </rPr>
      <t xml:space="preserve">26 May: Spoke she said she is busy and she will call back in sometime. </t>
    </r>
    <r>
      <rPr>
        <rFont val="Arial"/>
        <b val="0"/>
        <color theme="1"/>
      </rPr>
      <t>13 Mach: Ringing, dropped a text</t>
    </r>
    <r>
      <rPr>
        <rFont val="Arial"/>
        <b/>
        <color theme="1"/>
      </rPr>
      <t xml:space="preserve"> </t>
    </r>
    <r>
      <rPr>
        <rFont val="Arial"/>
        <b val="0"/>
        <color theme="1"/>
      </rPr>
      <t>06 March: Busy on call, Dropped a text Spoke She said their country head is travelling and will come in Next to Next week touch base then 05 March: Ringing,called twice dropped a text</t>
    </r>
    <r>
      <rPr>
        <rFont val="Arial"/>
        <b/>
        <color theme="1"/>
      </rPr>
      <t xml:space="preserve"> </t>
    </r>
    <r>
      <rPr>
        <rFont val="Arial"/>
        <b val="0"/>
        <color theme="1"/>
      </rPr>
      <t>04 March : She said their country head has finalised some space in Marol the LOI is in process but I have asked for a meeting tomorrow and will showcase Sakinaka Space Accordingly</t>
    </r>
    <r>
      <rPr>
        <rFont val="Arial"/>
        <b/>
        <color theme="1"/>
      </rPr>
      <t xml:space="preserve">  </t>
    </r>
    <r>
      <rPr>
        <rFont val="Arial"/>
        <b val="0"/>
        <color theme="1"/>
      </rPr>
      <t>27 Feb: Spoke She said she has forwarded the option to the management and they have a internal discussion Monday reach out again onn Monday</t>
    </r>
    <r>
      <rPr>
        <rFont val="Arial"/>
        <b/>
        <color theme="1"/>
      </rPr>
      <t xml:space="preserve"> </t>
    </r>
    <r>
      <rPr>
        <rFont val="Arial"/>
        <b val="0"/>
        <color theme="1"/>
      </rPr>
      <t xml:space="preserve">25 Feb: Spoke. She shared the requirement brief and I have Ptiched Sakinaka. Shared the details over Whatsapp and Mail she said she will discuss and comeback </t>
    </r>
  </si>
  <si>
    <t xml:space="preserve">Vinit </t>
  </si>
  <si>
    <t xml:space="preserve">Gupta </t>
  </si>
  <si>
    <t xml:space="preserve">Classic Group </t>
  </si>
  <si>
    <r>
      <rPr>
        <rFont val="Arial"/>
        <b/>
        <color theme="1"/>
      </rPr>
      <t>10 March: Busy on another call, dropped a text</t>
    </r>
    <r>
      <rPr>
        <rFont val="Arial"/>
        <b val="0"/>
        <color theme="1"/>
      </rPr>
      <t xml:space="preserve"> 05 March: Switch off 02 March: Ringing, dropped a Text 27 feb: Ringing, dropped a Text</t>
    </r>
    <r>
      <rPr>
        <rFont val="Arial"/>
        <b/>
        <color theme="1"/>
      </rPr>
      <t xml:space="preserve"> </t>
    </r>
    <r>
      <rPr>
        <rFont val="Arial"/>
        <b val="0"/>
        <color theme="1"/>
      </rPr>
      <t xml:space="preserve">25 Feb: Ringing, Dropped a Text </t>
    </r>
  </si>
  <si>
    <t xml:space="preserve">Gadhave </t>
  </si>
  <si>
    <t xml:space="preserve">27 Feb: He said There is no requirememt as of now and kept the call.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</si>
</sst>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 mmm"/>
    <numFmt numFmtId="165" formatCode="d mmm"/>
    <numFmt numFmtId="166" formatCode="d mmmm"/>
    <numFmt numFmtId="167" formatCode="m-d"/>
    <numFmt numFmtId="168" formatCode="dd mmmm"/>
    <numFmt numFmtId="169" formatCode="dmmmm"/>
    <numFmt numFmtId="170" formatCode="mmmm, yyyy"/>
  </numFmts>
  <fonts count="38">
    <font>
      <sz val="10.0"/>
      <color rgb="FF000000"/>
      <name val="Arial"/>
      <scheme val="minor"/>
    </font>
    <font>
      <sz val="10.0"/>
      <color rgb="FF1A1F36"/>
      <name val="Roboto"/>
    </font>
    <font>
      <b/>
      <sz val="24.0"/>
      <color rgb="FF1A1F36"/>
      <name val="Montserrat"/>
    </font>
    <font>
      <b/>
      <sz val="10.0"/>
      <color rgb="FF52677D"/>
      <name val="Montserrat"/>
    </font>
    <font/>
    <font>
      <b/>
      <sz val="24.0"/>
      <color rgb="FFD42E2E"/>
      <name val="Montserrat"/>
    </font>
    <font>
      <b/>
      <sz val="24.0"/>
      <color rgb="FFF57B00"/>
      <name val="Montserrat"/>
    </font>
    <font>
      <b/>
      <sz val="24.0"/>
      <color rgb="FF757575"/>
      <name val="Montserrat"/>
    </font>
    <font>
      <b/>
      <sz val="12.0"/>
      <color rgb="FF1A1F36"/>
      <name val="Montserrat"/>
    </font>
    <font>
      <b/>
      <color rgb="FFFFFFFF"/>
      <name val="Arial"/>
      <scheme val="minor"/>
    </font>
    <font>
      <color theme="1"/>
      <name val="Arial"/>
      <scheme val="minor"/>
    </font>
    <font>
      <b/>
      <sz val="11.0"/>
      <color theme="1"/>
      <name val="Arial"/>
      <scheme val="minor"/>
    </font>
    <font>
      <b/>
      <sz val="11.0"/>
      <color theme="1"/>
      <name val="Calibri"/>
    </font>
    <font>
      <sz val="11.0"/>
      <color theme="1"/>
      <name val="Calibri"/>
    </font>
    <font>
      <b/>
      <color theme="1"/>
      <name val="Arial"/>
      <scheme val="minor"/>
    </font>
    <font>
      <sz val="11.0"/>
      <color rgb="FF000000"/>
      <name val="Calibri"/>
    </font>
    <font>
      <color rgb="FF000000"/>
      <name val="Arial"/>
      <scheme val="minor"/>
    </font>
    <font>
      <sz val="10.0"/>
      <color theme="1"/>
      <name val="Arial"/>
      <scheme val="minor"/>
    </font>
    <font>
      <b/>
      <sz val="10.0"/>
      <color theme="1"/>
      <name val="Arial"/>
      <scheme val="minor"/>
    </font>
    <font>
      <sz val="11.0"/>
      <color theme="1"/>
      <name val="Arial"/>
      <scheme val="minor"/>
    </font>
    <font>
      <b/>
      <sz val="11.0"/>
      <color rgb="FF000000"/>
      <name val="Calibri"/>
    </font>
    <font>
      <sz val="11.0"/>
      <color rgb="FF000000"/>
      <name val="Roboto"/>
    </font>
    <font>
      <b/>
      <color rgb="FF000000"/>
      <name val="Arial"/>
      <scheme val="minor"/>
    </font>
    <font>
      <b/>
      <color rgb="FF000000"/>
      <name val="Arial"/>
    </font>
    <font>
      <b/>
      <color rgb="FF000000"/>
      <name val="Roboto"/>
    </font>
    <font>
      <color rgb="FF000000"/>
      <name val="Arial"/>
    </font>
    <font>
      <color rgb="FF000000"/>
      <name val="Roboto"/>
    </font>
    <font>
      <sz val="11.0"/>
      <color rgb="FF000000"/>
      <name val="Arial"/>
    </font>
    <font>
      <u/>
      <sz val="11.0"/>
      <color rgb="FF0000FF"/>
      <name val="Calibri"/>
    </font>
    <font>
      <u/>
      <color rgb="FF0000FF"/>
    </font>
    <font>
      <b/>
      <sz val="11.0"/>
      <color theme="1"/>
      <name val="Arial"/>
    </font>
    <font>
      <color theme="1"/>
      <name val="Arial"/>
    </font>
    <font>
      <color rgb="FF666666"/>
      <name val="Arial"/>
    </font>
    <font>
      <color rgb="FF666666"/>
      <name val="Roboto"/>
    </font>
    <font>
      <color rgb="FF666666"/>
      <name val="Arial"/>
      <scheme val="minor"/>
    </font>
    <font>
      <sz val="11.0"/>
      <color rgb="FF666666"/>
      <name val="Calibri"/>
    </font>
    <font>
      <b/>
      <color rgb="FF666666"/>
      <name val="Roboto"/>
    </font>
    <font>
      <u/>
      <color rgb="FF0000FF"/>
    </font>
  </fonts>
  <fills count="10">
    <fill>
      <patternFill patternType="none"/>
    </fill>
    <fill>
      <patternFill patternType="lightGray"/>
    </fill>
    <fill>
      <patternFill patternType="solid">
        <fgColor rgb="FFF4F5F7"/>
        <bgColor rgb="FFF4F5F7"/>
      </patternFill>
    </fill>
    <fill>
      <patternFill patternType="solid">
        <fgColor rgb="FFFFFFFF"/>
        <bgColor rgb="FFFFFFFF"/>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theme="0"/>
        <bgColor theme="0"/>
      </patternFill>
    </fill>
    <fill>
      <patternFill patternType="solid">
        <fgColor rgb="FFFFE599"/>
        <bgColor rgb="FFFFE599"/>
      </patternFill>
    </fill>
    <fill>
      <patternFill patternType="solid">
        <fgColor rgb="FFFFFF00"/>
        <bgColor rgb="FFFFFF00"/>
      </patternFill>
    </fill>
  </fills>
  <borders count="14">
    <border/>
    <border>
      <left style="thin">
        <color rgb="FFCCCCCC"/>
      </left>
      <top style="thin">
        <color rgb="FFCCCCCC"/>
      </top>
    </border>
    <border>
      <right style="thin">
        <color rgb="FFCCCCCC"/>
      </right>
      <top style="thin">
        <color rgb="FFCCCCCC"/>
      </top>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border>
    <border>
      <right style="thin">
        <color rgb="FFCCCCCC"/>
      </right>
    </border>
    <border>
      <left style="thin">
        <color rgb="FFCCCCCC"/>
      </left>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
      <bottom style="thin">
        <color rgb="FFCCCCCC"/>
      </bottom>
    </border>
    <border>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2" fontId="2"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1" fillId="3" fontId="3" numFmtId="0" xfId="0" applyAlignment="1" applyBorder="1" applyFill="1" applyFont="1">
      <alignment horizontal="center" shrinkToFit="0" vertical="center" wrapText="1"/>
    </xf>
    <xf borderId="2" fillId="0" fontId="4" numFmtId="0" xfId="0" applyBorder="1" applyFont="1"/>
    <xf borderId="3" fillId="3" fontId="2" numFmtId="0" xfId="0" applyAlignment="1" applyBorder="1" applyFont="1">
      <alignment horizontal="center" readingOrder="0" shrinkToFit="0" vertical="center" wrapText="1"/>
    </xf>
    <xf borderId="4" fillId="0" fontId="4" numFmtId="0" xfId="0" applyBorder="1" applyFont="1"/>
    <xf borderId="3" fillId="3" fontId="5" numFmtId="0" xfId="0" applyAlignment="1" applyBorder="1" applyFont="1">
      <alignment horizontal="center" readingOrder="0" shrinkToFit="0" vertical="center" wrapText="1"/>
    </xf>
    <xf borderId="3" fillId="3" fontId="6" numFmtId="0" xfId="0" applyAlignment="1" applyBorder="1" applyFont="1">
      <alignment horizontal="center" readingOrder="0" shrinkToFit="0" vertical="center" wrapText="1"/>
    </xf>
    <xf borderId="3" fillId="3" fontId="7" numFmtId="0" xfId="0" applyAlignment="1" applyBorder="1" applyFont="1">
      <alignment horizontal="center" readingOrder="0" shrinkToFit="0" vertical="center" wrapText="1"/>
    </xf>
    <xf borderId="5" fillId="2" fontId="1" numFmtId="0" xfId="0" applyAlignment="1" applyBorder="1" applyFont="1">
      <alignment horizontal="left" shrinkToFit="0" vertical="center" wrapText="1"/>
    </xf>
    <xf borderId="6" fillId="2" fontId="1" numFmtId="0" xfId="0" applyAlignment="1" applyBorder="1" applyFont="1">
      <alignment horizontal="left" shrinkToFit="0" vertical="center" wrapText="1"/>
    </xf>
    <xf borderId="7" fillId="2" fontId="1" numFmtId="0" xfId="0" applyAlignment="1" applyBorder="1" applyFont="1">
      <alignment horizontal="left" shrinkToFit="0" vertical="center" wrapText="1"/>
    </xf>
    <xf borderId="8" fillId="2" fontId="1" numFmtId="0" xfId="0" applyAlignment="1" applyBorder="1" applyFont="1">
      <alignment horizontal="left" shrinkToFit="0" vertical="center" wrapText="1"/>
    </xf>
    <xf borderId="9" fillId="2" fontId="1" numFmtId="0" xfId="0" applyAlignment="1" applyBorder="1" applyFont="1">
      <alignment horizontal="left" readingOrder="0" shrinkToFit="0" vertical="center" wrapText="1"/>
    </xf>
    <xf borderId="10" fillId="2" fontId="1" numFmtId="0" xfId="0" applyAlignment="1" applyBorder="1" applyFont="1">
      <alignment horizontal="left" shrinkToFit="0" vertical="center" wrapText="1"/>
    </xf>
    <xf borderId="9" fillId="2" fontId="1" numFmtId="164" xfId="0" applyAlignment="1" applyBorder="1" applyFont="1" applyNumberFormat="1">
      <alignment horizontal="left" shrinkToFit="0" vertical="center" wrapText="1"/>
    </xf>
    <xf borderId="9" fillId="2" fontId="1" numFmtId="0" xfId="0" applyAlignment="1" applyBorder="1" applyFont="1">
      <alignment horizontal="left" shrinkToFit="0" vertical="center" wrapText="1"/>
    </xf>
    <xf borderId="3" fillId="2" fontId="8" numFmtId="0" xfId="0" applyAlignment="1" applyBorder="1" applyFont="1">
      <alignment horizontal="left" readingOrder="0" shrinkToFit="0" vertical="center" wrapText="1"/>
    </xf>
    <xf borderId="11" fillId="0" fontId="4" numFmtId="0" xfId="0" applyBorder="1" applyFont="1"/>
    <xf borderId="9" fillId="2" fontId="9" numFmtId="0" xfId="0" applyAlignment="1" applyBorder="1" applyFont="1">
      <alignment horizontal="left" readingOrder="0" shrinkToFit="0" vertical="center" wrapText="1"/>
    </xf>
    <xf borderId="0" fillId="2" fontId="9" numFmtId="0" xfId="0" applyAlignment="1" applyFont="1">
      <alignment horizontal="left" readingOrder="0" shrinkToFit="0" vertical="center" wrapText="1"/>
    </xf>
    <xf borderId="9" fillId="2" fontId="1" numFmtId="164" xfId="0" applyAlignment="1" applyBorder="1" applyFont="1" applyNumberFormat="1">
      <alignment horizontal="left" shrinkToFit="0" vertical="center" wrapText="1"/>
    </xf>
    <xf borderId="9" fillId="2" fontId="1" numFmtId="0" xfId="0" applyAlignment="1" applyBorder="1" applyFont="1">
      <alignment horizontal="left" shrinkToFit="0" vertical="center" wrapText="1"/>
    </xf>
    <xf borderId="0" fillId="2" fontId="1" numFmtId="0" xfId="0" applyAlignment="1" applyFont="1">
      <alignment horizontal="left" shrinkToFit="0" vertical="center" wrapText="1"/>
    </xf>
    <xf borderId="0" fillId="2" fontId="1" numFmtId="164" xfId="0" applyAlignment="1" applyFont="1" applyNumberFormat="1">
      <alignment horizontal="left" shrinkToFit="0" vertical="center" wrapText="1"/>
    </xf>
    <xf borderId="0" fillId="0" fontId="10" numFmtId="164" xfId="0" applyFont="1" applyNumberFormat="1"/>
    <xf borderId="0" fillId="0" fontId="10" numFmtId="0" xfId="0" applyFont="1"/>
    <xf borderId="0" fillId="0" fontId="10" numFmtId="164" xfId="0" applyFont="1" applyNumberFormat="1"/>
    <xf borderId="0" fillId="2" fontId="8" numFmtId="164" xfId="0" applyAlignment="1" applyFont="1" applyNumberFormat="1">
      <alignment horizontal="left" readingOrder="0" shrinkToFit="0" vertical="center" wrapText="1"/>
    </xf>
    <xf borderId="0" fillId="2" fontId="9" numFmtId="164" xfId="0" applyAlignment="1" applyFont="1" applyNumberFormat="1">
      <alignment horizontal="left" readingOrder="0" shrinkToFit="0" vertical="center" wrapText="1"/>
    </xf>
    <xf borderId="0" fillId="2" fontId="1" numFmtId="164" xfId="0" applyAlignment="1" applyFont="1" applyNumberFormat="1">
      <alignment horizontal="left" shrinkToFit="0" vertical="center" wrapText="1"/>
    </xf>
    <xf borderId="12" fillId="3" fontId="11" numFmtId="0" xfId="0" applyAlignment="1" applyBorder="1" applyFont="1">
      <alignment horizontal="left" readingOrder="0" shrinkToFit="0" wrapText="0"/>
    </xf>
    <xf borderId="12" fillId="3" fontId="11" numFmtId="0" xfId="0" applyAlignment="1" applyBorder="1" applyFont="1">
      <alignment horizontal="left" readingOrder="0" shrinkToFit="0" wrapText="1"/>
    </xf>
    <xf borderId="12" fillId="3" fontId="12" numFmtId="0" xfId="0" applyAlignment="1" applyBorder="1" applyFont="1">
      <alignment horizontal="left" readingOrder="0" vertical="bottom"/>
    </xf>
    <xf borderId="0" fillId="3" fontId="11" numFmtId="0" xfId="0" applyAlignment="1" applyFont="1">
      <alignment horizontal="left" readingOrder="0" shrinkToFit="0" wrapText="1"/>
    </xf>
    <xf borderId="0" fillId="3" fontId="11" numFmtId="0" xfId="0" applyAlignment="1" applyFont="1">
      <alignment horizontal="left" readingOrder="0" shrinkToFit="0" wrapText="1"/>
    </xf>
    <xf borderId="0" fillId="3" fontId="11" numFmtId="0" xfId="0" applyAlignment="1" applyFont="1">
      <alignment horizontal="left"/>
    </xf>
    <xf borderId="12" fillId="3" fontId="10" numFmtId="0" xfId="0" applyAlignment="1" applyBorder="1" applyFont="1">
      <alignment horizontal="left" readingOrder="0" shrinkToFit="0" wrapText="0"/>
    </xf>
    <xf borderId="12" fillId="3" fontId="10" numFmtId="0" xfId="0" applyAlignment="1" applyBorder="1" applyFont="1">
      <alignment horizontal="left" readingOrder="0" shrinkToFit="0" wrapText="1"/>
    </xf>
    <xf borderId="12" fillId="3" fontId="10" numFmtId="165" xfId="0" applyAlignment="1" applyBorder="1" applyFont="1" applyNumberFormat="1">
      <alignment horizontal="left" readingOrder="0" shrinkToFit="0" wrapText="1"/>
    </xf>
    <xf borderId="12" fillId="3" fontId="13" numFmtId="0" xfId="0" applyAlignment="1" applyBorder="1" applyFont="1">
      <alignment horizontal="left" readingOrder="0" vertical="bottom"/>
    </xf>
    <xf borderId="12" fillId="3" fontId="14" numFmtId="0" xfId="0" applyAlignment="1" applyBorder="1" applyFont="1">
      <alignment horizontal="left" readingOrder="0" shrinkToFit="0" wrapText="1"/>
    </xf>
    <xf borderId="0" fillId="3" fontId="14" numFmtId="0" xfId="0" applyAlignment="1" applyFont="1">
      <alignment horizontal="left" readingOrder="0" shrinkToFit="0" wrapText="1"/>
    </xf>
    <xf borderId="0" fillId="3" fontId="14" numFmtId="0" xfId="0" applyAlignment="1" applyFont="1">
      <alignment horizontal="left" readingOrder="0" shrinkToFit="0" wrapText="1"/>
    </xf>
    <xf borderId="0" fillId="3" fontId="10" numFmtId="0" xfId="0" applyAlignment="1" applyFont="1">
      <alignment horizontal="left"/>
    </xf>
    <xf borderId="12" fillId="4" fontId="10" numFmtId="0" xfId="0" applyAlignment="1" applyBorder="1" applyFill="1" applyFont="1">
      <alignment horizontal="left" readingOrder="0" shrinkToFit="0" wrapText="0"/>
    </xf>
    <xf borderId="12" fillId="4" fontId="10" numFmtId="0" xfId="0" applyAlignment="1" applyBorder="1" applyFont="1">
      <alignment horizontal="left" readingOrder="0" shrinkToFit="0" wrapText="1"/>
    </xf>
    <xf borderId="12" fillId="4" fontId="10" numFmtId="165" xfId="0" applyAlignment="1" applyBorder="1" applyFont="1" applyNumberFormat="1">
      <alignment horizontal="left" readingOrder="0" shrinkToFit="0" wrapText="1"/>
    </xf>
    <xf borderId="12" fillId="4" fontId="13" numFmtId="0" xfId="0" applyAlignment="1" applyBorder="1" applyFont="1">
      <alignment horizontal="left" readingOrder="0" vertical="bottom"/>
    </xf>
    <xf borderId="12" fillId="4" fontId="14" numFmtId="0" xfId="0" applyAlignment="1" applyBorder="1" applyFont="1">
      <alignment horizontal="left" readingOrder="0" shrinkToFit="0" wrapText="1"/>
    </xf>
    <xf borderId="0" fillId="4" fontId="14" numFmtId="0" xfId="0" applyAlignment="1" applyFont="1">
      <alignment horizontal="left" readingOrder="0" shrinkToFit="0" wrapText="1"/>
    </xf>
    <xf borderId="0" fillId="4" fontId="14" numFmtId="0" xfId="0" applyAlignment="1" applyFont="1">
      <alignment horizontal="left" readingOrder="0" shrinkToFit="0" wrapText="1"/>
    </xf>
    <xf borderId="0" fillId="4" fontId="10" numFmtId="0" xfId="0" applyAlignment="1" applyFont="1">
      <alignment horizontal="left"/>
    </xf>
    <xf borderId="12" fillId="3" fontId="13" numFmtId="0" xfId="0" applyAlignment="1" applyBorder="1" applyFont="1">
      <alignment horizontal="left" readingOrder="0" vertical="bottom"/>
    </xf>
    <xf borderId="12" fillId="3" fontId="15" numFmtId="0" xfId="0" applyAlignment="1" applyBorder="1" applyFont="1">
      <alignment horizontal="left" readingOrder="0" shrinkToFit="0" vertical="bottom" wrapText="0"/>
    </xf>
    <xf borderId="12" fillId="3" fontId="15" numFmtId="0" xfId="0" applyAlignment="1" applyBorder="1" applyFont="1">
      <alignment horizontal="left" readingOrder="0" shrinkToFit="0" vertical="bottom" wrapText="1"/>
    </xf>
    <xf borderId="12" fillId="3" fontId="15" numFmtId="0" xfId="0" applyAlignment="1" applyBorder="1" applyFont="1">
      <alignment horizontal="left" readingOrder="0" shrinkToFit="0" vertical="bottom" wrapText="0"/>
    </xf>
    <xf borderId="12" fillId="3" fontId="15" numFmtId="165" xfId="0" applyAlignment="1" applyBorder="1" applyFont="1" applyNumberFormat="1">
      <alignment horizontal="left" readingOrder="0" shrinkToFit="0" vertical="bottom" wrapText="1"/>
    </xf>
    <xf borderId="12" fillId="3" fontId="16" numFmtId="0" xfId="0" applyAlignment="1" applyBorder="1" applyFont="1">
      <alignment horizontal="left" readingOrder="0" shrinkToFit="0" vertical="bottom" wrapText="1"/>
    </xf>
    <xf borderId="12" fillId="3" fontId="0" numFmtId="0" xfId="0" applyAlignment="1" applyBorder="1" applyFont="1">
      <alignment horizontal="left" readingOrder="0" vertical="bottom"/>
    </xf>
    <xf borderId="12" fillId="3" fontId="0" numFmtId="0" xfId="0" applyAlignment="1" applyBorder="1" applyFont="1">
      <alignment horizontal="left" readingOrder="0" shrinkToFit="0" vertical="bottom" wrapText="0"/>
    </xf>
    <xf borderId="12" fillId="3" fontId="17" numFmtId="0" xfId="0" applyAlignment="1" applyBorder="1" applyFont="1">
      <alignment horizontal="left" readingOrder="0" shrinkToFit="0" wrapText="1"/>
    </xf>
    <xf borderId="12" fillId="3" fontId="0" numFmtId="165" xfId="0" applyAlignment="1" applyBorder="1" applyFont="1" applyNumberFormat="1">
      <alignment horizontal="left" readingOrder="0" shrinkToFit="0" vertical="bottom" wrapText="1"/>
    </xf>
    <xf borderId="12" fillId="3" fontId="0" numFmtId="0" xfId="0" applyAlignment="1" applyBorder="1" applyFont="1">
      <alignment horizontal="left" readingOrder="0" shrinkToFit="0" vertical="bottom" wrapText="1"/>
    </xf>
    <xf borderId="12" fillId="3" fontId="18" numFmtId="0" xfId="0" applyAlignment="1" applyBorder="1" applyFont="1">
      <alignment horizontal="left" readingOrder="0" shrinkToFit="0" wrapText="1"/>
    </xf>
    <xf borderId="0" fillId="3" fontId="18" numFmtId="0" xfId="0" applyAlignment="1" applyFont="1">
      <alignment horizontal="left" readingOrder="0" shrinkToFit="0" wrapText="1"/>
    </xf>
    <xf borderId="12" fillId="3" fontId="15" numFmtId="166" xfId="0" applyAlignment="1" applyBorder="1" applyFont="1" applyNumberFormat="1">
      <alignment horizontal="left" readingOrder="0" shrinkToFit="0" vertical="bottom" wrapText="1"/>
    </xf>
    <xf borderId="12" fillId="3" fontId="12" numFmtId="0" xfId="0" applyAlignment="1" applyBorder="1" applyFont="1">
      <alignment horizontal="left" readingOrder="0" shrinkToFit="0" wrapText="1"/>
    </xf>
    <xf borderId="0" fillId="3" fontId="12" numFmtId="0" xfId="0" applyAlignment="1" applyFont="1">
      <alignment horizontal="left" readingOrder="0" shrinkToFit="0" wrapText="1"/>
    </xf>
    <xf borderId="0" fillId="3" fontId="19" numFmtId="0" xfId="0" applyAlignment="1" applyFont="1">
      <alignment horizontal="left"/>
    </xf>
    <xf borderId="12" fillId="4" fontId="15" numFmtId="0" xfId="0" applyAlignment="1" applyBorder="1" applyFont="1">
      <alignment horizontal="left" readingOrder="0" shrinkToFit="0" vertical="bottom" wrapText="0"/>
    </xf>
    <xf borderId="12" fillId="4" fontId="17" numFmtId="0" xfId="0" applyAlignment="1" applyBorder="1" applyFont="1">
      <alignment horizontal="left" readingOrder="0" shrinkToFit="0" wrapText="1"/>
    </xf>
    <xf borderId="12" fillId="4" fontId="15" numFmtId="166" xfId="0" applyAlignment="1" applyBorder="1" applyFont="1" applyNumberFormat="1">
      <alignment horizontal="left" readingOrder="0" shrinkToFit="0" vertical="bottom" wrapText="0"/>
    </xf>
    <xf borderId="12" fillId="4" fontId="15" numFmtId="0" xfId="0" applyAlignment="1" applyBorder="1" applyFont="1">
      <alignment readingOrder="0" shrinkToFit="0" vertical="bottom" wrapText="0"/>
    </xf>
    <xf borderId="12" fillId="4" fontId="20" numFmtId="0" xfId="0" applyAlignment="1" applyBorder="1" applyFont="1">
      <alignment horizontal="left" readingOrder="0" shrinkToFit="0" vertical="bottom" wrapText="1"/>
    </xf>
    <xf borderId="0" fillId="4" fontId="20" numFmtId="0" xfId="0" applyAlignment="1" applyFont="1">
      <alignment horizontal="left" readingOrder="0" shrinkToFit="0" vertical="bottom" wrapText="1"/>
    </xf>
    <xf borderId="12" fillId="3" fontId="15" numFmtId="0" xfId="0" applyAlignment="1" applyBorder="1" applyFont="1">
      <alignment readingOrder="0" shrinkToFit="0" vertical="bottom" wrapText="0"/>
    </xf>
    <xf borderId="12" fillId="3" fontId="15" numFmtId="166" xfId="0" applyAlignment="1" applyBorder="1" applyFont="1" applyNumberFormat="1">
      <alignment horizontal="left" readingOrder="0" shrinkToFit="0" vertical="bottom" wrapText="0"/>
    </xf>
    <xf borderId="12" fillId="3" fontId="20" numFmtId="0" xfId="0" applyAlignment="1" applyBorder="1" applyFont="1">
      <alignment horizontal="left" readingOrder="0" shrinkToFit="0" vertical="bottom" wrapText="1"/>
    </xf>
    <xf borderId="0" fillId="3" fontId="20" numFmtId="0" xfId="0" applyAlignment="1" applyFont="1">
      <alignment horizontal="left" readingOrder="0" shrinkToFit="0" vertical="bottom" wrapText="1"/>
    </xf>
    <xf borderId="12" fillId="3" fontId="13" numFmtId="0" xfId="0" applyAlignment="1" applyBorder="1" applyFont="1">
      <alignment horizontal="left" readingOrder="0" shrinkToFit="0" vertical="bottom" wrapText="0"/>
    </xf>
    <xf borderId="12" fillId="5" fontId="15" numFmtId="0" xfId="0" applyAlignment="1" applyBorder="1" applyFill="1" applyFont="1">
      <alignment horizontal="left" readingOrder="0" shrinkToFit="0" vertical="bottom" wrapText="0"/>
    </xf>
    <xf borderId="12" fillId="5" fontId="15" numFmtId="0" xfId="0" applyAlignment="1" applyBorder="1" applyFont="1">
      <alignment readingOrder="0" shrinkToFit="0" vertical="bottom" wrapText="0"/>
    </xf>
    <xf borderId="12" fillId="5" fontId="15" numFmtId="166" xfId="0" applyAlignment="1" applyBorder="1" applyFont="1" applyNumberFormat="1">
      <alignment horizontal="left" readingOrder="0" shrinkToFit="0" vertical="bottom" wrapText="0"/>
    </xf>
    <xf borderId="12" fillId="5" fontId="10" numFmtId="0" xfId="0" applyAlignment="1" applyBorder="1" applyFont="1">
      <alignment horizontal="left" readingOrder="0" shrinkToFit="0" wrapText="1"/>
    </xf>
    <xf borderId="12" fillId="5" fontId="13" numFmtId="0" xfId="0" applyAlignment="1" applyBorder="1" applyFont="1">
      <alignment horizontal="left" readingOrder="0" shrinkToFit="0" vertical="bottom" wrapText="0"/>
    </xf>
    <xf borderId="12" fillId="5" fontId="13" numFmtId="0" xfId="0" applyAlignment="1" applyBorder="1" applyFont="1">
      <alignment horizontal="left" readingOrder="0" vertical="bottom"/>
    </xf>
    <xf borderId="12" fillId="5" fontId="14" numFmtId="0" xfId="0" applyAlignment="1" applyBorder="1" applyFont="1">
      <alignment horizontal="left" readingOrder="0" shrinkToFit="0" wrapText="1"/>
    </xf>
    <xf borderId="0" fillId="5" fontId="14" numFmtId="0" xfId="0" applyAlignment="1" applyFont="1">
      <alignment horizontal="left" readingOrder="0" shrinkToFit="0" wrapText="1"/>
    </xf>
    <xf borderId="0" fillId="5" fontId="10" numFmtId="0" xfId="0" applyAlignment="1" applyFont="1">
      <alignment horizontal="left"/>
    </xf>
    <xf borderId="0" fillId="3" fontId="10" numFmtId="0" xfId="0" applyAlignment="1" applyFont="1">
      <alignment readingOrder="0"/>
    </xf>
    <xf borderId="12" fillId="3" fontId="10" numFmtId="0" xfId="0" applyAlignment="1" applyBorder="1" applyFont="1">
      <alignment horizontal="left" readingOrder="0"/>
    </xf>
    <xf borderId="12" fillId="3" fontId="14" numFmtId="0" xfId="0" applyAlignment="1" applyBorder="1" applyFont="1">
      <alignment horizontal="left" readingOrder="0"/>
    </xf>
    <xf borderId="0" fillId="3" fontId="14" numFmtId="0" xfId="0" applyAlignment="1" applyFont="1">
      <alignment horizontal="left" readingOrder="0"/>
    </xf>
    <xf borderId="12" fillId="3" fontId="10" numFmtId="0" xfId="0" applyAlignment="1" applyBorder="1" applyFont="1">
      <alignment horizontal="left"/>
    </xf>
    <xf borderId="0" fillId="3" fontId="10" numFmtId="0" xfId="0" applyAlignment="1" applyFont="1">
      <alignment horizontal="left" readingOrder="0"/>
    </xf>
    <xf borderId="12" fillId="3" fontId="13" numFmtId="0" xfId="0" applyAlignment="1" applyBorder="1" applyFont="1">
      <alignment vertical="bottom"/>
    </xf>
    <xf borderId="12" fillId="4" fontId="10" numFmtId="0" xfId="0" applyAlignment="1" applyBorder="1" applyFont="1">
      <alignment horizontal="left" readingOrder="0"/>
    </xf>
    <xf borderId="12" fillId="4" fontId="13" numFmtId="0" xfId="0" applyAlignment="1" applyBorder="1" applyFont="1">
      <alignment vertical="bottom"/>
    </xf>
    <xf borderId="12" fillId="4" fontId="15" numFmtId="0" xfId="0" applyAlignment="1" applyBorder="1" applyFont="1">
      <alignment horizontal="left" readingOrder="0" shrinkToFit="0" vertical="center" wrapText="0"/>
    </xf>
    <xf borderId="12" fillId="4" fontId="21" numFmtId="0" xfId="0" applyAlignment="1" applyBorder="1" applyFont="1">
      <alignment horizontal="left" readingOrder="0" shrinkToFit="0" vertical="center" wrapText="1"/>
    </xf>
    <xf borderId="12" fillId="3" fontId="10" numFmtId="166" xfId="0" applyAlignment="1" applyBorder="1" applyFont="1" applyNumberFormat="1">
      <alignment horizontal="left" readingOrder="0"/>
    </xf>
    <xf borderId="12" fillId="3" fontId="15" numFmtId="0" xfId="0" applyAlignment="1" applyBorder="1" applyFont="1">
      <alignment horizontal="left" readingOrder="0" shrinkToFit="0" vertical="center" wrapText="0"/>
    </xf>
    <xf borderId="12" fillId="3" fontId="21" numFmtId="0" xfId="0" applyAlignment="1" applyBorder="1" applyFont="1">
      <alignment horizontal="left" readingOrder="0" shrinkToFit="0" vertical="center" wrapText="1"/>
    </xf>
    <xf borderId="0" fillId="3" fontId="14" numFmtId="0" xfId="0" applyAlignment="1" applyFont="1">
      <alignment horizontal="left" readingOrder="0" shrinkToFit="0" wrapText="1"/>
    </xf>
    <xf borderId="12" fillId="3" fontId="10" numFmtId="0" xfId="0" applyAlignment="1" applyBorder="1" applyFont="1">
      <alignment horizontal="left" readingOrder="0" shrinkToFit="0" wrapText="1"/>
    </xf>
    <xf borderId="12" fillId="3" fontId="10" numFmtId="0" xfId="0" applyAlignment="1" applyBorder="1" applyFont="1">
      <alignment readingOrder="0"/>
    </xf>
    <xf borderId="12" fillId="3" fontId="10" numFmtId="0" xfId="0" applyAlignment="1" applyBorder="1" applyFont="1">
      <alignment horizontal="left" readingOrder="0"/>
    </xf>
    <xf borderId="12" fillId="3" fontId="15" numFmtId="0" xfId="0" applyAlignment="1" applyBorder="1" applyFont="1">
      <alignment horizontal="left" readingOrder="0" shrinkToFit="0" vertical="center" wrapText="1"/>
    </xf>
    <xf borderId="0" fillId="3" fontId="15" numFmtId="0" xfId="0" applyAlignment="1" applyFont="1">
      <alignment horizontal="left" readingOrder="0" shrinkToFit="0" vertical="center" wrapText="1"/>
    </xf>
    <xf borderId="0" fillId="3" fontId="10" numFmtId="0" xfId="0" applyAlignment="1" applyFont="1">
      <alignment horizontal="left" readingOrder="0"/>
    </xf>
    <xf borderId="12" fillId="3" fontId="14" numFmtId="0" xfId="0" applyAlignment="1" applyBorder="1" applyFont="1">
      <alignment readingOrder="0"/>
    </xf>
    <xf borderId="0" fillId="3" fontId="14" numFmtId="0" xfId="0" applyAlignment="1" applyFont="1">
      <alignment horizontal="left" readingOrder="0"/>
    </xf>
    <xf borderId="12" fillId="3" fontId="10" numFmtId="0" xfId="0" applyAlignment="1" applyBorder="1" applyFont="1">
      <alignment readingOrder="0" shrinkToFit="0" wrapText="1"/>
    </xf>
    <xf borderId="0" fillId="3" fontId="10" numFmtId="0" xfId="0" applyAlignment="1" applyFont="1">
      <alignment horizontal="left" readingOrder="0" shrinkToFit="0" wrapText="1"/>
    </xf>
    <xf borderId="12" fillId="3" fontId="10" numFmtId="0" xfId="0" applyAlignment="1" applyBorder="1" applyFont="1">
      <alignment horizontal="left" readingOrder="0" shrinkToFit="0" wrapText="1"/>
    </xf>
    <xf borderId="0" fillId="3" fontId="10" numFmtId="0" xfId="0" applyAlignment="1" applyFont="1">
      <alignment horizontal="left" readingOrder="0" shrinkToFit="0" wrapText="1"/>
    </xf>
    <xf borderId="0" fillId="3" fontId="10" numFmtId="0" xfId="0" applyAlignment="1" applyFont="1">
      <alignment horizontal="left" readingOrder="0" shrinkToFit="0" wrapText="1"/>
    </xf>
    <xf borderId="12" fillId="3" fontId="13" numFmtId="0" xfId="0" applyAlignment="1" applyBorder="1" applyFont="1">
      <alignment horizontal="left" readingOrder="0" vertical="bottom"/>
    </xf>
    <xf borderId="12" fillId="4" fontId="10" numFmtId="166" xfId="0" applyAlignment="1" applyBorder="1" applyFont="1" applyNumberFormat="1">
      <alignment horizontal="left" readingOrder="0"/>
    </xf>
    <xf borderId="12" fillId="4" fontId="13" numFmtId="0" xfId="0" applyAlignment="1" applyBorder="1" applyFont="1">
      <alignment horizontal="left" readingOrder="0" vertical="bottom"/>
    </xf>
    <xf borderId="12" fillId="5" fontId="16" numFmtId="0" xfId="0" applyAlignment="1" applyBorder="1" applyFont="1">
      <alignment horizontal="left" readingOrder="0"/>
    </xf>
    <xf borderId="12" fillId="5" fontId="16" numFmtId="166" xfId="0" applyAlignment="1" applyBorder="1" applyFont="1" applyNumberFormat="1">
      <alignment horizontal="left" readingOrder="0"/>
    </xf>
    <xf borderId="12" fillId="5" fontId="16" numFmtId="0" xfId="0" applyAlignment="1" applyBorder="1" applyFont="1">
      <alignment horizontal="left" readingOrder="0" shrinkToFit="0" wrapText="1"/>
    </xf>
    <xf borderId="12" fillId="5" fontId="15" numFmtId="0" xfId="0" applyAlignment="1" applyBorder="1" applyFont="1">
      <alignment horizontal="left" readingOrder="0" shrinkToFit="0" vertical="center" wrapText="0"/>
    </xf>
    <xf borderId="12" fillId="5" fontId="15" numFmtId="0" xfId="0" applyAlignment="1" applyBorder="1" applyFont="1">
      <alignment horizontal="left" readingOrder="0" vertical="bottom"/>
    </xf>
    <xf borderId="12" fillId="5" fontId="22" numFmtId="0" xfId="0" applyAlignment="1" applyBorder="1" applyFont="1">
      <alignment horizontal="left" readingOrder="0" shrinkToFit="0" wrapText="1"/>
    </xf>
    <xf borderId="0" fillId="5" fontId="22" numFmtId="0" xfId="0" applyAlignment="1" applyFont="1">
      <alignment horizontal="left" readingOrder="0" shrinkToFit="0" wrapText="1"/>
    </xf>
    <xf borderId="0" fillId="5" fontId="16" numFmtId="0" xfId="0" applyAlignment="1" applyFont="1">
      <alignment horizontal="left"/>
    </xf>
    <xf borderId="13" fillId="3" fontId="10" numFmtId="0" xfId="0" applyAlignment="1" applyBorder="1" applyFont="1">
      <alignment horizontal="left" readingOrder="0"/>
    </xf>
    <xf borderId="13" fillId="3" fontId="10" numFmtId="166" xfId="0" applyAlignment="1" applyBorder="1" applyFont="1" applyNumberFormat="1">
      <alignment horizontal="left" readingOrder="0"/>
    </xf>
    <xf borderId="13" fillId="3" fontId="10" numFmtId="0" xfId="0" applyAlignment="1" applyBorder="1" applyFont="1">
      <alignment horizontal="left" readingOrder="0" shrinkToFit="0" wrapText="1"/>
    </xf>
    <xf borderId="13" fillId="3" fontId="15" numFmtId="0" xfId="0" applyAlignment="1" applyBorder="1" applyFont="1">
      <alignment horizontal="left" readingOrder="0" shrinkToFit="0" vertical="center" wrapText="0"/>
    </xf>
    <xf borderId="13" fillId="3" fontId="13" numFmtId="0" xfId="0" applyAlignment="1" applyBorder="1" applyFont="1">
      <alignment horizontal="left" readingOrder="0" vertical="bottom"/>
    </xf>
    <xf borderId="13" fillId="3" fontId="14" numFmtId="0" xfId="0" applyAlignment="1" applyBorder="1" applyFont="1">
      <alignment horizontal="left" readingOrder="0" shrinkToFit="0" wrapText="1"/>
    </xf>
    <xf borderId="12" fillId="5" fontId="10" numFmtId="0" xfId="0" applyAlignment="1" applyBorder="1" applyFont="1">
      <alignment horizontal="left" readingOrder="0"/>
    </xf>
    <xf borderId="12" fillId="5" fontId="10" numFmtId="166" xfId="0" applyAlignment="1" applyBorder="1" applyFont="1" applyNumberFormat="1">
      <alignment horizontal="left" readingOrder="0"/>
    </xf>
    <xf borderId="12" fillId="5" fontId="10" numFmtId="167" xfId="0" applyAlignment="1" applyBorder="1" applyFont="1" applyNumberFormat="1">
      <alignment horizontal="left" readingOrder="0"/>
    </xf>
    <xf borderId="12" fillId="5" fontId="13" numFmtId="0" xfId="0" applyAlignment="1" applyBorder="1" applyFont="1">
      <alignment horizontal="left" readingOrder="0" vertical="bottom"/>
    </xf>
    <xf borderId="0" fillId="5" fontId="14" numFmtId="0" xfId="0" applyAlignment="1" applyFont="1">
      <alignment horizontal="left" readingOrder="0" shrinkToFit="0" wrapText="1"/>
    </xf>
    <xf borderId="12" fillId="5" fontId="15" numFmtId="0" xfId="0" applyAlignment="1" applyBorder="1" applyFont="1">
      <alignment horizontal="left" readingOrder="0" shrinkToFit="0" vertical="center" wrapText="0"/>
    </xf>
    <xf borderId="12" fillId="3" fontId="10" numFmtId="0" xfId="0" applyAlignment="1" applyBorder="1" applyFont="1">
      <alignment horizontal="left" readingOrder="0"/>
    </xf>
    <xf borderId="12" fillId="3" fontId="15" numFmtId="0" xfId="0" applyAlignment="1" applyBorder="1" applyFont="1">
      <alignment horizontal="left" readingOrder="0" shrinkToFit="0" vertical="center" wrapText="0"/>
    </xf>
    <xf borderId="12" fillId="3" fontId="13" numFmtId="0" xfId="0" applyAlignment="1" applyBorder="1" applyFont="1">
      <alignment horizontal="left" readingOrder="0" vertical="bottom"/>
    </xf>
    <xf borderId="12" fillId="3" fontId="10" numFmtId="0" xfId="0" applyAlignment="1" applyBorder="1" applyFont="1">
      <alignment horizontal="left" readingOrder="0" shrinkToFit="0" wrapText="1"/>
    </xf>
    <xf borderId="12" fillId="3" fontId="14" numFmtId="0" xfId="0" applyAlignment="1" applyBorder="1" applyFont="1">
      <alignment horizontal="left" readingOrder="0" shrinkToFit="0" wrapText="1"/>
    </xf>
    <xf borderId="0" fillId="5" fontId="10" numFmtId="0" xfId="0" applyAlignment="1" applyFont="1">
      <alignment horizontal="left" readingOrder="0"/>
    </xf>
    <xf borderId="12" fillId="5" fontId="13" numFmtId="0" xfId="0" applyAlignment="1" applyBorder="1" applyFont="1">
      <alignment vertical="bottom"/>
    </xf>
    <xf borderId="12" fillId="6" fontId="10" numFmtId="0" xfId="0" applyAlignment="1" applyBorder="1" applyFill="1" applyFont="1">
      <alignment horizontal="left" readingOrder="0"/>
    </xf>
    <xf borderId="12" fillId="6" fontId="13" numFmtId="0" xfId="0" applyAlignment="1" applyBorder="1" applyFont="1">
      <alignment vertical="bottom"/>
    </xf>
    <xf borderId="12" fillId="6" fontId="10" numFmtId="166" xfId="0" applyAlignment="1" applyBorder="1" applyFont="1" applyNumberFormat="1">
      <alignment horizontal="left" readingOrder="0"/>
    </xf>
    <xf borderId="12" fillId="6" fontId="10" numFmtId="0" xfId="0" applyAlignment="1" applyBorder="1" applyFont="1">
      <alignment horizontal="left" readingOrder="0" shrinkToFit="0" wrapText="1"/>
    </xf>
    <xf borderId="12" fillId="6" fontId="15" numFmtId="0" xfId="0" applyAlignment="1" applyBorder="1" applyFont="1">
      <alignment horizontal="left" readingOrder="0" shrinkToFit="0" vertical="center" wrapText="0"/>
    </xf>
    <xf borderId="12" fillId="6" fontId="10" numFmtId="0" xfId="0" applyAlignment="1" applyBorder="1" applyFont="1">
      <alignment horizontal="left" readingOrder="0" shrinkToFit="0" wrapText="1"/>
    </xf>
    <xf borderId="0" fillId="6" fontId="10" numFmtId="0" xfId="0" applyAlignment="1" applyFont="1">
      <alignment horizontal="left" readingOrder="0" shrinkToFit="0" wrapText="1"/>
    </xf>
    <xf borderId="0" fillId="6" fontId="10" numFmtId="0" xfId="0" applyAlignment="1" applyFont="1">
      <alignment horizontal="left"/>
    </xf>
    <xf borderId="12" fillId="6" fontId="14" numFmtId="0" xfId="0" applyAlignment="1" applyBorder="1" applyFont="1">
      <alignment horizontal="left" readingOrder="0" shrinkToFit="0" wrapText="1"/>
    </xf>
    <xf borderId="12" fillId="6" fontId="16" numFmtId="0" xfId="0" applyAlignment="1" applyBorder="1" applyFont="1">
      <alignment horizontal="left" readingOrder="0"/>
    </xf>
    <xf borderId="12" fillId="6" fontId="16" numFmtId="166" xfId="0" applyAlignment="1" applyBorder="1" applyFont="1" applyNumberFormat="1">
      <alignment horizontal="left" readingOrder="0"/>
    </xf>
    <xf borderId="12" fillId="6" fontId="16" numFmtId="0" xfId="0" applyAlignment="1" applyBorder="1" applyFont="1">
      <alignment horizontal="left" readingOrder="0" shrinkToFit="0" wrapText="1"/>
    </xf>
    <xf borderId="12" fillId="6" fontId="22" numFmtId="0" xfId="0" applyAlignment="1" applyBorder="1" applyFont="1">
      <alignment horizontal="left" readingOrder="0" shrinkToFit="0" wrapText="1"/>
    </xf>
    <xf borderId="0" fillId="6" fontId="22" numFmtId="0" xfId="0" applyAlignment="1" applyFont="1">
      <alignment horizontal="left" readingOrder="0" shrinkToFit="0" wrapText="1"/>
    </xf>
    <xf borderId="0" fillId="6" fontId="16" numFmtId="0" xfId="0" applyAlignment="1" applyFont="1">
      <alignment horizontal="left"/>
    </xf>
    <xf borderId="0" fillId="6" fontId="14" numFmtId="0" xfId="0" applyAlignment="1" applyFont="1">
      <alignment horizontal="left" readingOrder="0" shrinkToFit="0" wrapText="1"/>
    </xf>
    <xf borderId="0" fillId="0" fontId="10" numFmtId="0" xfId="0" applyAlignment="1" applyFont="1">
      <alignment readingOrder="0"/>
    </xf>
    <xf borderId="0" fillId="6" fontId="10" numFmtId="0" xfId="0" applyAlignment="1" applyFont="1">
      <alignment horizontal="left" readingOrder="0"/>
    </xf>
    <xf borderId="0" fillId="6" fontId="15" numFmtId="0" xfId="0" applyAlignment="1" applyFont="1">
      <alignment horizontal="left" readingOrder="0" shrinkToFit="0" vertical="center" wrapText="0"/>
    </xf>
    <xf borderId="0" fillId="6" fontId="15" numFmtId="0" xfId="0" applyAlignment="1" applyFont="1">
      <alignment horizontal="left" readingOrder="0" shrinkToFit="0" vertical="center" wrapText="0"/>
    </xf>
    <xf borderId="0" fillId="6" fontId="10" numFmtId="0" xfId="0" applyAlignment="1" applyFont="1">
      <alignment horizontal="left" readingOrder="0" shrinkToFit="0" wrapText="1"/>
    </xf>
    <xf borderId="0" fillId="6" fontId="14" numFmtId="0" xfId="0" applyAlignment="1" applyFont="1">
      <alignment horizontal="left" readingOrder="0" shrinkToFit="0" wrapText="1"/>
    </xf>
    <xf borderId="12" fillId="3" fontId="11" numFmtId="0" xfId="0" applyAlignment="1" applyBorder="1" applyFont="1">
      <alignment horizontal="left" readingOrder="0"/>
    </xf>
    <xf borderId="12" fillId="0" fontId="10" numFmtId="0" xfId="0" applyAlignment="1" applyBorder="1" applyFont="1">
      <alignment horizontal="center" readingOrder="0"/>
    </xf>
    <xf borderId="12" fillId="0" fontId="10" numFmtId="0" xfId="0" applyAlignment="1" applyBorder="1" applyFont="1">
      <alignment horizontal="left" readingOrder="0"/>
    </xf>
    <xf borderId="12" fillId="0" fontId="10" numFmtId="0" xfId="0" applyAlignment="1" applyBorder="1" applyFont="1">
      <alignment horizontal="left"/>
    </xf>
    <xf borderId="12" fillId="0" fontId="10" numFmtId="165" xfId="0" applyAlignment="1" applyBorder="1" applyFont="1" applyNumberFormat="1">
      <alignment horizontal="left" readingOrder="0"/>
    </xf>
    <xf borderId="12" fillId="0" fontId="10" numFmtId="0" xfId="0" applyBorder="1" applyFont="1"/>
    <xf borderId="12" fillId="0" fontId="10" numFmtId="0" xfId="0" applyAlignment="1" applyBorder="1" applyFont="1">
      <alignment readingOrder="0"/>
    </xf>
    <xf borderId="12" fillId="0" fontId="10" numFmtId="0" xfId="0" applyAlignment="1" applyBorder="1" applyFont="1">
      <alignment readingOrder="0" shrinkToFit="0" wrapText="1"/>
    </xf>
    <xf borderId="12" fillId="3" fontId="10" numFmtId="0" xfId="0" applyAlignment="1" applyBorder="1" applyFont="1">
      <alignment horizontal="center" readingOrder="0"/>
    </xf>
    <xf borderId="12" fillId="3" fontId="10" numFmtId="0" xfId="0" applyBorder="1" applyFont="1"/>
    <xf borderId="12" fillId="3" fontId="10" numFmtId="165" xfId="0" applyAlignment="1" applyBorder="1" applyFont="1" applyNumberFormat="1">
      <alignment horizontal="left" readingOrder="0"/>
    </xf>
    <xf borderId="12" fillId="3" fontId="14" numFmtId="0" xfId="0" applyAlignment="1" applyBorder="1" applyFont="1">
      <alignment readingOrder="0" shrinkToFit="0" wrapText="1"/>
    </xf>
    <xf borderId="0" fillId="3" fontId="10" numFmtId="0" xfId="0" applyFont="1"/>
    <xf borderId="12" fillId="3" fontId="10" numFmtId="166" xfId="0" applyAlignment="1" applyBorder="1" applyFont="1" applyNumberFormat="1">
      <alignment readingOrder="0"/>
    </xf>
    <xf borderId="12" fillId="3" fontId="23" numFmtId="0" xfId="0" applyAlignment="1" applyBorder="1" applyFont="1">
      <alignment horizontal="center" readingOrder="0" shrinkToFit="0" vertical="center" wrapText="1"/>
    </xf>
    <xf borderId="12" fillId="3" fontId="24" numFmtId="0" xfId="0" applyAlignment="1" applyBorder="1" applyFont="1">
      <alignment horizontal="center" readingOrder="0" shrinkToFit="0" vertical="center" wrapText="1"/>
    </xf>
    <xf borderId="12" fillId="3" fontId="23" numFmtId="0" xfId="0" applyAlignment="1" applyBorder="1" applyFont="1">
      <alignment horizontal="center" readingOrder="0" shrinkToFit="0" vertical="center" wrapText="1"/>
    </xf>
    <xf borderId="12" fillId="3" fontId="20" numFmtId="0" xfId="0" applyAlignment="1" applyBorder="1" applyFont="1">
      <alignment horizontal="center" readingOrder="0" shrinkToFit="0" vertical="center" wrapText="1"/>
    </xf>
    <xf borderId="12" fillId="3" fontId="22" numFmtId="0" xfId="0" applyAlignment="1" applyBorder="1" applyFont="1">
      <alignment horizontal="center" readingOrder="0" shrinkToFit="0" vertical="center" wrapText="1"/>
    </xf>
    <xf borderId="12" fillId="3" fontId="25" numFmtId="0" xfId="0" applyAlignment="1" applyBorder="1" applyFont="1">
      <alignment horizontal="center" readingOrder="0" shrinkToFit="0" vertical="center" wrapText="1"/>
    </xf>
    <xf borderId="12" fillId="3" fontId="26" numFmtId="0" xfId="0" applyAlignment="1" applyBorder="1" applyFont="1">
      <alignment horizontal="center" readingOrder="0" shrinkToFit="0" vertical="center" wrapText="1"/>
    </xf>
    <xf borderId="12" fillId="3" fontId="25" numFmtId="0" xfId="0" applyAlignment="1" applyBorder="1" applyFont="1">
      <alignment horizontal="center" readingOrder="0" shrinkToFit="0" vertical="center" wrapText="1"/>
    </xf>
    <xf borderId="12" fillId="3" fontId="25" numFmtId="165" xfId="0" applyAlignment="1" applyBorder="1" applyFont="1" applyNumberFormat="1">
      <alignment horizontal="center" readingOrder="0" shrinkToFit="0" vertical="center" wrapText="1"/>
    </xf>
    <xf borderId="12" fillId="3" fontId="15" numFmtId="0" xfId="0" applyAlignment="1" applyBorder="1" applyFont="1">
      <alignment horizontal="center" readingOrder="0" shrinkToFit="0" vertical="center" wrapText="1"/>
    </xf>
    <xf borderId="12" fillId="3" fontId="16"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12" fillId="3" fontId="15" numFmtId="0" xfId="0" applyAlignment="1" applyBorder="1" applyFont="1">
      <alignment horizontal="center" readingOrder="0" shrinkToFit="0" vertical="center" wrapText="1"/>
    </xf>
    <xf borderId="12" fillId="3" fontId="15" numFmtId="167" xfId="0" applyAlignment="1" applyBorder="1" applyFont="1" applyNumberFormat="1">
      <alignment horizontal="center" readingOrder="0" shrinkToFit="0" vertical="center" wrapText="1"/>
    </xf>
    <xf borderId="12" fillId="0" fontId="10" numFmtId="0" xfId="0" applyAlignment="1" applyBorder="1" applyFont="1">
      <alignment horizontal="center" readingOrder="0" vertical="center"/>
    </xf>
    <xf borderId="0" fillId="0" fontId="10" numFmtId="0" xfId="0" applyAlignment="1" applyFont="1">
      <alignment shrinkToFit="0" vertical="center" wrapText="1"/>
    </xf>
    <xf borderId="12" fillId="0" fontId="14" numFmtId="0" xfId="0" applyAlignment="1" applyBorder="1" applyFont="1">
      <alignment horizontal="center" readingOrder="0" shrinkToFit="0" vertical="center" wrapText="1"/>
    </xf>
    <xf borderId="12" fillId="0" fontId="10" numFmtId="166" xfId="0" applyAlignment="1" applyBorder="1" applyFont="1" applyNumberFormat="1">
      <alignment horizontal="center" readingOrder="0" shrinkToFit="0" vertical="center" wrapText="1"/>
    </xf>
    <xf borderId="0" fillId="0" fontId="10" numFmtId="0" xfId="0" applyAlignment="1" applyFont="1">
      <alignment horizontal="center" shrinkToFit="0" vertical="center" wrapText="1"/>
    </xf>
    <xf borderId="12" fillId="0" fontId="10" numFmtId="168" xfId="0" applyAlignment="1" applyBorder="1" applyFont="1" applyNumberFormat="1">
      <alignment horizontal="center" readingOrder="0" shrinkToFit="0" vertical="center" wrapText="1"/>
    </xf>
    <xf borderId="12" fillId="0" fontId="10" numFmtId="167" xfId="0" applyAlignment="1" applyBorder="1" applyFont="1" applyNumberFormat="1">
      <alignment horizontal="center" readingOrder="0" shrinkToFit="0" vertical="center" wrapText="1"/>
    </xf>
    <xf borderId="12" fillId="0" fontId="15" numFmtId="0" xfId="0" applyAlignment="1" applyBorder="1" applyFont="1">
      <alignment horizontal="center" readingOrder="0" shrinkToFit="0" vertical="center" wrapText="1"/>
    </xf>
    <xf borderId="12" fillId="0" fontId="15" numFmtId="0" xfId="0" applyAlignment="1" applyBorder="1" applyFont="1">
      <alignment horizontal="center" shrinkToFit="0" vertical="center" wrapText="1"/>
    </xf>
    <xf borderId="12" fillId="0" fontId="10" numFmtId="0" xfId="0" applyAlignment="1" applyBorder="1" applyFont="1">
      <alignment horizontal="center" shrinkToFit="0" vertical="center" wrapText="1"/>
    </xf>
    <xf borderId="0" fillId="3" fontId="23" numFmtId="0" xfId="0" applyAlignment="1" applyFont="1">
      <alignment vertical="bottom"/>
    </xf>
    <xf borderId="0" fillId="0" fontId="22" numFmtId="0" xfId="0" applyAlignment="1" applyFont="1">
      <alignment vertical="bottom"/>
    </xf>
    <xf borderId="0" fillId="3" fontId="25" numFmtId="0" xfId="0" applyAlignment="1" applyFont="1">
      <alignment vertical="bottom"/>
    </xf>
    <xf borderId="0" fillId="0" fontId="16" numFmtId="0" xfId="0" applyFont="1"/>
    <xf borderId="12" fillId="0" fontId="16" numFmtId="0" xfId="0" applyAlignment="1" applyBorder="1" applyFont="1">
      <alignment horizontal="center" readingOrder="0" shrinkToFit="0" vertical="center" wrapText="1"/>
    </xf>
    <xf borderId="12" fillId="3" fontId="0" numFmtId="0" xfId="0" applyAlignment="1" applyBorder="1" applyFont="1">
      <alignment horizontal="center" readingOrder="0" shrinkToFit="0" vertical="center" wrapText="1"/>
    </xf>
    <xf borderId="12" fillId="0" fontId="0" numFmtId="0" xfId="0" applyAlignment="1" applyBorder="1" applyFont="1">
      <alignment horizontal="center" readingOrder="0" shrinkToFit="0" vertical="center" wrapText="1"/>
    </xf>
    <xf borderId="12" fillId="0" fontId="0" numFmtId="0" xfId="0" applyAlignment="1" applyBorder="1" applyFont="1">
      <alignment horizontal="center" readingOrder="0" shrinkToFit="0" vertical="center" wrapText="1"/>
    </xf>
    <xf borderId="12" fillId="0" fontId="16" numFmtId="0" xfId="0" applyAlignment="1" applyBorder="1" applyFont="1">
      <alignment horizontal="center" readingOrder="0" shrinkToFit="0" vertical="center" wrapText="1"/>
    </xf>
    <xf borderId="12" fillId="0" fontId="16" numFmtId="0" xfId="0" applyAlignment="1" applyBorder="1" applyFont="1">
      <alignment horizontal="center" readingOrder="0" vertical="center"/>
    </xf>
    <xf borderId="12" fillId="0" fontId="15" numFmtId="0" xfId="0" applyAlignment="1" applyBorder="1" applyFont="1">
      <alignment horizontal="center" readingOrder="0" shrinkToFit="0" vertical="center" wrapText="0"/>
    </xf>
    <xf borderId="12" fillId="0" fontId="15" numFmtId="0" xfId="0" applyAlignment="1" applyBorder="1" applyFont="1">
      <alignment horizontal="center" readingOrder="0" shrinkToFit="0" vertical="center" wrapText="0"/>
    </xf>
    <xf borderId="0" fillId="0" fontId="16" numFmtId="0" xfId="0" applyAlignment="1" applyFont="1">
      <alignment horizontal="center" vertical="center"/>
    </xf>
    <xf borderId="12" fillId="3" fontId="16" numFmtId="0" xfId="0" applyAlignment="1" applyBorder="1" applyFont="1">
      <alignment horizontal="center" readingOrder="0" vertical="center"/>
    </xf>
    <xf borderId="12" fillId="3" fontId="15" numFmtId="0" xfId="0" applyAlignment="1" applyBorder="1" applyFont="1">
      <alignment horizontal="center" readingOrder="0" shrinkToFit="0" vertical="center" wrapText="0"/>
    </xf>
    <xf borderId="12" fillId="3" fontId="16" numFmtId="0" xfId="0" applyAlignment="1" applyBorder="1" applyFont="1">
      <alignment horizontal="center" readingOrder="0" vertical="center"/>
    </xf>
    <xf borderId="12" fillId="3" fontId="15" numFmtId="0" xfId="0" applyAlignment="1" applyBorder="1" applyFont="1">
      <alignment horizontal="center" readingOrder="0" shrinkToFit="0" vertical="center" wrapText="1"/>
    </xf>
    <xf borderId="12" fillId="3" fontId="16" numFmtId="0" xfId="0" applyBorder="1" applyFont="1"/>
    <xf borderId="12" fillId="3" fontId="15" numFmtId="0" xfId="0" applyAlignment="1" applyBorder="1" applyFont="1">
      <alignment horizontal="center" readingOrder="0" shrinkToFit="0" vertical="center" wrapText="0"/>
    </xf>
    <xf borderId="12" fillId="3" fontId="27" numFmtId="0" xfId="0" applyAlignment="1" applyBorder="1" applyFont="1">
      <alignment horizontal="center" readingOrder="0" shrinkToFit="0" vertical="center" wrapText="1"/>
    </xf>
    <xf borderId="12" fillId="3" fontId="21" numFmtId="0" xfId="0" applyAlignment="1" applyBorder="1" applyFont="1">
      <alignment horizontal="center" readingOrder="0" shrinkToFit="0" vertical="center" wrapText="1"/>
    </xf>
    <xf borderId="12" fillId="3" fontId="20" numFmtId="0" xfId="0" applyAlignment="1" applyBorder="1" applyFont="1">
      <alignment horizontal="center" readingOrder="0" shrinkToFit="0" vertical="center" wrapText="1"/>
    </xf>
    <xf borderId="0" fillId="3" fontId="15" numFmtId="0" xfId="0" applyAlignment="1" applyFont="1">
      <alignment readingOrder="0" shrinkToFit="0" vertical="bottom" wrapText="0"/>
    </xf>
    <xf borderId="0" fillId="3" fontId="16" numFmtId="0" xfId="0" applyFont="1"/>
    <xf borderId="0" fillId="0" fontId="15" numFmtId="0" xfId="0" applyAlignment="1" applyFont="1">
      <alignment horizontal="center" readingOrder="0" shrinkToFit="0" vertical="bottom" wrapText="0"/>
    </xf>
    <xf borderId="12" fillId="3" fontId="25" numFmtId="168" xfId="0" applyAlignment="1" applyBorder="1" applyFont="1" applyNumberFormat="1">
      <alignment horizontal="center" readingOrder="0" shrinkToFit="0" vertical="center" wrapText="1"/>
    </xf>
    <xf borderId="12" fillId="3" fontId="25" numFmtId="166" xfId="0" applyAlignment="1" applyBorder="1" applyFont="1" applyNumberFormat="1">
      <alignment horizontal="center" readingOrder="0" shrinkToFit="0" vertical="center" wrapText="1"/>
    </xf>
    <xf borderId="12" fillId="3" fontId="15" numFmtId="0" xfId="0" applyAlignment="1" applyBorder="1" applyFont="1">
      <alignment horizontal="center" readingOrder="0" shrinkToFit="0" vertical="center" wrapText="0"/>
    </xf>
    <xf borderId="12" fillId="3" fontId="21" numFmtId="0" xfId="0" applyAlignment="1" applyBorder="1" applyFont="1">
      <alignment horizontal="center" readingOrder="0" shrinkToFit="0" vertical="center" wrapText="1"/>
    </xf>
    <xf borderId="12" fillId="3" fontId="28" numFmtId="0" xfId="0" applyAlignment="1" applyBorder="1" applyFont="1">
      <alignment horizontal="center" readingOrder="0" shrinkToFit="0" vertical="center" wrapText="0"/>
    </xf>
    <xf borderId="12" fillId="3" fontId="15" numFmtId="0" xfId="0" applyAlignment="1" applyBorder="1" applyFont="1">
      <alignment horizontal="center" readingOrder="0" shrinkToFit="0" vertical="center" wrapText="0"/>
    </xf>
    <xf borderId="12" fillId="7" fontId="11" numFmtId="0" xfId="0" applyAlignment="1" applyBorder="1" applyFill="1" applyFont="1">
      <alignment horizontal="left" readingOrder="0" shrinkToFit="0" wrapText="0"/>
    </xf>
    <xf borderId="12" fillId="7" fontId="11" numFmtId="0" xfId="0" applyAlignment="1" applyBorder="1" applyFont="1">
      <alignment horizontal="left" readingOrder="0"/>
    </xf>
    <xf borderId="12" fillId="7" fontId="11" numFmtId="0" xfId="0" applyAlignment="1" applyBorder="1" applyFont="1">
      <alignment horizontal="left" readingOrder="0" shrinkToFit="0" wrapText="1"/>
    </xf>
    <xf borderId="12" fillId="7" fontId="12" numFmtId="0" xfId="0" applyAlignment="1" applyBorder="1" applyFont="1">
      <alignment horizontal="left" readingOrder="0" vertical="bottom"/>
    </xf>
    <xf borderId="12" fillId="7" fontId="10" numFmtId="0" xfId="0" applyAlignment="1" applyBorder="1" applyFont="1">
      <alignment horizontal="center" readingOrder="0"/>
    </xf>
    <xf borderId="12" fillId="7" fontId="10" numFmtId="0" xfId="0" applyBorder="1" applyFont="1"/>
    <xf borderId="12" fillId="7" fontId="10" numFmtId="165" xfId="0" applyAlignment="1" applyBorder="1" applyFont="1" applyNumberFormat="1">
      <alignment horizontal="center" readingOrder="0"/>
    </xf>
    <xf borderId="12" fillId="7" fontId="10" numFmtId="0" xfId="0" applyAlignment="1" applyBorder="1" applyFont="1">
      <alignment readingOrder="0"/>
    </xf>
    <xf borderId="12" fillId="7" fontId="10" numFmtId="0" xfId="0" applyAlignment="1" applyBorder="1" applyFont="1">
      <alignment horizontal="left" readingOrder="0"/>
    </xf>
    <xf borderId="12" fillId="7" fontId="10" numFmtId="0" xfId="0" applyAlignment="1" applyBorder="1" applyFont="1">
      <alignment readingOrder="0" shrinkToFit="0" wrapText="1"/>
    </xf>
    <xf borderId="0" fillId="7" fontId="10" numFmtId="0" xfId="0" applyAlignment="1" applyFont="1">
      <alignment horizontal="left"/>
    </xf>
    <xf borderId="0" fillId="7" fontId="10" numFmtId="0" xfId="0" applyFont="1"/>
    <xf borderId="12" fillId="7" fontId="10" numFmtId="0" xfId="0" applyAlignment="1" applyBorder="1" applyFont="1">
      <alignment horizontal="center"/>
    </xf>
    <xf borderId="12" fillId="7" fontId="10" numFmtId="0" xfId="0" applyAlignment="1" applyBorder="1" applyFont="1">
      <alignment readingOrder="0" vertical="center"/>
    </xf>
    <xf borderId="12" fillId="7" fontId="10" numFmtId="166" xfId="0" applyAlignment="1" applyBorder="1" applyFont="1" applyNumberFormat="1">
      <alignment horizontal="center" readingOrder="0"/>
    </xf>
    <xf borderId="0" fillId="7" fontId="10" numFmtId="0" xfId="0" applyAlignment="1" applyFont="1">
      <alignment readingOrder="0"/>
    </xf>
    <xf borderId="0" fillId="7" fontId="10" numFmtId="0" xfId="0" applyAlignment="1" applyFont="1">
      <alignment horizontal="left" readingOrder="0"/>
    </xf>
    <xf borderId="12" fillId="7" fontId="29" numFmtId="0" xfId="0" applyAlignment="1" applyBorder="1" applyFont="1">
      <alignment readingOrder="0"/>
    </xf>
    <xf borderId="12" fillId="7" fontId="10" numFmtId="169" xfId="0" applyAlignment="1" applyBorder="1" applyFont="1" applyNumberFormat="1">
      <alignment horizontal="center" readingOrder="0"/>
    </xf>
    <xf borderId="12" fillId="7" fontId="10" numFmtId="0" xfId="0" applyAlignment="1" applyBorder="1" applyFont="1">
      <alignment horizontal="left"/>
    </xf>
    <xf borderId="0" fillId="0" fontId="10" numFmtId="0" xfId="0" applyAlignment="1" applyFont="1">
      <alignment horizontal="left"/>
    </xf>
    <xf borderId="12" fillId="7" fontId="30" numFmtId="0" xfId="0" applyAlignment="1" applyBorder="1" applyFont="1">
      <alignment horizontal="left" readingOrder="0" shrinkToFit="0" wrapText="0"/>
    </xf>
    <xf borderId="12" fillId="7" fontId="30" numFmtId="0" xfId="0" applyAlignment="1" applyBorder="1" applyFont="1">
      <alignment horizontal="left" readingOrder="0" shrinkToFit="0" wrapText="1"/>
    </xf>
    <xf borderId="12" fillId="7" fontId="30" numFmtId="0" xfId="0" applyAlignment="1" applyBorder="1" applyFont="1">
      <alignment horizontal="left" readingOrder="0" vertical="bottom"/>
    </xf>
    <xf borderId="12" fillId="0" fontId="14" numFmtId="0" xfId="0" applyAlignment="1" applyBorder="1" applyFont="1">
      <alignment readingOrder="0"/>
    </xf>
    <xf borderId="0" fillId="0" fontId="10" numFmtId="0" xfId="0" applyAlignment="1" applyFont="1">
      <alignment horizontal="left" readingOrder="0"/>
    </xf>
    <xf borderId="0" fillId="0" fontId="31" numFmtId="0" xfId="0" applyAlignment="1" applyFont="1">
      <alignment horizontal="left" vertical="bottom"/>
    </xf>
    <xf borderId="0" fillId="0" fontId="31" numFmtId="0" xfId="0" applyAlignment="1" applyFont="1">
      <alignment horizontal="left" readingOrder="0" vertical="bottom"/>
    </xf>
    <xf borderId="0" fillId="8" fontId="10" numFmtId="0" xfId="0" applyAlignment="1" applyFill="1" applyFont="1">
      <alignment horizontal="left" readingOrder="0"/>
    </xf>
    <xf borderId="0" fillId="8" fontId="10" numFmtId="166" xfId="0" applyAlignment="1" applyFont="1" applyNumberFormat="1">
      <alignment horizontal="left" readingOrder="0"/>
    </xf>
    <xf borderId="0" fillId="8" fontId="31" numFmtId="0" xfId="0" applyAlignment="1" applyFont="1">
      <alignment horizontal="left" readingOrder="0" vertical="bottom"/>
    </xf>
    <xf borderId="0" fillId="8" fontId="10" numFmtId="0" xfId="0" applyAlignment="1" applyFont="1">
      <alignment horizontal="left"/>
    </xf>
    <xf borderId="0" fillId="8" fontId="10" numFmtId="0" xfId="0" applyFont="1"/>
    <xf borderId="0" fillId="0" fontId="10" numFmtId="166" xfId="0" applyAlignment="1" applyFont="1" applyNumberFormat="1">
      <alignment horizontal="left" readingOrder="0"/>
    </xf>
    <xf borderId="0" fillId="8" fontId="10" numFmtId="0" xfId="0" applyAlignment="1" applyFont="1">
      <alignment readingOrder="0"/>
    </xf>
    <xf borderId="0" fillId="0" fontId="10" numFmtId="0" xfId="0" applyFont="1"/>
    <xf borderId="0" fillId="3" fontId="32" numFmtId="0" xfId="0" applyAlignment="1" applyFont="1">
      <alignment readingOrder="0" vertical="bottom"/>
    </xf>
    <xf borderId="0" fillId="3" fontId="32" numFmtId="0" xfId="0" applyAlignment="1" applyFont="1">
      <alignment vertical="bottom"/>
    </xf>
    <xf borderId="0" fillId="0" fontId="10" numFmtId="0" xfId="0" applyAlignment="1" applyFont="1">
      <alignment readingOrder="0" vertical="center"/>
    </xf>
    <xf borderId="0" fillId="0" fontId="10" numFmtId="0" xfId="0" applyAlignment="1" applyFont="1">
      <alignment horizontal="left" readingOrder="0" vertical="center"/>
    </xf>
    <xf borderId="0" fillId="0" fontId="11" numFmtId="0" xfId="0" applyAlignment="1" applyFont="1">
      <alignment horizontal="center" readingOrder="0"/>
    </xf>
    <xf borderId="0" fillId="0" fontId="11" numFmtId="0" xfId="0" applyAlignment="1" applyFont="1">
      <alignment horizontal="center"/>
    </xf>
    <xf borderId="0" fillId="0" fontId="10" numFmtId="0" xfId="0" applyAlignment="1" applyFont="1">
      <alignment horizontal="center"/>
    </xf>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12" fillId="3" fontId="10" numFmtId="0" xfId="0" applyAlignment="1" applyBorder="1" applyFont="1">
      <alignment horizontal="center" readingOrder="0" shrinkToFit="0" vertical="center" wrapText="0"/>
    </xf>
    <xf borderId="12" fillId="3" fontId="10" numFmtId="0" xfId="0" applyAlignment="1" applyBorder="1" applyFont="1">
      <alignment horizontal="center" readingOrder="0" shrinkToFit="0" vertical="center" wrapText="1"/>
    </xf>
    <xf borderId="12" fillId="3" fontId="10" numFmtId="0" xfId="0" applyAlignment="1" applyBorder="1" applyFont="1">
      <alignment readingOrder="0" shrinkToFit="0" vertical="center" wrapText="1"/>
    </xf>
    <xf borderId="12"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0" fillId="7" fontId="10" numFmtId="0" xfId="0" applyAlignment="1" applyFont="1">
      <alignment horizontal="center"/>
    </xf>
    <xf borderId="12" fillId="3" fontId="10" numFmtId="0" xfId="0" applyAlignment="1" applyBorder="1" applyFont="1">
      <alignment horizontal="center" shrinkToFit="0" vertical="center" wrapText="1"/>
    </xf>
    <xf borderId="12" fillId="0" fontId="15" numFmtId="0" xfId="0" applyAlignment="1" applyBorder="1" applyFont="1">
      <alignment readingOrder="0" shrinkToFit="0" vertical="bottom" wrapText="1"/>
    </xf>
    <xf borderId="12" fillId="3" fontId="10" numFmtId="165" xfId="0" applyAlignment="1" applyBorder="1" applyFont="1" applyNumberFormat="1">
      <alignment horizontal="center" readingOrder="0" shrinkToFit="0" vertical="center" wrapText="1"/>
    </xf>
    <xf borderId="12" fillId="3" fontId="10" numFmtId="0" xfId="0" applyAlignment="1" applyBorder="1" applyFont="1">
      <alignment readingOrder="0" shrinkToFit="0" vertical="center" wrapText="1"/>
    </xf>
    <xf borderId="12" fillId="0" fontId="15" numFmtId="0" xfId="0" applyAlignment="1" applyBorder="1" applyFont="1">
      <alignment readingOrder="0" shrinkToFit="0" vertical="bottom" wrapText="0"/>
    </xf>
    <xf borderId="0" fillId="3" fontId="10" numFmtId="0" xfId="0" applyAlignment="1" applyFont="1">
      <alignment horizontal="center" shrinkToFit="0" vertical="center" wrapText="1"/>
    </xf>
    <xf borderId="12" fillId="3" fontId="10" numFmtId="170" xfId="0" applyAlignment="1" applyBorder="1" applyFont="1" applyNumberFormat="1">
      <alignment horizontal="center" shrinkToFit="0" vertical="center" wrapText="1"/>
    </xf>
    <xf borderId="12" fillId="3" fontId="13" numFmtId="0" xfId="0" applyAlignment="1" applyBorder="1" applyFont="1">
      <alignment horizontal="center" shrinkToFit="0" vertical="bottom" wrapText="0"/>
    </xf>
    <xf borderId="12" fillId="3" fontId="13" numFmtId="0" xfId="0" applyAlignment="1" applyBorder="1" applyFont="1">
      <alignment horizontal="center" readingOrder="0" shrinkToFit="0" vertical="bottom" wrapText="0"/>
    </xf>
    <xf borderId="12" fillId="3" fontId="14" numFmtId="0" xfId="0" applyAlignment="1" applyBorder="1" applyFont="1">
      <alignment horizontal="center" readingOrder="0" shrinkToFit="0" vertical="center" wrapText="1"/>
    </xf>
    <xf borderId="0" fillId="3" fontId="14" numFmtId="0" xfId="0" applyAlignment="1" applyFont="1">
      <alignment horizontal="center" readingOrder="0" shrinkToFit="0" vertical="center" wrapText="1"/>
    </xf>
    <xf borderId="12" fillId="3" fontId="13" numFmtId="0" xfId="0" applyAlignment="1" applyBorder="1" applyFont="1">
      <alignment horizontal="center" shrinkToFit="0" vertical="bottom" wrapText="1"/>
    </xf>
    <xf borderId="12" fillId="3" fontId="15" numFmtId="0" xfId="0" applyAlignment="1" applyBorder="1" applyFont="1">
      <alignment horizontal="center" readingOrder="0" shrinkToFit="0" vertical="bottom" wrapText="0"/>
    </xf>
    <xf borderId="0" fillId="3" fontId="10" numFmtId="0" xfId="0" applyAlignment="1" applyFont="1">
      <alignment horizontal="center"/>
    </xf>
    <xf borderId="12"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12" fillId="3" fontId="13" numFmtId="0" xfId="0" applyAlignment="1" applyBorder="1" applyFont="1">
      <alignment shrinkToFit="0" vertical="bottom" wrapText="0"/>
    </xf>
    <xf borderId="0" fillId="3" fontId="10" numFmtId="0" xfId="0" applyAlignment="1" applyFont="1">
      <alignment horizontal="center" readingOrder="0" shrinkToFit="0" vertical="center" wrapText="1"/>
    </xf>
    <xf borderId="0" fillId="3" fontId="10" numFmtId="165" xfId="0" applyAlignment="1" applyFont="1" applyNumberFormat="1">
      <alignment horizontal="center" readingOrder="0" shrinkToFit="0" vertical="center" wrapText="1"/>
    </xf>
    <xf borderId="0" fillId="3" fontId="14" numFmtId="0" xfId="0" applyAlignment="1" applyFont="1">
      <alignment horizontal="center" readingOrder="0" shrinkToFit="0" vertical="center" wrapText="1"/>
    </xf>
    <xf borderId="12" fillId="0" fontId="13" numFmtId="0" xfId="0" applyAlignment="1" applyBorder="1" applyFont="1">
      <alignment shrinkToFit="0" vertical="bottom" wrapText="0"/>
    </xf>
    <xf borderId="12" fillId="0" fontId="13" numFmtId="0" xfId="0" applyAlignment="1" applyBorder="1" applyFont="1">
      <alignment readingOrder="0" shrinkToFit="0" vertical="bottom" wrapText="0"/>
    </xf>
    <xf borderId="12" fillId="3" fontId="10" numFmtId="0" xfId="0" applyAlignment="1" applyBorder="1" applyFont="1">
      <alignment horizontal="center" readingOrder="0" shrinkToFit="0" vertical="center" wrapText="1"/>
    </xf>
    <xf borderId="12" fillId="3" fontId="10" numFmtId="0" xfId="0" applyAlignment="1" applyBorder="1" applyFont="1">
      <alignment horizontal="center" readingOrder="0" shrinkToFit="0" vertical="center" wrapText="1"/>
    </xf>
    <xf borderId="12" fillId="3" fontId="14" numFmtId="0" xfId="0" applyAlignment="1" applyBorder="1" applyFont="1">
      <alignment horizontal="center" readingOrder="0" shrinkToFit="0" vertical="center" wrapText="1"/>
    </xf>
    <xf borderId="12" fillId="3" fontId="10" numFmtId="0" xfId="0" applyAlignment="1" applyBorder="1" applyFont="1">
      <alignment readingOrder="0" shrinkToFit="0" vertical="center" wrapText="1"/>
    </xf>
    <xf borderId="12" fillId="3" fontId="10" numFmtId="165" xfId="0" applyAlignment="1" applyBorder="1" applyFont="1" applyNumberFormat="1">
      <alignment horizontal="center" readingOrder="0" shrinkToFit="0" vertical="center" wrapText="1"/>
    </xf>
    <xf borderId="12" fillId="0" fontId="13" numFmtId="0" xfId="0" applyAlignment="1" applyBorder="1" applyFont="1">
      <alignment readingOrder="0" shrinkToFit="0" vertical="bottom" wrapText="0"/>
    </xf>
    <xf borderId="0" fillId="0" fontId="14" numFmtId="0" xfId="0" applyAlignment="1" applyFont="1">
      <alignment readingOrder="0" shrinkToFit="0" vertical="center" wrapText="1"/>
    </xf>
    <xf borderId="12" fillId="3" fontId="14" numFmtId="0" xfId="0" applyAlignment="1" applyBorder="1" applyFont="1">
      <alignment horizontal="center" readingOrder="0" shrinkToFit="0" vertical="center" wrapText="1"/>
    </xf>
    <xf borderId="12" fillId="0" fontId="14" numFmtId="0" xfId="0" applyAlignment="1" applyBorder="1" applyFont="1">
      <alignment readingOrder="0" shrinkToFit="0" vertical="center" wrapText="1"/>
    </xf>
    <xf borderId="12" fillId="3" fontId="13" numFmtId="0" xfId="0" applyAlignment="1" applyBorder="1" applyFont="1">
      <alignment readingOrder="0" shrinkToFit="0" vertical="bottom" wrapText="0"/>
    </xf>
    <xf borderId="12" fillId="3" fontId="14" numFmtId="0" xfId="0" applyAlignment="1" applyBorder="1" applyFont="1">
      <alignment readingOrder="0" shrinkToFit="0" vertical="center" wrapText="1"/>
    </xf>
    <xf borderId="12" fillId="3" fontId="14" numFmtId="0" xfId="0" applyAlignment="1" applyBorder="1" applyFont="1">
      <alignment horizontal="center" readingOrder="0" shrinkToFit="0" vertical="center" wrapText="1"/>
    </xf>
    <xf borderId="12" fillId="3" fontId="13" numFmtId="0" xfId="0" applyAlignment="1" applyBorder="1" applyFont="1">
      <alignment readingOrder="0" shrinkToFit="0" vertical="bottom" wrapText="0"/>
    </xf>
    <xf borderId="12" fillId="3" fontId="14" numFmtId="0" xfId="0" applyAlignment="1" applyBorder="1" applyFont="1">
      <alignment readingOrder="0" shrinkToFit="0" vertical="center" wrapText="1"/>
    </xf>
    <xf borderId="12" fillId="3" fontId="10" numFmtId="0" xfId="0" applyAlignment="1" applyBorder="1" applyFont="1">
      <alignment horizontal="center" readingOrder="0" shrinkToFit="0" vertical="center" wrapText="0"/>
    </xf>
    <xf borderId="0" fillId="9" fontId="10" numFmtId="0" xfId="0" applyAlignment="1" applyFill="1" applyFont="1">
      <alignment horizontal="center"/>
    </xf>
    <xf borderId="12" fillId="9" fontId="10" numFmtId="0" xfId="0" applyAlignment="1" applyBorder="1" applyFont="1">
      <alignment horizontal="center" readingOrder="0" shrinkToFit="0" vertical="center" wrapText="0"/>
    </xf>
    <xf borderId="12" fillId="9" fontId="10" numFmtId="0" xfId="0" applyAlignment="1" applyBorder="1" applyFont="1">
      <alignment horizontal="center" readingOrder="0" shrinkToFit="0" vertical="center" wrapText="1"/>
    </xf>
    <xf borderId="12" fillId="9" fontId="10" numFmtId="0" xfId="0" applyAlignment="1" applyBorder="1" applyFont="1">
      <alignment readingOrder="0" shrinkToFit="0" vertical="center" wrapText="1"/>
    </xf>
    <xf borderId="12" fillId="9" fontId="10" numFmtId="165" xfId="0" applyAlignment="1" applyBorder="1" applyFont="1" applyNumberFormat="1">
      <alignment horizontal="center" readingOrder="0" shrinkToFit="0" vertical="center" wrapText="1"/>
    </xf>
    <xf borderId="12" fillId="9" fontId="13" numFmtId="0" xfId="0" applyAlignment="1" applyBorder="1" applyFont="1">
      <alignment readingOrder="0" shrinkToFit="0" vertical="bottom" wrapText="0"/>
    </xf>
    <xf borderId="12" fillId="9" fontId="14" numFmtId="0" xfId="0" applyAlignment="1" applyBorder="1" applyFont="1">
      <alignment readingOrder="0" shrinkToFit="0" vertical="center" wrapText="1"/>
    </xf>
    <xf borderId="12" fillId="9" fontId="14" numFmtId="0" xfId="0" applyAlignment="1" applyBorder="1" applyFont="1">
      <alignment horizontal="center" readingOrder="0" shrinkToFit="0" vertical="center" wrapText="1"/>
    </xf>
    <xf borderId="0" fillId="6" fontId="10" numFmtId="0" xfId="0" applyAlignment="1" applyFont="1">
      <alignment horizontal="center"/>
    </xf>
    <xf borderId="12" fillId="6" fontId="10" numFmtId="0" xfId="0" applyAlignment="1" applyBorder="1" applyFont="1">
      <alignment horizontal="center" readingOrder="0" shrinkToFit="0" vertical="center" wrapText="0"/>
    </xf>
    <xf borderId="12" fillId="6" fontId="10" numFmtId="0" xfId="0" applyAlignment="1" applyBorder="1" applyFont="1">
      <alignment horizontal="center" readingOrder="0" shrinkToFit="0" vertical="center" wrapText="1"/>
    </xf>
    <xf borderId="12" fillId="6" fontId="10" numFmtId="0" xfId="0" applyAlignment="1" applyBorder="1" applyFont="1">
      <alignment readingOrder="0" shrinkToFit="0" vertical="center" wrapText="1"/>
    </xf>
    <xf borderId="12" fillId="6" fontId="10" numFmtId="165" xfId="0" applyAlignment="1" applyBorder="1" applyFont="1" applyNumberFormat="1">
      <alignment horizontal="center" readingOrder="0" shrinkToFit="0" vertical="center" wrapText="1"/>
    </xf>
    <xf borderId="12" fillId="6" fontId="13" numFmtId="0" xfId="0" applyAlignment="1" applyBorder="1" applyFont="1">
      <alignment readingOrder="0" shrinkToFit="0" vertical="bottom" wrapText="0"/>
    </xf>
    <xf borderId="12" fillId="6" fontId="14" numFmtId="0" xfId="0" applyAlignment="1" applyBorder="1" applyFont="1">
      <alignment readingOrder="0" shrinkToFit="0" vertical="center" wrapText="1"/>
    </xf>
    <xf borderId="12" fillId="6" fontId="14" numFmtId="0" xfId="0" applyAlignment="1" applyBorder="1" applyFont="1">
      <alignment horizontal="center" readingOrder="0" shrinkToFit="0" vertical="center" wrapText="1"/>
    </xf>
    <xf borderId="12" fillId="3" fontId="10" numFmtId="0" xfId="0" applyAlignment="1" applyBorder="1" applyFont="1">
      <alignment readingOrder="0" shrinkToFit="0" vertical="center" wrapText="1"/>
    </xf>
    <xf borderId="0" fillId="6" fontId="16" numFmtId="0" xfId="0" applyAlignment="1" applyFont="1">
      <alignment horizontal="center"/>
    </xf>
    <xf borderId="12" fillId="6" fontId="16" numFmtId="0" xfId="0" applyAlignment="1" applyBorder="1" applyFont="1">
      <alignment horizontal="center" readingOrder="0" shrinkToFit="0" vertical="center" wrapText="0"/>
    </xf>
    <xf borderId="12" fillId="6" fontId="16" numFmtId="0" xfId="0" applyAlignment="1" applyBorder="1" applyFont="1">
      <alignment horizontal="center" readingOrder="0" shrinkToFit="0" vertical="center" wrapText="1"/>
    </xf>
    <xf borderId="12" fillId="6" fontId="16" numFmtId="0" xfId="0" applyAlignment="1" applyBorder="1" applyFont="1">
      <alignment readingOrder="0" shrinkToFit="0" vertical="center" wrapText="1"/>
    </xf>
    <xf borderId="12" fillId="6" fontId="16" numFmtId="165" xfId="0" applyAlignment="1" applyBorder="1" applyFont="1" applyNumberFormat="1">
      <alignment horizontal="center" readingOrder="0" shrinkToFit="0" vertical="center" wrapText="1"/>
    </xf>
    <xf borderId="12" fillId="6" fontId="15" numFmtId="0" xfId="0" applyAlignment="1" applyBorder="1" applyFont="1">
      <alignment readingOrder="0" shrinkToFit="0" vertical="bottom" wrapText="0"/>
    </xf>
    <xf borderId="12" fillId="6" fontId="16" numFmtId="0" xfId="0" applyAlignment="1" applyBorder="1" applyFont="1">
      <alignment readingOrder="0" shrinkToFit="0" vertical="center" wrapText="1"/>
    </xf>
    <xf borderId="12" fillId="6" fontId="22" numFmtId="0" xfId="0" applyAlignment="1" applyBorder="1" applyFont="1">
      <alignment horizontal="center" readingOrder="0" shrinkToFit="0" vertical="center" wrapText="1"/>
    </xf>
    <xf borderId="12" fillId="3" fontId="10" numFmtId="0" xfId="0" applyAlignment="1" applyBorder="1" applyFont="1">
      <alignment readingOrder="0" shrinkToFit="0" vertical="center" wrapText="1"/>
    </xf>
    <xf borderId="12" fillId="6" fontId="14" numFmtId="0" xfId="0" applyAlignment="1" applyBorder="1" applyFont="1">
      <alignment horizontal="center" readingOrder="0" shrinkToFit="0" vertical="center" wrapText="1"/>
    </xf>
    <xf borderId="0" fillId="6" fontId="14" numFmtId="0" xfId="0" applyAlignment="1" applyFont="1">
      <alignment horizontal="center" readingOrder="0" shrinkToFit="0" vertical="center" wrapText="1"/>
    </xf>
    <xf borderId="12" fillId="3" fontId="32" numFmtId="0" xfId="0" applyAlignment="1" applyBorder="1" applyFont="1">
      <alignment vertical="bottom"/>
    </xf>
    <xf borderId="12" fillId="3" fontId="33" numFmtId="0" xfId="0" applyAlignment="1" applyBorder="1" applyFont="1">
      <alignment horizontal="center" readingOrder="0" shrinkToFit="0" vertical="center" wrapText="0"/>
    </xf>
    <xf borderId="12" fillId="3" fontId="33" numFmtId="0" xfId="0" applyAlignment="1" applyBorder="1" applyFont="1">
      <alignment horizontal="center" readingOrder="0" shrinkToFit="0" vertical="center" wrapText="1"/>
    </xf>
    <xf borderId="12" fillId="3" fontId="32" numFmtId="0" xfId="0" applyAlignment="1" applyBorder="1" applyFont="1">
      <alignment horizontal="center" readingOrder="0" shrinkToFit="0" vertical="center" wrapText="0"/>
    </xf>
    <xf borderId="12" fillId="3" fontId="33" numFmtId="0" xfId="0" applyAlignment="1" applyBorder="1" applyFont="1">
      <alignment horizontal="center" readingOrder="0" shrinkToFit="0" vertical="center" wrapText="1"/>
    </xf>
    <xf borderId="12" fillId="3" fontId="33" numFmtId="0" xfId="0" applyAlignment="1" applyBorder="1" applyFont="1">
      <alignment horizontal="center" readingOrder="0" shrinkToFit="0" vertical="center" wrapText="1"/>
    </xf>
    <xf borderId="12" fillId="3" fontId="33" numFmtId="0" xfId="0" applyAlignment="1" applyBorder="1" applyFont="1">
      <alignment horizontal="center" shrinkToFit="0" vertical="center" wrapText="1"/>
    </xf>
    <xf borderId="12" fillId="3" fontId="32" numFmtId="0" xfId="0" applyAlignment="1" applyBorder="1" applyFont="1">
      <alignment readingOrder="0" vertical="bottom"/>
    </xf>
    <xf borderId="12" fillId="3" fontId="33" numFmtId="0" xfId="0" applyAlignment="1" applyBorder="1" applyFont="1">
      <alignment horizontal="center" readingOrder="0" shrinkToFit="0" vertical="center" wrapText="1"/>
    </xf>
    <xf borderId="12" fillId="3" fontId="32" numFmtId="0" xfId="0" applyAlignment="1" applyBorder="1" applyFont="1">
      <alignment horizontal="center" readingOrder="0" shrinkToFit="0" vertical="center" wrapText="0"/>
    </xf>
    <xf borderId="12" fillId="3" fontId="33" numFmtId="167" xfId="0" applyAlignment="1" applyBorder="1" applyFont="1" applyNumberFormat="1">
      <alignment horizontal="center" readingOrder="0" shrinkToFit="0" vertical="center" wrapText="1"/>
    </xf>
    <xf borderId="12" fillId="3" fontId="34" numFmtId="0" xfId="0" applyAlignment="1" applyBorder="1" applyFont="1">
      <alignment horizontal="center" readingOrder="0" shrinkToFit="0" vertical="center" wrapText="1"/>
    </xf>
    <xf borderId="12" fillId="3" fontId="32" numFmtId="165" xfId="0" applyAlignment="1" applyBorder="1" applyFont="1" applyNumberFormat="1">
      <alignment horizontal="center" readingOrder="0" shrinkToFit="0" vertical="center" wrapText="0"/>
    </xf>
    <xf borderId="12" fillId="3" fontId="35" numFmtId="0" xfId="0" applyAlignment="1" applyBorder="1" applyFont="1">
      <alignment horizontal="center" readingOrder="0" shrinkToFit="0" vertical="center" wrapText="0"/>
    </xf>
    <xf borderId="12" fillId="0" fontId="35" numFmtId="0" xfId="0" applyAlignment="1" applyBorder="1" applyFont="1">
      <alignment horizontal="center" readingOrder="0" shrinkToFit="0" vertical="center" wrapText="1"/>
    </xf>
    <xf borderId="12" fillId="3" fontId="33" numFmtId="170" xfId="0" applyAlignment="1" applyBorder="1" applyFont="1" applyNumberFormat="1">
      <alignment horizontal="center" shrinkToFit="0" vertical="center" wrapText="1"/>
    </xf>
    <xf borderId="12" fillId="3" fontId="35" numFmtId="0" xfId="0" applyAlignment="1" applyBorder="1" applyFont="1">
      <alignment horizontal="center" shrinkToFit="0" vertical="center" wrapText="0"/>
    </xf>
    <xf borderId="12" fillId="3" fontId="35" numFmtId="0" xfId="0" applyAlignment="1" applyBorder="1" applyFont="1">
      <alignment horizontal="center" shrinkToFit="0" vertical="center" wrapText="0"/>
    </xf>
    <xf borderId="12" fillId="3" fontId="35" numFmtId="0" xfId="0" applyAlignment="1" applyBorder="1" applyFont="1">
      <alignment horizontal="center" shrinkToFit="0" vertical="center" wrapText="1"/>
    </xf>
    <xf borderId="12" fillId="3" fontId="35" numFmtId="0" xfId="0" applyAlignment="1" applyBorder="1" applyFont="1">
      <alignment horizontal="center" readingOrder="0" shrinkToFit="0" vertical="center" wrapText="1"/>
    </xf>
    <xf borderId="12" fillId="3" fontId="32" numFmtId="0" xfId="0" applyAlignment="1" applyBorder="1" applyFont="1">
      <alignment horizontal="center" readingOrder="0" shrinkToFit="0" vertical="center" wrapText="0"/>
    </xf>
    <xf borderId="12" fillId="3" fontId="33" numFmtId="0" xfId="0" applyAlignment="1" applyBorder="1" applyFont="1">
      <alignment horizontal="center" readingOrder="0" shrinkToFit="0" vertical="center" wrapText="0"/>
    </xf>
    <xf borderId="12" fillId="3" fontId="33" numFmtId="0" xfId="0" applyAlignment="1" applyBorder="1" applyFont="1">
      <alignment horizontal="center" shrinkToFit="0" vertical="center" wrapText="0"/>
    </xf>
    <xf borderId="12" fillId="3" fontId="35" numFmtId="0" xfId="0" applyAlignment="1" applyBorder="1" applyFont="1">
      <alignment horizontal="center" readingOrder="0" shrinkToFit="0" vertical="center" wrapText="0"/>
    </xf>
    <xf borderId="12" fillId="3" fontId="36" numFmtId="0" xfId="0" applyAlignment="1" applyBorder="1" applyFont="1">
      <alignment horizontal="center" readingOrder="0" shrinkToFit="0" vertical="center" wrapText="1"/>
    </xf>
    <xf borderId="12" fillId="3" fontId="32" numFmtId="0" xfId="0" applyAlignment="1" applyBorder="1" applyFont="1">
      <alignment horizontal="center" readingOrder="0" shrinkToFit="0" vertical="center" wrapText="0"/>
    </xf>
    <xf borderId="12" fillId="3" fontId="32" numFmtId="0" xfId="0" applyAlignment="1" applyBorder="1" applyFont="1">
      <alignment horizontal="center" readingOrder="0" shrinkToFit="0" vertical="center" wrapText="0"/>
    </xf>
    <xf borderId="12" fillId="3" fontId="32" numFmtId="0" xfId="0" applyAlignment="1" applyBorder="1" applyFont="1">
      <alignment horizontal="center" readingOrder="0" shrinkToFit="0" vertical="center" wrapText="0"/>
    </xf>
    <xf borderId="12" fillId="3" fontId="32" numFmtId="165" xfId="0" applyAlignment="1" applyBorder="1" applyFont="1" applyNumberFormat="1">
      <alignment horizontal="center" readingOrder="0" shrinkToFit="0" vertical="center" wrapText="0"/>
    </xf>
    <xf borderId="12" fillId="3" fontId="35" numFmtId="0" xfId="0" applyAlignment="1" applyBorder="1" applyFont="1">
      <alignment horizontal="center" readingOrder="0" shrinkToFit="0" vertical="center" wrapText="0"/>
    </xf>
    <xf borderId="12" fillId="3" fontId="35" numFmtId="0" xfId="0" applyAlignment="1" applyBorder="1" applyFont="1">
      <alignment horizontal="center" readingOrder="0" shrinkToFit="0" vertical="center" wrapText="0"/>
    </xf>
    <xf borderId="12" fillId="3" fontId="33" numFmtId="0" xfId="0" applyAlignment="1" applyBorder="1" applyFont="1">
      <alignment horizontal="center" readingOrder="0" shrinkToFit="0" vertical="center" wrapText="1"/>
    </xf>
    <xf borderId="12" fillId="3" fontId="33" numFmtId="0" xfId="0" applyAlignment="1" applyBorder="1" applyFont="1">
      <alignment horizontal="center" shrinkToFit="0" vertical="center" wrapText="1"/>
    </xf>
    <xf borderId="12" fillId="3" fontId="36" numFmtId="0" xfId="0" applyAlignment="1" applyBorder="1" applyFont="1">
      <alignment horizontal="center" readingOrder="0" shrinkToFit="0" vertical="center" wrapText="1"/>
    </xf>
    <xf borderId="12" fillId="3" fontId="33" numFmtId="0" xfId="0" applyAlignment="1" applyBorder="1" applyFont="1">
      <alignment horizontal="center" shrinkToFit="0" vertical="center" wrapText="1"/>
    </xf>
    <xf borderId="12" fillId="0" fontId="35" numFmtId="0" xfId="0" applyAlignment="1" applyBorder="1" applyFont="1">
      <alignment horizontal="center" readingOrder="0" shrinkToFit="0" vertical="center" wrapText="0"/>
    </xf>
    <xf borderId="12" fillId="0" fontId="35" numFmtId="0" xfId="0" applyAlignment="1" applyBorder="1" applyFont="1">
      <alignment horizontal="center" readingOrder="0" shrinkToFit="0" vertical="center" wrapText="0"/>
    </xf>
    <xf borderId="12" fillId="3" fontId="33" numFmtId="0" xfId="0" applyAlignment="1" applyBorder="1" applyFont="1">
      <alignment horizontal="center" readingOrder="0" shrinkToFit="0" vertical="center" wrapText="1"/>
    </xf>
    <xf borderId="12" fillId="3" fontId="13" numFmtId="0" xfId="0" applyAlignment="1" applyBorder="1" applyFont="1">
      <alignment horizontal="center" readingOrder="0" shrinkToFit="0" vertical="center" wrapText="0"/>
    </xf>
    <xf borderId="12" fillId="3" fontId="32" numFmtId="0" xfId="0" applyAlignment="1" applyBorder="1" applyFont="1">
      <alignment horizontal="center" vertical="bottom"/>
    </xf>
    <xf borderId="12" fillId="3" fontId="32" numFmtId="0" xfId="0" applyAlignment="1" applyBorder="1" applyFont="1">
      <alignment horizontal="center" vertical="center"/>
    </xf>
    <xf borderId="12" fillId="3" fontId="35" numFmtId="0" xfId="0" applyAlignment="1" applyBorder="1" applyFont="1">
      <alignment horizontal="center" readingOrder="0" shrinkToFit="0" vertical="center" wrapText="1"/>
    </xf>
    <xf borderId="0" fillId="0" fontId="10" numFmtId="165" xfId="0" applyFont="1" applyNumberFormat="1"/>
    <xf borderId="0" fillId="0" fontId="10" numFmtId="168" xfId="0" applyFont="1" applyNumberFormat="1"/>
    <xf borderId="0" fillId="0" fontId="10" numFmtId="166" xfId="0" applyFont="1" applyNumberFormat="1"/>
    <xf borderId="0" fillId="0" fontId="37" numFmtId="0" xfId="0" applyFont="1"/>
    <xf borderId="0" fillId="0" fontId="10" numFmtId="169" xfId="0" applyFont="1" applyNumberFormat="1"/>
  </cellXfs>
  <cellStyles count="1">
    <cellStyle xfId="0" name="Normal" builtinId="0"/>
  </cellStyles>
  <dxfs count="7">
    <dxf>
      <font/>
      <fill>
        <patternFill patternType="none"/>
      </fill>
      <border/>
    </dxf>
    <dxf>
      <font/>
      <fill>
        <patternFill patternType="solid">
          <fgColor rgb="FF1A1F36"/>
          <bgColor rgb="FF1A1F36"/>
        </patternFill>
      </fill>
      <border/>
    </dxf>
    <dxf>
      <font/>
      <fill>
        <patternFill patternType="solid">
          <fgColor rgb="FFFFFFFF"/>
          <bgColor rgb="FFFFFFFF"/>
        </patternFill>
      </fill>
      <border/>
    </dxf>
    <dxf>
      <font/>
      <fill>
        <patternFill patternType="solid">
          <fgColor rgb="FFF4F5F7"/>
          <bgColor rgb="FFF4F5F7"/>
        </patternFill>
      </fill>
      <border/>
    </dxf>
    <dxf>
      <font/>
      <fill>
        <patternFill patternType="solid">
          <fgColor rgb="FFF6F8F9"/>
          <bgColor rgb="FFF6F8F9"/>
        </patternFill>
      </fill>
      <border/>
    </dxf>
    <dxf>
      <font/>
      <fill>
        <patternFill patternType="solid">
          <fgColor rgb="FF535FC1"/>
          <bgColor rgb="FF535FC1"/>
        </patternFill>
      </fill>
      <border/>
    </dxf>
    <dxf>
      <border>
        <left style="thin">
          <color rgb="FF535FC1"/>
        </left>
        <right style="thin">
          <color rgb="FF535FC1"/>
        </right>
        <top style="thin">
          <color rgb="FF535FC1"/>
        </top>
        <bottom style="thin">
          <color rgb="FF535FC1"/>
        </bottom>
      </border>
    </dxf>
  </dxfs>
  <tableStyles count="10">
    <tableStyle count="3" pivot="0" name="Dashboard-style">
      <tableStyleElement dxfId="1" type="headerRow"/>
      <tableStyleElement dxfId="2" type="firstRowStripe"/>
      <tableStyleElement dxfId="3" type="secondRowStripe"/>
    </tableStyle>
    <tableStyle count="3" pivot="0" name="Dashboard-style 2">
      <tableStyleElement dxfId="1" type="headerRow"/>
      <tableStyleElement dxfId="2" type="firstRowStripe"/>
      <tableStyleElement dxfId="3" type="secondRowStripe"/>
    </tableStyle>
    <tableStyle count="2" pivot="0" name="Lower Parel (New) - Meta-style">
      <tableStyleElement dxfId="4" type="firstRowStripe"/>
      <tableStyleElement dxfId="2" type="secondRowStripe"/>
    </tableStyle>
    <tableStyle count="2" pivot="0" name="Lower Parel (New) - Meta-style 2">
      <tableStyleElement dxfId="4" type="firstRowStripe"/>
      <tableStyleElement dxfId="2" type="secondRowStripe"/>
    </tableStyle>
    <tableStyle count="2" pivot="0" name="Sheet17-style">
      <tableStyleElement dxfId="2" type="firstRowStripe"/>
      <tableStyleElement dxfId="4" type="secondRowStripe"/>
    </tableStyle>
    <tableStyle count="2" pivot="0" name="Kalyan Meta -style">
      <tableStyleElement dxfId="2" type="firstRowStripe"/>
      <tableStyleElement dxfId="4" type="secondRowStripe"/>
    </tableStyle>
    <tableStyle count="2" pivot="0" name="Andheri (New) - LinkedIn-style">
      <tableStyleElement dxfId="2" type="firstRowStripe"/>
      <tableStyleElement dxfId="4" type="secondRowStripe"/>
    </tableStyle>
    <tableStyle count="2" pivot="0" name="Andheri (New) - Meta-style">
      <tableStyleElement dxfId="2" type="firstRowStripe"/>
      <tableStyleElement dxfId="4" type="secondRowStripe"/>
    </tableStyle>
    <tableStyle count="4" pivot="0" name="Lower Parel (Old)-style">
      <tableStyleElement dxfId="5" type="headerRow"/>
      <tableStyleElement dxfId="2" type="firstRowStripe"/>
      <tableStyleElement dxfId="4" type="secondRowStripe"/>
      <tableStyleElement dxfId="6" size="0" type="wholeTable"/>
    </tableStyle>
    <tableStyle count="4" pivot="0" name="Andheri (Old)-style">
      <tableStyleElement dxfId="5" type="headerRow"/>
      <tableStyleElement dxfId="2"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ontserrat"/>
              </a:defRPr>
            </a:pPr>
            <a:r>
              <a:rPr b="1">
                <a:solidFill>
                  <a:srgbClr val="757575"/>
                </a:solidFill>
                <a:latin typeface="Montserrat"/>
              </a:rPr>
              <a:t>Leads by Campaign</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Calc_Data!$J$1:$J$3</c:f>
            </c:strRef>
          </c:cat>
          <c:val>
            <c:numRef>
              <c:f>Calc_Data!$K$1:$K$3</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ontserrat"/>
              </a:defRPr>
            </a:pPr>
            <a:r>
              <a:rPr b="1">
                <a:solidFill>
                  <a:srgbClr val="757575"/>
                </a:solidFill>
                <a:latin typeface="Montserrat"/>
              </a:rPr>
              <a:t>Leads by Location</a:t>
            </a:r>
          </a:p>
        </c:rich>
      </c:tx>
      <c:overlay val="0"/>
    </c:title>
    <c:plotArea>
      <c:layout/>
      <c:barChart>
        <c:barDir val="col"/>
        <c:ser>
          <c:idx val="0"/>
          <c:order val="0"/>
          <c:tx>
            <c:strRef>
              <c:f>Calc_Data!$N$1</c:f>
            </c:strRef>
          </c:tx>
          <c:spPr>
            <a:solidFill>
              <a:srgbClr val="52677D"/>
            </a:solidFill>
            <a:ln cmpd="sng">
              <a:solidFill>
                <a:srgbClr val="000000"/>
              </a:solidFill>
            </a:ln>
          </c:spPr>
          <c:cat>
            <c:strRef>
              <c:f>Calc_Data!$M$2:$M$5</c:f>
            </c:strRef>
          </c:cat>
          <c:val>
            <c:numRef>
              <c:f>Calc_Data!$N$2:$N$5</c:f>
              <c:numCache/>
            </c:numRef>
          </c:val>
        </c:ser>
        <c:axId val="1853784713"/>
        <c:axId val="660210320"/>
      </c:barChart>
      <c:catAx>
        <c:axId val="1853784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0210320"/>
      </c:catAx>
      <c:valAx>
        <c:axId val="660210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3784713"/>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ontserrat"/>
              </a:defRPr>
            </a:pPr>
            <a:r>
              <a:rPr b="1">
                <a:solidFill>
                  <a:srgbClr val="757575"/>
                </a:solidFill>
                <a:latin typeface="Montserrat"/>
              </a:rPr>
              <a:t>Leads by POC</a:t>
            </a:r>
          </a:p>
        </c:rich>
      </c:tx>
      <c:overlay val="0"/>
    </c:title>
    <c:plotArea>
      <c:layout/>
      <c:barChart>
        <c:barDir val="bar"/>
        <c:ser>
          <c:idx val="0"/>
          <c:order val="0"/>
          <c:tx>
            <c:strRef>
              <c:f>Calc_Data!$Q$1</c:f>
            </c:strRef>
          </c:tx>
          <c:spPr>
            <a:solidFill>
              <a:srgbClr val="1A1F36"/>
            </a:solidFill>
            <a:ln cmpd="sng">
              <a:solidFill>
                <a:srgbClr val="000000"/>
              </a:solidFill>
            </a:ln>
          </c:spPr>
          <c:cat>
            <c:strRef>
              <c:f>Calc_Data!$P$2:$P$6</c:f>
            </c:strRef>
          </c:cat>
          <c:val>
            <c:numRef>
              <c:f>Calc_Data!$Q$2:$Q$6</c:f>
              <c:numCache/>
            </c:numRef>
          </c:val>
        </c:ser>
        <c:axId val="2011965653"/>
        <c:axId val="1205012454"/>
      </c:barChart>
      <c:catAx>
        <c:axId val="20119656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05012454"/>
      </c:catAx>
      <c:valAx>
        <c:axId val="12050124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1965653"/>
        <c:crosses val="max"/>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3048000" cy="2381250"/>
    <xdr:graphicFrame>
      <xdr:nvGraphicFramePr>
        <xdr:cNvPr id="1" name="Chart 1" title="Leads by Campaign"/>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3238500</xdr:colOff>
      <xdr:row>6</xdr:row>
      <xdr:rowOff>0</xdr:rowOff>
    </xdr:from>
    <xdr:ext cx="3333750" cy="2381250"/>
    <xdr:graphicFrame>
      <xdr:nvGraphicFramePr>
        <xdr:cNvPr id="2" name="Chart 2" title="Leads by Location"/>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6762750</xdr:colOff>
      <xdr:row>6</xdr:row>
      <xdr:rowOff>0</xdr:rowOff>
    </xdr:from>
    <xdr:ext cx="3524250" cy="2381250"/>
    <xdr:graphicFrame>
      <xdr:nvGraphicFramePr>
        <xdr:cNvPr id="3" name="Chart 3" title="Leads by POC"/>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1:I58" displayName="Table_1" name="Table_1" id="1">
  <tableColumns count="8">
    <tableColumn name="Date" id="1"/>
    <tableColumn name="Lead Name" id="2"/>
    <tableColumn name="Company" id="3"/>
    <tableColumn name="Location" id="4"/>
    <tableColumn name="Campaign" id="5"/>
    <tableColumn name="POC" id="6"/>
    <tableColumn name="Status" id="7"/>
    <tableColumn name="Update" id="8"/>
  </tableColumns>
  <tableStyleInfo name="Dashboard-style" showColumnStripes="0" showFirstColumn="1" showLastColumn="1" showRowStripes="1"/>
</table>
</file>

<file path=xl/tables/table2.xml><?xml version="1.0" encoding="utf-8"?>
<table xmlns="http://schemas.openxmlformats.org/spreadsheetml/2006/main" ref="B61:I90" displayName="Table_2" name="Table_2" id="2">
  <tableColumns count="8">
    <tableColumn name="Date" id="1"/>
    <tableColumn name="Lead Name" id="2"/>
    <tableColumn name="Company" id="3"/>
    <tableColumn name="Location" id="4"/>
    <tableColumn name="Campaign" id="5"/>
    <tableColumn name="POC" id="6"/>
    <tableColumn name="Status" id="7"/>
    <tableColumn name="Update" id="8"/>
  </tableColumns>
  <tableStyleInfo name="Dashboard-style 2" showColumnStripes="0" showFirstColumn="1" showLastColumn="1" showRowStripes="1"/>
</table>
</file>

<file path=xl/tables/table3.xml><?xml version="1.0" encoding="utf-8"?>
<table xmlns="http://schemas.openxmlformats.org/spreadsheetml/2006/main" headerRowCount="0" ref="A2:P15" displayName="Table_3" name="Table_3" id="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Lower Parel (New) - Meta-style" showColumnStripes="0" showFirstColumn="1" showLastColumn="1" showRowStripes="1"/>
</table>
</file>

<file path=xl/tables/table4.xml><?xml version="1.0" encoding="utf-8"?>
<table xmlns="http://schemas.openxmlformats.org/spreadsheetml/2006/main" headerRowCount="0" ref="E32:O88"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ower Parel (New) - Meta-style 2" showColumnStripes="0" showFirstColumn="1" showLastColumn="1" showRowStripes="1"/>
</table>
</file>

<file path=xl/tables/table5.xml><?xml version="1.0" encoding="utf-8"?>
<table xmlns="http://schemas.openxmlformats.org/spreadsheetml/2006/main" headerRowCount="0" ref="E3:N7"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17-style" showColumnStripes="0" showFirstColumn="1" showLastColumn="1" showRowStripes="1"/>
</table>
</file>

<file path=xl/tables/table6.xml><?xml version="1.0" encoding="utf-8"?>
<table xmlns="http://schemas.openxmlformats.org/spreadsheetml/2006/main" headerRowCount="0" ref="B2:M19" displayName="Table_6" name="Table_6"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Kalyan Meta -style" showColumnStripes="0" showFirstColumn="1" showLastColumn="1" showRowStripes="1"/>
</table>
</file>

<file path=xl/tables/table7.xml><?xml version="1.0" encoding="utf-8"?>
<table xmlns="http://schemas.openxmlformats.org/spreadsheetml/2006/main" headerRowCount="0" ref="B2:N6"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Andheri (New) - LinkedIn-style" showColumnStripes="0" showFirstColumn="1" showLastColumn="1" showRowStripes="1"/>
</table>
</file>

<file path=xl/tables/table8.xml><?xml version="1.0" encoding="utf-8"?>
<table xmlns="http://schemas.openxmlformats.org/spreadsheetml/2006/main" headerRowCount="0" ref="B2:N51"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Andheri (New) - Meta-style" showColumnStripes="0" showFirstColumn="1" showLastColumn="1" showRowStripes="1"/>
</table>
</file>

<file path=xl/tables/table9.xml><?xml version="1.0" encoding="utf-8"?>
<table xmlns="http://schemas.openxmlformats.org/spreadsheetml/2006/main" ref="B3:R137" displayName="Table1" name="Table1" id="9">
  <autoFilter ref="$B$3:$R$137">
    <filterColumn colId="3">
      <filters>
        <filter val="5 Feb"/>
        <filter val="12 Feb"/>
        <filter val="6th Jan"/>
        <filter val="25 Feb"/>
        <filter val="9 Feb"/>
        <filter val="16 Feb"/>
        <filter val="8th Jan"/>
        <filter val="4 Feb"/>
        <filter val="26 Feb"/>
        <filter val="13 Feb"/>
        <filter val="27 Feb"/>
        <filter val="5th Jan"/>
        <filter val="2 Feb"/>
        <filter val="3 Feb"/>
        <filter val="18 Feb"/>
        <filter val="7 Feb"/>
        <filter val="7th Jan"/>
        <filter val="23 Feb"/>
        <filter val="1 Feb"/>
        <filter val="9th Jan"/>
        <filter val="19 Feb"/>
        <filter val="24 Feb"/>
      </filters>
    </filterColumn>
  </autoFilter>
  <tableColumns count="17">
    <tableColumn name="A" id="1"/>
    <tableColumn name="B" id="2"/>
    <tableColumn name="D" id="3"/>
    <tableColumn name="E" id="4"/>
    <tableColumn name="F" id="5"/>
    <tableColumn name="G" id="6"/>
    <tableColumn name="H" id="7"/>
    <tableColumn name="I" id="8"/>
    <tableColumn name="Column 17" id="9"/>
    <tableColumn name="J" id="10"/>
    <tableColumn name="K" id="11"/>
    <tableColumn name="L" id="12"/>
    <tableColumn name="C" id="13"/>
    <tableColumn name="M" id="14"/>
    <tableColumn name="P" id="15"/>
    <tableColumn name="P 2" id="16"/>
    <tableColumn name="Column 1" id="17"/>
  </tableColumns>
  <tableStyleInfo name="Lower Parel (Old)-style" showColumnStripes="0" showFirstColumn="1" showLastColumn="1" showRowStripes="1"/>
</table>
</file>

<file path=xl/tables/table10.xml><?xml version="1.0" encoding="utf-8"?>
<table xmlns="http://schemas.openxmlformats.org/spreadsheetml/2006/main" ref="B3:P89" displayName="Table2" name="Table2" id="10">
  <tableColumns count="15">
    <tableColumn name="A" id="1"/>
    <tableColumn name="B" id="2"/>
    <tableColumn name="C" id="3"/>
    <tableColumn name="D" id="4"/>
    <tableColumn name="E" id="5"/>
    <tableColumn name="F" id="6"/>
    <tableColumn name="G" id="7"/>
    <tableColumn name="H" id="8"/>
    <tableColumn name="I" id="9"/>
    <tableColumn name="J" id="10"/>
    <tableColumn name="K" id="11"/>
    <tableColumn name="L" id="12"/>
    <tableColumn name="Column 16" id="13"/>
    <tableColumn name="M" id="14"/>
    <tableColumn name="O" id="15"/>
  </tableColumns>
  <tableStyleInfo name="Andheri (O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hyperlink" Target="http://brandbuilder.mumbai2group.in/" TargetMode="External"/><Relationship Id="rId2" Type="http://schemas.openxmlformats.org/officeDocument/2006/relationships/hyperlink" Target="http://checkpt.com/" TargetMode="External"/><Relationship Id="rId3" Type="http://schemas.openxmlformats.org/officeDocument/2006/relationships/drawing" Target="../drawings/drawing7.xml"/><Relationship Id="rId5"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hyperlink" Target="http://coreops.ai/"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checkpt.com/" TargetMode="External"/><Relationship Id="rId2" Type="http://schemas.openxmlformats.org/officeDocument/2006/relationships/hyperlink" Target="http://coreops.ai/" TargetMode="External"/><Relationship Id="rId3"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0.13"/>
    <col customWidth="1" min="3" max="4" width="18.88"/>
    <col customWidth="1" min="5" max="6" width="12.63"/>
    <col customWidth="1" min="7" max="7" width="15.13"/>
    <col customWidth="1" min="8" max="8" width="10.13"/>
    <col customWidth="1" min="9" max="9" width="37.63"/>
    <col customWidth="1" min="10" max="10" width="15.13"/>
    <col customWidth="1" min="11" max="11" width="10.13"/>
    <col customWidth="1" min="12" max="12" width="31.38"/>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37.5" customHeight="1">
      <c r="A2" s="1"/>
      <c r="B2" s="2" t="s">
        <v>0</v>
      </c>
      <c r="J2" s="1"/>
      <c r="K2" s="1"/>
      <c r="L2" s="1"/>
      <c r="M2" s="1"/>
      <c r="N2" s="1"/>
      <c r="O2" s="1"/>
      <c r="P2" s="1"/>
      <c r="Q2" s="1"/>
      <c r="R2" s="1"/>
      <c r="S2" s="1"/>
      <c r="T2" s="1"/>
      <c r="U2" s="1"/>
      <c r="V2" s="1"/>
      <c r="W2" s="1"/>
      <c r="X2" s="1"/>
      <c r="Y2" s="1"/>
      <c r="Z2" s="1"/>
    </row>
    <row r="3" ht="15.0" customHeight="1">
      <c r="A3" s="1"/>
      <c r="B3" s="3"/>
      <c r="C3" s="3"/>
      <c r="D3" s="3"/>
      <c r="E3" s="3"/>
      <c r="F3" s="3"/>
      <c r="G3" s="3"/>
      <c r="H3" s="3"/>
      <c r="I3" s="1"/>
      <c r="J3" s="1"/>
      <c r="K3" s="1"/>
      <c r="L3" s="1"/>
      <c r="M3" s="1"/>
      <c r="N3" s="1"/>
      <c r="O3" s="1"/>
      <c r="P3" s="1"/>
      <c r="Q3" s="1"/>
      <c r="R3" s="1"/>
      <c r="S3" s="1"/>
      <c r="T3" s="1"/>
      <c r="U3" s="1"/>
      <c r="V3" s="1"/>
      <c r="W3" s="1"/>
      <c r="X3" s="1"/>
      <c r="Y3" s="1"/>
      <c r="Z3" s="1"/>
    </row>
    <row r="4" ht="22.5" customHeight="1">
      <c r="A4" s="1"/>
      <c r="B4" s="4" t="s">
        <v>1</v>
      </c>
      <c r="C4" s="5"/>
      <c r="D4" s="4" t="s">
        <v>2</v>
      </c>
      <c r="E4" s="5"/>
      <c r="F4" s="4" t="s">
        <v>3</v>
      </c>
      <c r="G4" s="5"/>
      <c r="H4" s="4" t="s">
        <v>4</v>
      </c>
      <c r="I4" s="5"/>
      <c r="J4" s="1"/>
      <c r="K4" s="1"/>
      <c r="L4" s="1"/>
      <c r="M4" s="1"/>
      <c r="N4" s="1"/>
      <c r="O4" s="1"/>
      <c r="P4" s="1"/>
      <c r="Q4" s="1"/>
      <c r="R4" s="1"/>
      <c r="S4" s="1"/>
      <c r="T4" s="1"/>
      <c r="U4" s="1"/>
      <c r="V4" s="1"/>
      <c r="W4" s="1"/>
      <c r="X4" s="1"/>
      <c r="Y4" s="1"/>
      <c r="Z4" s="1"/>
    </row>
    <row r="5" ht="37.5" customHeight="1">
      <c r="A5" s="1"/>
      <c r="B5" s="6">
        <f>COUNTA(Calc_Data!A2:A1000)</f>
        <v>407</v>
      </c>
      <c r="C5" s="7"/>
      <c r="D5" s="8">
        <f>COUNTIF(Calc_Data!D2:D1000, "Hot")</f>
        <v>28</v>
      </c>
      <c r="E5" s="7"/>
      <c r="F5" s="9">
        <f>COUNTIF(Calc_Data!D2:D1000, "Warm")</f>
        <v>49</v>
      </c>
      <c r="G5" s="7"/>
      <c r="H5" s="10">
        <f>COUNTIF(Calc_Data!D2:D1000, "Lost")</f>
        <v>148</v>
      </c>
      <c r="I5" s="7"/>
      <c r="J5" s="1"/>
      <c r="K5" s="1"/>
      <c r="L5" s="1"/>
      <c r="M5" s="1"/>
      <c r="N5" s="1"/>
      <c r="O5" s="1"/>
      <c r="P5" s="1"/>
      <c r="Q5" s="1"/>
      <c r="R5" s="1"/>
      <c r="S5" s="1"/>
      <c r="T5" s="1"/>
      <c r="U5" s="1"/>
      <c r="V5" s="1"/>
      <c r="W5" s="1"/>
      <c r="X5" s="1"/>
      <c r="Y5" s="1"/>
      <c r="Z5" s="1"/>
    </row>
    <row r="6">
      <c r="A6" s="1"/>
      <c r="B6" s="11"/>
      <c r="C6" s="12"/>
      <c r="D6" s="11"/>
      <c r="E6" s="12"/>
      <c r="F6" s="11"/>
      <c r="G6" s="12"/>
      <c r="H6" s="11"/>
      <c r="I6" s="12"/>
      <c r="J6" s="1"/>
      <c r="K6" s="1"/>
      <c r="L6" s="1"/>
      <c r="M6" s="1"/>
      <c r="N6" s="1"/>
      <c r="O6" s="1"/>
      <c r="P6" s="1"/>
      <c r="Q6" s="1"/>
      <c r="R6" s="1"/>
      <c r="S6" s="1"/>
      <c r="T6" s="1"/>
      <c r="U6" s="1"/>
      <c r="V6" s="1"/>
      <c r="W6" s="1"/>
      <c r="X6" s="1"/>
      <c r="Y6" s="1"/>
      <c r="Z6" s="1"/>
    </row>
    <row r="7">
      <c r="A7" s="1"/>
      <c r="B7" s="13"/>
      <c r="C7" s="14"/>
      <c r="D7" s="13"/>
      <c r="E7" s="14"/>
      <c r="F7" s="13"/>
      <c r="G7" s="14"/>
      <c r="H7" s="13"/>
      <c r="I7" s="14"/>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3"/>
      <c r="C9" s="3"/>
      <c r="D9" s="3"/>
      <c r="E9" s="3"/>
      <c r="F9" s="3"/>
      <c r="G9" s="1"/>
      <c r="H9" s="3"/>
      <c r="I9" s="3"/>
      <c r="J9" s="3"/>
      <c r="K9" s="3"/>
      <c r="L9" s="3"/>
      <c r="M9" s="1"/>
      <c r="N9" s="1"/>
      <c r="O9" s="1"/>
      <c r="P9" s="1"/>
      <c r="Q9" s="1"/>
      <c r="R9" s="1"/>
      <c r="S9" s="1"/>
      <c r="T9" s="1"/>
      <c r="U9" s="1"/>
      <c r="V9" s="1"/>
      <c r="W9" s="1"/>
      <c r="X9" s="1"/>
      <c r="Y9" s="1"/>
      <c r="Z9" s="1"/>
    </row>
    <row r="10">
      <c r="A10" s="1"/>
      <c r="B10" s="15"/>
      <c r="C10" s="15"/>
      <c r="D10" s="15"/>
      <c r="E10" s="15"/>
      <c r="F10" s="15"/>
      <c r="G10" s="16"/>
      <c r="H10" s="15"/>
      <c r="I10" s="15"/>
      <c r="J10" s="15"/>
      <c r="K10" s="15"/>
      <c r="L10" s="15"/>
      <c r="M10" s="1"/>
      <c r="N10" s="1"/>
      <c r="O10" s="1"/>
      <c r="P10" s="1"/>
      <c r="Q10" s="1"/>
      <c r="R10" s="1"/>
      <c r="S10" s="1"/>
      <c r="T10" s="1"/>
      <c r="U10" s="1"/>
      <c r="V10" s="1"/>
      <c r="W10" s="1"/>
      <c r="X10" s="1"/>
      <c r="Y10" s="1"/>
      <c r="Z10" s="1"/>
    </row>
    <row r="11">
      <c r="A11" s="1"/>
      <c r="B11" s="17"/>
      <c r="C11" s="18"/>
      <c r="D11" s="18"/>
      <c r="E11" s="18"/>
      <c r="F11" s="18"/>
      <c r="G11" s="1"/>
      <c r="H11" s="17"/>
      <c r="I11" s="18"/>
      <c r="J11" s="18"/>
      <c r="K11" s="18"/>
      <c r="L11" s="18"/>
      <c r="M11" s="1"/>
      <c r="N11" s="1"/>
      <c r="O11" s="1"/>
      <c r="P11" s="1"/>
      <c r="Q11" s="1"/>
      <c r="R11" s="1"/>
      <c r="S11" s="1"/>
      <c r="T11" s="1"/>
      <c r="U11" s="1"/>
      <c r="V11" s="1"/>
      <c r="W11" s="1"/>
      <c r="X11" s="1"/>
      <c r="Y11" s="1"/>
      <c r="Z11" s="1"/>
    </row>
    <row r="12">
      <c r="A12" s="1"/>
      <c r="B12" s="17"/>
      <c r="C12" s="18"/>
      <c r="D12" s="18"/>
      <c r="E12" s="18"/>
      <c r="F12" s="18"/>
      <c r="G12" s="1"/>
      <c r="H12" s="17"/>
      <c r="I12" s="18"/>
      <c r="J12" s="18"/>
      <c r="K12" s="18"/>
      <c r="L12" s="18"/>
      <c r="M12" s="1"/>
      <c r="N12" s="1"/>
      <c r="O12" s="1"/>
      <c r="P12" s="1"/>
      <c r="Q12" s="1"/>
      <c r="R12" s="1"/>
      <c r="S12" s="1"/>
      <c r="T12" s="1"/>
      <c r="U12" s="1"/>
      <c r="V12" s="1"/>
      <c r="W12" s="1"/>
      <c r="X12" s="1"/>
      <c r="Y12" s="1"/>
      <c r="Z12" s="1"/>
    </row>
    <row r="13">
      <c r="A13" s="1"/>
      <c r="B13" s="17"/>
      <c r="C13" s="18"/>
      <c r="D13" s="18"/>
      <c r="E13" s="18"/>
      <c r="F13" s="18"/>
      <c r="G13" s="1"/>
      <c r="H13" s="17"/>
      <c r="I13" s="18"/>
      <c r="J13" s="18"/>
      <c r="K13" s="18"/>
      <c r="L13" s="18"/>
      <c r="M13" s="1"/>
      <c r="N13" s="1"/>
      <c r="O13" s="1"/>
      <c r="P13" s="1"/>
      <c r="Q13" s="1"/>
      <c r="R13" s="1"/>
      <c r="S13" s="1"/>
      <c r="T13" s="1"/>
      <c r="U13" s="1"/>
      <c r="V13" s="1"/>
      <c r="W13" s="1"/>
      <c r="X13" s="1"/>
      <c r="Y13" s="1"/>
      <c r="Z13" s="1"/>
    </row>
    <row r="14">
      <c r="A14" s="1"/>
      <c r="B14" s="17"/>
      <c r="C14" s="18"/>
      <c r="D14" s="18"/>
      <c r="E14" s="18"/>
      <c r="F14" s="18"/>
      <c r="G14" s="1"/>
      <c r="H14" s="17"/>
      <c r="I14" s="18"/>
      <c r="J14" s="18"/>
      <c r="K14" s="18"/>
      <c r="L14" s="18"/>
      <c r="M14" s="1"/>
      <c r="N14" s="1"/>
      <c r="O14" s="1"/>
      <c r="P14" s="1"/>
      <c r="Q14" s="1"/>
      <c r="R14" s="1"/>
      <c r="S14" s="1"/>
      <c r="T14" s="1"/>
      <c r="U14" s="1"/>
      <c r="V14" s="1"/>
      <c r="W14" s="1"/>
      <c r="X14" s="1"/>
      <c r="Y14" s="1"/>
      <c r="Z14" s="1"/>
    </row>
    <row r="15">
      <c r="A15" s="1"/>
      <c r="B15" s="17"/>
      <c r="C15" s="18"/>
      <c r="D15" s="18"/>
      <c r="E15" s="18"/>
      <c r="F15" s="18"/>
      <c r="G15" s="1"/>
      <c r="H15" s="17"/>
      <c r="I15" s="18"/>
      <c r="J15" s="18"/>
      <c r="K15" s="18"/>
      <c r="L15" s="18"/>
      <c r="M15" s="1"/>
      <c r="N15" s="1"/>
      <c r="O15" s="1"/>
      <c r="P15" s="1"/>
      <c r="Q15" s="1"/>
      <c r="R15" s="1"/>
      <c r="S15" s="1"/>
      <c r="T15" s="1"/>
      <c r="U15" s="1"/>
      <c r="V15" s="1"/>
      <c r="W15" s="1"/>
      <c r="X15" s="1"/>
      <c r="Y15" s="1"/>
      <c r="Z15" s="1"/>
    </row>
    <row r="16" ht="15.0" customHeight="1">
      <c r="A16" s="1"/>
      <c r="B16" s="17"/>
      <c r="C16" s="18"/>
      <c r="D16" s="18"/>
      <c r="E16" s="18"/>
      <c r="F16" s="18"/>
      <c r="G16" s="1"/>
      <c r="H16" s="17"/>
      <c r="I16" s="18"/>
      <c r="J16" s="18"/>
      <c r="K16" s="18"/>
      <c r="L16" s="18"/>
      <c r="M16" s="1"/>
      <c r="N16" s="1"/>
      <c r="O16" s="1"/>
      <c r="P16" s="1"/>
      <c r="Q16" s="1"/>
      <c r="R16" s="1"/>
      <c r="S16" s="1"/>
      <c r="T16" s="1"/>
      <c r="U16" s="1"/>
      <c r="V16" s="1"/>
      <c r="W16" s="1"/>
      <c r="X16" s="1"/>
      <c r="Y16" s="1"/>
      <c r="Z16" s="1"/>
    </row>
    <row r="17">
      <c r="A17" s="1"/>
      <c r="J17" s="18"/>
      <c r="K17" s="18"/>
      <c r="L17" s="18"/>
      <c r="M17" s="1"/>
      <c r="N17" s="1"/>
      <c r="O17" s="1"/>
      <c r="P17" s="1"/>
      <c r="Q17" s="1"/>
      <c r="R17" s="1"/>
      <c r="S17" s="1"/>
      <c r="T17" s="1"/>
      <c r="U17" s="1"/>
      <c r="V17" s="1"/>
      <c r="W17" s="1"/>
      <c r="X17" s="1"/>
      <c r="Y17" s="1"/>
      <c r="Z17" s="1"/>
    </row>
    <row r="18">
      <c r="A18" s="1"/>
      <c r="J18" s="18"/>
      <c r="K18" s="18"/>
      <c r="L18" s="18"/>
      <c r="M18" s="1"/>
      <c r="N18" s="1"/>
      <c r="O18" s="1"/>
      <c r="P18" s="1"/>
      <c r="Q18" s="1"/>
      <c r="R18" s="1"/>
      <c r="S18" s="1"/>
      <c r="T18" s="1"/>
      <c r="U18" s="1"/>
      <c r="V18" s="1"/>
      <c r="W18" s="1"/>
      <c r="X18" s="1"/>
      <c r="Y18" s="1"/>
      <c r="Z18" s="1"/>
    </row>
    <row r="19">
      <c r="A19" s="1"/>
      <c r="J19" s="18"/>
      <c r="K19" s="18"/>
      <c r="L19" s="18"/>
      <c r="M19" s="1"/>
      <c r="N19" s="1"/>
      <c r="O19" s="1"/>
      <c r="P19" s="1"/>
      <c r="Q19" s="1"/>
      <c r="R19" s="1"/>
      <c r="S19" s="1"/>
      <c r="T19" s="1"/>
      <c r="U19" s="1"/>
      <c r="V19" s="1"/>
      <c r="W19" s="1"/>
      <c r="X19" s="1"/>
      <c r="Y19" s="1"/>
      <c r="Z19" s="1"/>
    </row>
    <row r="20">
      <c r="A20" s="1"/>
      <c r="B20" s="19" t="s">
        <v>5</v>
      </c>
      <c r="C20" s="20"/>
      <c r="D20" s="20"/>
      <c r="E20" s="20"/>
      <c r="F20" s="20"/>
      <c r="G20" s="20"/>
      <c r="H20" s="20"/>
      <c r="I20" s="7"/>
      <c r="J20" s="18"/>
      <c r="K20" s="18"/>
      <c r="L20" s="18"/>
      <c r="M20" s="1"/>
      <c r="N20" s="1"/>
      <c r="O20" s="1"/>
      <c r="P20" s="1"/>
      <c r="Q20" s="1"/>
      <c r="R20" s="1"/>
      <c r="S20" s="1"/>
      <c r="T20" s="1"/>
      <c r="U20" s="1"/>
      <c r="V20" s="1"/>
      <c r="W20" s="1"/>
      <c r="X20" s="1"/>
      <c r="Y20" s="1"/>
      <c r="Z20" s="1"/>
    </row>
    <row r="21">
      <c r="A21" s="1"/>
      <c r="B21" s="21" t="s">
        <v>6</v>
      </c>
      <c r="C21" s="21" t="s">
        <v>7</v>
      </c>
      <c r="D21" s="21" t="s">
        <v>8</v>
      </c>
      <c r="E21" s="21" t="s">
        <v>9</v>
      </c>
      <c r="F21" s="21" t="s">
        <v>10</v>
      </c>
      <c r="G21" s="22" t="s">
        <v>11</v>
      </c>
      <c r="H21" s="21" t="s">
        <v>12</v>
      </c>
      <c r="I21" s="21" t="s">
        <v>13</v>
      </c>
      <c r="J21" s="18"/>
      <c r="K21" s="18"/>
      <c r="L21" s="18"/>
      <c r="M21" s="1"/>
      <c r="N21" s="1"/>
      <c r="O21" s="1"/>
      <c r="P21" s="1"/>
      <c r="Q21" s="1"/>
      <c r="R21" s="1"/>
      <c r="S21" s="1"/>
      <c r="T21" s="1"/>
      <c r="U21" s="1"/>
      <c r="V21" s="1"/>
      <c r="W21" s="1"/>
      <c r="X21" s="1"/>
      <c r="Y21" s="1"/>
      <c r="Z21" s="1"/>
    </row>
    <row r="22">
      <c r="A22" s="1"/>
      <c r="B22" s="23">
        <f>IFERROR(__xludf.DUMMYFUNCTION("IFERROR(QUERY(Calc_Data!A2:H1000, ""SELECT A, B, C, E, F, G, D, H WHERE D = 'Hot' OR D = 'Warm' ORDER BY A DESC LIMIT 35""), ""No Leads Found"")"),46185.0)</f>
        <v>46185</v>
      </c>
      <c r="C22" s="24" t="str">
        <f>IFERROR(__xludf.DUMMYFUNCTION("""COMPUTED_VALUE"""),"Devarajan Ramachandran")</f>
        <v>Devarajan Ramachandran</v>
      </c>
      <c r="D22" s="24" t="str">
        <f>IFERROR(__xludf.DUMMYFUNCTION("""COMPUTED_VALUE""")," Bazaar247 MCommerce Pvt. Ltd.")</f>
        <v> Bazaar247 MCommerce Pvt. Ltd.</v>
      </c>
      <c r="E22" s="24" t="str">
        <f>IFERROR(__xludf.DUMMYFUNCTION("""COMPUTED_VALUE"""),"Andheri ")</f>
        <v>Andheri </v>
      </c>
      <c r="F22" s="24" t="str">
        <f>IFERROR(__xludf.DUMMYFUNCTION("""COMPUTED_VALUE"""),"LinkedIn")</f>
        <v>LinkedIn</v>
      </c>
      <c r="G22" s="25" t="str">
        <f>IFERROR(__xludf.DUMMYFUNCTION("""COMPUTED_VALUE"""),"Shubham ")</f>
        <v>Shubham </v>
      </c>
      <c r="H22" s="23" t="str">
        <f>IFERROR(__xludf.DUMMYFUNCTION("""COMPUTED_VALUE"""),"Hot")</f>
        <v>Hot</v>
      </c>
      <c r="I22" s="24" t="str">
        <f>IFERROR(__xludf.DUMMYFUNCTION("""COMPUTED_VALUE"""),"12 June: Spoke, He wants a co working space for about or less then 25 people.I have pitched Crescent Solitaire and shared the details over wp. He said he will visit today or tomorrow. ")</f>
        <v>12 June: Spoke, He wants a co working space for about or less then 25 people.I have pitched Crescent Solitaire and shared the details over wp. He said he will visit today or tomorrow. </v>
      </c>
      <c r="J22" s="18"/>
      <c r="K22" s="18"/>
      <c r="L22" s="18"/>
      <c r="M22" s="1"/>
      <c r="N22" s="1"/>
      <c r="O22" s="1"/>
      <c r="P22" s="1"/>
      <c r="Q22" s="1"/>
      <c r="R22" s="1"/>
      <c r="S22" s="1"/>
      <c r="T22" s="1"/>
      <c r="U22" s="1"/>
      <c r="V22" s="1"/>
      <c r="W22" s="1"/>
      <c r="X22" s="1"/>
      <c r="Y22" s="1"/>
      <c r="Z22" s="1"/>
    </row>
    <row r="23">
      <c r="A23" s="1"/>
      <c r="B23" s="23">
        <f>IFERROR(__xludf.DUMMYFUNCTION("""COMPUTED_VALUE"""),46185.0)</f>
        <v>46185</v>
      </c>
      <c r="C23" s="24" t="str">
        <f>IFERROR(__xludf.DUMMYFUNCTION("""COMPUTED_VALUE"""),"Bhavyan  Kothari ")</f>
        <v>Bhavyan  Kothari </v>
      </c>
      <c r="D23" s="24" t="str">
        <f>IFERROR(__xludf.DUMMYFUNCTION("""COMPUTED_VALUE"""),"Infinity Systems")</f>
        <v>Infinity Systems</v>
      </c>
      <c r="E23" s="24" t="str">
        <f>IFERROR(__xludf.DUMMYFUNCTION("""COMPUTED_VALUE"""),"Andheri ")</f>
        <v>Andheri </v>
      </c>
      <c r="F23" s="24" t="str">
        <f>IFERROR(__xludf.DUMMYFUNCTION("""COMPUTED_VALUE"""),"LinkedIn")</f>
        <v>LinkedIn</v>
      </c>
      <c r="G23" s="25" t="str">
        <f>IFERROR(__xludf.DUMMYFUNCTION("""COMPUTED_VALUE"""),"Shubham ")</f>
        <v>Shubham </v>
      </c>
      <c r="H23" s="23" t="str">
        <f>IFERROR(__xludf.DUMMYFUNCTION("""COMPUTED_VALUE"""),"Hot")</f>
        <v>Hot</v>
      </c>
      <c r="I23" s="24" t="str">
        <f>IFERROR(__xludf.DUMMYFUNCTION("""COMPUTED_VALUE"""),"12 June: Busy on another call, dropped a text He called back and he is looking for a Turnkey solution he took a new office in Ghatopar of arond 700 sqft. I asked for a meeting he has send me an address and we can meet in Vidyavihar in their current office"&amp;". ")</f>
        <v>12 June: Busy on another call, dropped a text He called back and he is looking for a Turnkey solution he took a new office in Ghatopar of arond 700 sqft. I asked for a meeting he has send me an address and we can meet in Vidyavihar in their current office. </v>
      </c>
      <c r="J23" s="18"/>
      <c r="K23" s="18"/>
      <c r="L23" s="18"/>
      <c r="M23" s="1"/>
      <c r="N23" s="1"/>
      <c r="O23" s="1"/>
      <c r="P23" s="1"/>
      <c r="Q23" s="1"/>
      <c r="R23" s="1"/>
      <c r="S23" s="1"/>
      <c r="T23" s="1"/>
      <c r="U23" s="1"/>
      <c r="V23" s="1"/>
      <c r="W23" s="1"/>
      <c r="X23" s="1"/>
      <c r="Y23" s="1"/>
      <c r="Z23" s="1"/>
    </row>
    <row r="24">
      <c r="A24" s="1"/>
      <c r="B24" s="23">
        <f>IFERROR(__xludf.DUMMYFUNCTION("""COMPUTED_VALUE"""),46184.0)</f>
        <v>46184</v>
      </c>
      <c r="C24" s="24" t="str">
        <f>IFERROR(__xludf.DUMMYFUNCTION("""COMPUTED_VALUE"""),"Daivya Sharma ")</f>
        <v>Daivya Sharma </v>
      </c>
      <c r="D24" s="24" t="str">
        <f>IFERROR(__xludf.DUMMYFUNCTION("""COMPUTED_VALUE"""),"Signellent Technologies India Pvt. Ltd.")</f>
        <v>Signellent Technologies India Pvt. Ltd.</v>
      </c>
      <c r="E24" s="24" t="str">
        <f>IFERROR(__xludf.DUMMYFUNCTION("""COMPUTED_VALUE"""),"Andheri ")</f>
        <v>Andheri </v>
      </c>
      <c r="F24" s="24" t="str">
        <f>IFERROR(__xludf.DUMMYFUNCTION("""COMPUTED_VALUE"""),"LinkedIn")</f>
        <v>LinkedIn</v>
      </c>
      <c r="G24" s="25" t="str">
        <f>IFERROR(__xludf.DUMMYFUNCTION("""COMPUTED_VALUE"""),"Shubham ")</f>
        <v>Shubham </v>
      </c>
      <c r="H24" s="23" t="str">
        <f>IFERROR(__xludf.DUMMYFUNCTION("""COMPUTED_VALUE"""),"Hot")</f>
        <v>Hot</v>
      </c>
      <c r="I24" s="24" t="str">
        <f>IFERROR(__xludf.DUMMYFUNCTION("""COMPUTED_VALUE"""),"11 June: Spoke. He is looking for a 25 seater with 4 cabins and 1 conference room. Micro-markets preferred are  Goregaon, Jogeshwari and Malad. His current office is in Borivali (E) they are relocating because building is going under redevelopment. It's a"&amp;"n IT company. Their Client base is Co-Working companies to help and manage the Entire IT set-up. One of his client is Awfis.")</f>
        <v>11 June: Spoke. He is looking for a 25 seater with 4 cabins and 1 conference room. Micro-markets preferred are  Goregaon, Jogeshwari and Malad. His current office is in Borivali (E) they are relocating because building is going under redevelopment. It's an IT company. Their Client base is Co-Working companies to help and manage the Entire IT set-up. One of his client is Awfis.</v>
      </c>
      <c r="J24" s="18"/>
      <c r="K24" s="18"/>
      <c r="L24" s="18"/>
      <c r="M24" s="1"/>
      <c r="N24" s="1"/>
      <c r="O24" s="1"/>
      <c r="P24" s="1"/>
      <c r="Q24" s="1"/>
      <c r="R24" s="1"/>
      <c r="S24" s="1"/>
      <c r="T24" s="1"/>
      <c r="U24" s="1"/>
      <c r="V24" s="1"/>
      <c r="W24" s="1"/>
      <c r="X24" s="1"/>
      <c r="Y24" s="1"/>
      <c r="Z24" s="1"/>
    </row>
    <row r="25">
      <c r="A25" s="1"/>
      <c r="B25" s="23">
        <f>IFERROR(__xludf.DUMMYFUNCTION("""COMPUTED_VALUE"""),46182.0)</f>
        <v>46182</v>
      </c>
      <c r="C25" s="24" t="str">
        <f>IFERROR(__xludf.DUMMYFUNCTION("""COMPUTED_VALUE"""),"Vedant  Choudhary ")</f>
        <v>Vedant  Choudhary </v>
      </c>
      <c r="D25" s="24" t="str">
        <f>IFERROR(__xludf.DUMMYFUNCTION("""COMPUTED_VALUE"""),"Cellpage Venture PVT LTD ")</f>
        <v>Cellpage Venture PVT LTD </v>
      </c>
      <c r="E25" s="24" t="str">
        <f>IFERROR(__xludf.DUMMYFUNCTION("""COMPUTED_VALUE"""),"Andheri ")</f>
        <v>Andheri </v>
      </c>
      <c r="F25" s="24" t="str">
        <f>IFERROR(__xludf.DUMMYFUNCTION("""COMPUTED_VALUE"""),"Meta")</f>
        <v>Meta</v>
      </c>
      <c r="G25" s="25" t="str">
        <f>IFERROR(__xludf.DUMMYFUNCTION("""COMPUTED_VALUE"""),"Shubham ")</f>
        <v>Shubham </v>
      </c>
      <c r="H25" s="23" t="str">
        <f>IFERROR(__xludf.DUMMYFUNCTION("""COMPUTED_VALUE"""),"Warm")</f>
        <v>Warm</v>
      </c>
      <c r="I25" s="24" t="str">
        <f>IFERROR(__xludf.DUMMYFUNCTION("""COMPUTED_VALUE"""),"09 June: Spoke. This lead came earlier as well through Linkedin that time he just disconnected the call saying no requirement and stop calling. Now he has a requirement and needs 4 w.s and 1 boss cabin, I have pitched Crescent and shared the details on WP"&amp;". He replied saying will discuss and get back ")</f>
        <v>09 June: Spoke. This lead came earlier as well through Linkedin that time he just disconnected the call saying no requirement and stop calling. Now he has a requirement and needs 4 w.s and 1 boss cabin, I have pitched Crescent and shared the details on WP. He replied saying will discuss and get back </v>
      </c>
      <c r="J25" s="18"/>
      <c r="K25" s="18"/>
      <c r="L25" s="18"/>
      <c r="M25" s="1"/>
      <c r="N25" s="1"/>
      <c r="O25" s="1"/>
      <c r="P25" s="1"/>
      <c r="Q25" s="1"/>
      <c r="R25" s="1"/>
      <c r="S25" s="1"/>
      <c r="T25" s="1"/>
      <c r="U25" s="1"/>
      <c r="V25" s="1"/>
      <c r="W25" s="1"/>
      <c r="X25" s="1"/>
      <c r="Y25" s="1"/>
      <c r="Z25" s="1"/>
    </row>
    <row r="26">
      <c r="A26" s="1"/>
      <c r="B26" s="23">
        <f>IFERROR(__xludf.DUMMYFUNCTION("""COMPUTED_VALUE"""),46182.0)</f>
        <v>46182</v>
      </c>
      <c r="C26" s="24" t="str">
        <f>IFERROR(__xludf.DUMMYFUNCTION("""COMPUTED_VALUE"""),"Ravi  Dhadhania ")</f>
        <v>Ravi  Dhadhania </v>
      </c>
      <c r="D26" s="24" t="str">
        <f>IFERROR(__xludf.DUMMYFUNCTION("""COMPUTED_VALUE"""),"Indimonk Technologies Private Limited")</f>
        <v>Indimonk Technologies Private Limited</v>
      </c>
      <c r="E26" s="24" t="str">
        <f>IFERROR(__xludf.DUMMYFUNCTION("""COMPUTED_VALUE"""),"Andheri ")</f>
        <v>Andheri </v>
      </c>
      <c r="F26" s="24" t="str">
        <f>IFERROR(__xludf.DUMMYFUNCTION("""COMPUTED_VALUE"""),"LinkedIn")</f>
        <v>LinkedIn</v>
      </c>
      <c r="G26" s="25" t="str">
        <f>IFERROR(__xludf.DUMMYFUNCTION("""COMPUTED_VALUE"""),"Shubham ")</f>
        <v>Shubham </v>
      </c>
      <c r="H26" s="23" t="str">
        <f>IFERROR(__xludf.DUMMYFUNCTION("""COMPUTED_VALUE"""),"Warm")</f>
        <v>Warm</v>
      </c>
      <c r="I26" s="24" t="str">
        <f>IFERROR(__xludf.DUMMYFUNCTION("""COMPUTED_VALUE"""),"09 June: Disconnected my call, dropped a text. He called back he has requirement. I have pitched Sakinaka Crescent solitaire and sent the details over whatsapp ")</f>
        <v>09 June: Disconnected my call, dropped a text. He called back he has requirement. I have pitched Sakinaka Crescent solitaire and sent the details over whatsapp </v>
      </c>
      <c r="J26" s="1"/>
      <c r="K26" s="1"/>
      <c r="L26" s="1"/>
      <c r="M26" s="1"/>
      <c r="N26" s="1"/>
      <c r="O26" s="1"/>
      <c r="P26" s="1"/>
      <c r="Q26" s="1"/>
      <c r="R26" s="1"/>
      <c r="S26" s="1"/>
      <c r="T26" s="1"/>
      <c r="U26" s="1"/>
      <c r="V26" s="1"/>
      <c r="W26" s="1"/>
      <c r="X26" s="1"/>
      <c r="Y26" s="1"/>
      <c r="Z26" s="1"/>
    </row>
    <row r="27">
      <c r="A27" s="1"/>
      <c r="B27" s="23">
        <f>IFERROR(__xludf.DUMMYFUNCTION("""COMPUTED_VALUE"""),46181.0)</f>
        <v>46181</v>
      </c>
      <c r="C27" s="24" t="str">
        <f>IFERROR(__xludf.DUMMYFUNCTION("""COMPUTED_VALUE"""),"Kuldeep  Singh ")</f>
        <v>Kuldeep  Singh </v>
      </c>
      <c r="D27" s="24" t="str">
        <f>IFERROR(__xludf.DUMMYFUNCTION("""COMPUTED_VALUE"""),"Dot Strem Vetures PVT LTD")</f>
        <v>Dot Strem Vetures PVT LTD</v>
      </c>
      <c r="E27" s="24" t="str">
        <f>IFERROR(__xludf.DUMMYFUNCTION("""COMPUTED_VALUE"""),"Andheri ")</f>
        <v>Andheri </v>
      </c>
      <c r="F27" s="24" t="str">
        <f>IFERROR(__xludf.DUMMYFUNCTION("""COMPUTED_VALUE"""),"Meta")</f>
        <v>Meta</v>
      </c>
      <c r="G27" s="25" t="str">
        <f>IFERROR(__xludf.DUMMYFUNCTION("""COMPUTED_VALUE"""),"Shubham ")</f>
        <v>Shubham </v>
      </c>
      <c r="H27" s="23" t="str">
        <f>IFERROR(__xludf.DUMMYFUNCTION("""COMPUTED_VALUE"""),"Warm")</f>
        <v>Warm</v>
      </c>
      <c r="I27" s="24" t="str">
        <f>IFERROR(__xludf.DUMMYFUNCTION("""COMPUTED_VALUE"""),"09 June: Spoke he said, send your company profile over mail will revert with th requirement 08 June: Ringing, Dropped a text ")</f>
        <v>09 June: Spoke he said, send your company profile over mail will revert with th requirement 08 June: Ringing, Dropped a text </v>
      </c>
      <c r="J27" s="1"/>
      <c r="K27" s="1"/>
      <c r="L27" s="1"/>
      <c r="M27" s="1"/>
      <c r="N27" s="1"/>
      <c r="O27" s="1"/>
      <c r="P27" s="1"/>
      <c r="Q27" s="1"/>
      <c r="R27" s="1"/>
      <c r="S27" s="1"/>
      <c r="T27" s="1"/>
      <c r="U27" s="1"/>
      <c r="V27" s="1"/>
      <c r="W27" s="1"/>
      <c r="X27" s="1"/>
      <c r="Y27" s="1"/>
      <c r="Z27" s="1"/>
    </row>
    <row r="28">
      <c r="A28" s="1"/>
      <c r="B28" s="23">
        <f>IFERROR(__xludf.DUMMYFUNCTION("""COMPUTED_VALUE"""),46181.0)</f>
        <v>46181</v>
      </c>
      <c r="C28" s="24" t="str">
        <f>IFERROR(__xludf.DUMMYFUNCTION("""COMPUTED_VALUE"""),"Biswajit  Das")</f>
        <v>Biswajit  Das</v>
      </c>
      <c r="D28" s="24" t="str">
        <f>IFERROR(__xludf.DUMMYFUNCTION("""COMPUTED_VALUE""")," Mediaware Infotech Pvt Ltd")</f>
        <v> Mediaware Infotech Pvt Ltd</v>
      </c>
      <c r="E28" s="24" t="str">
        <f>IFERROR(__xludf.DUMMYFUNCTION("""COMPUTED_VALUE"""),"Andheri ")</f>
        <v>Andheri </v>
      </c>
      <c r="F28" s="24" t="str">
        <f>IFERROR(__xludf.DUMMYFUNCTION("""COMPUTED_VALUE"""),"LinkedIn")</f>
        <v>LinkedIn</v>
      </c>
      <c r="G28" s="25" t="str">
        <f>IFERROR(__xludf.DUMMYFUNCTION("""COMPUTED_VALUE"""),"Shubham ")</f>
        <v>Shubham </v>
      </c>
      <c r="H28" s="23" t="str">
        <f>IFERROR(__xludf.DUMMYFUNCTION("""COMPUTED_VALUE"""),"Hot")</f>
        <v>Hot</v>
      </c>
      <c r="I28" s="24" t="str">
        <f>IFERROR(__xludf.DUMMYFUNCTION("""COMPUTED_VALUE"""),"08 June: Ringing, Dropped a Text he replied saying they want 35 seats and 4 cabins near chakala. Send introductory deck and options ")</f>
        <v>08 June: Ringing, Dropped a Text he replied saying they want 35 seats and 4 cabins near chakala. Send introductory deck and options </v>
      </c>
      <c r="J28" s="1"/>
      <c r="K28" s="1"/>
      <c r="L28" s="1"/>
      <c r="M28" s="1"/>
      <c r="N28" s="1"/>
      <c r="O28" s="1"/>
      <c r="P28" s="1"/>
      <c r="Q28" s="1"/>
      <c r="R28" s="1"/>
      <c r="S28" s="1"/>
      <c r="T28" s="1"/>
      <c r="U28" s="1"/>
      <c r="V28" s="1"/>
      <c r="W28" s="1"/>
      <c r="X28" s="1"/>
      <c r="Y28" s="1"/>
      <c r="Z28" s="1"/>
    </row>
    <row r="29">
      <c r="A29" s="1"/>
      <c r="B29" s="26">
        <f>IFERROR(__xludf.DUMMYFUNCTION("""COMPUTED_VALUE"""),46181.0)</f>
        <v>46181</v>
      </c>
      <c r="C29" s="25" t="str">
        <f>IFERROR(__xludf.DUMMYFUNCTION("""COMPUTED_VALUE"""),"Sidhesh Kudalkar")</f>
        <v>Sidhesh Kudalkar</v>
      </c>
      <c r="D29" s="25" t="str">
        <f>IFERROR(__xludf.DUMMYFUNCTION("""COMPUTED_VALUE"""),"mediasmart")</f>
        <v>mediasmart</v>
      </c>
      <c r="E29" s="25" t="str">
        <f>IFERROR(__xludf.DUMMYFUNCTION("""COMPUTED_VALUE"""),"Andheri ")</f>
        <v>Andheri </v>
      </c>
      <c r="F29" s="25" t="str">
        <f>IFERROR(__xludf.DUMMYFUNCTION("""COMPUTED_VALUE"""),"LinkedIn")</f>
        <v>LinkedIn</v>
      </c>
      <c r="G29" s="25" t="str">
        <f>IFERROR(__xludf.DUMMYFUNCTION("""COMPUTED_VALUE"""),"Shubham ")</f>
        <v>Shubham </v>
      </c>
      <c r="H29" s="26" t="str">
        <f>IFERROR(__xludf.DUMMYFUNCTION("""COMPUTED_VALUE"""),"Hot")</f>
        <v>Hot</v>
      </c>
      <c r="I29" s="25" t="str">
        <f>IFERROR(__xludf.DUMMYFUNCTION("""COMPUTED_VALUE"""),"09 June: Busy on another call, Dropped a text he replied and shared the requirement over text and I have shared an Introductory mail and will share the first cut inventory options shortly  08 June: Ringing, Dropped a Text ")</f>
        <v>09 June: Busy on another call, Dropped a text he replied and shared the requirement over text and I have shared an Introductory mail and will share the first cut inventory options shortly  08 June: Ringing, Dropped a Text </v>
      </c>
      <c r="J29" s="1"/>
      <c r="K29" s="1"/>
      <c r="L29" s="1"/>
      <c r="M29" s="1"/>
      <c r="N29" s="1"/>
      <c r="O29" s="1"/>
      <c r="P29" s="1"/>
      <c r="Q29" s="1"/>
      <c r="R29" s="1"/>
      <c r="S29" s="1"/>
      <c r="T29" s="1"/>
      <c r="U29" s="1"/>
      <c r="V29" s="1"/>
      <c r="W29" s="1"/>
      <c r="X29" s="1"/>
      <c r="Y29" s="1"/>
      <c r="Z29" s="1"/>
    </row>
    <row r="30">
      <c r="A30" s="1"/>
      <c r="B30" s="26">
        <f>IFERROR(__xludf.DUMMYFUNCTION("""COMPUTED_VALUE"""),46178.0)</f>
        <v>46178</v>
      </c>
      <c r="C30" s="25" t="str">
        <f>IFERROR(__xludf.DUMMYFUNCTION("""COMPUTED_VALUE"""),"Sejal  Shesth ")</f>
        <v>Sejal  Shesth </v>
      </c>
      <c r="D30" s="25" t="str">
        <f>IFERROR(__xludf.DUMMYFUNCTION("""COMPUTED_VALUE"""),"Marc")</f>
        <v>Marc</v>
      </c>
      <c r="E30" s="25" t="str">
        <f>IFERROR(__xludf.DUMMYFUNCTION("""COMPUTED_VALUE"""),"Andheri ")</f>
        <v>Andheri </v>
      </c>
      <c r="F30" s="25" t="str">
        <f>IFERROR(__xludf.DUMMYFUNCTION("""COMPUTED_VALUE"""),"Meta")</f>
        <v>Meta</v>
      </c>
      <c r="G30" s="25" t="str">
        <f>IFERROR(__xludf.DUMMYFUNCTION("""COMPUTED_VALUE"""),"Shubham ")</f>
        <v>Shubham </v>
      </c>
      <c r="H30" s="26" t="str">
        <f>IFERROR(__xludf.DUMMYFUNCTION("""COMPUTED_VALUE"""),"Hot")</f>
        <v>Hot</v>
      </c>
      <c r="I30" s="25" t="str">
        <f>IFERROR(__xludf.DUMMYFUNCTION("""COMPUTED_VALUE"""),"08 June: Ringing Dropped a text she replied saying, Please share inventory you have in andheri she is looking for 5 w.s only. I have shared the details with her, she will send her Admin to visit  05 June: Ringing, Dropped a text ")</f>
        <v>08 June: Ringing Dropped a text she replied saying, Please share inventory you have in andheri she is looking for 5 w.s only. I have shared the details with her, she will send her Admin to visit  05 June: Ringing, Dropped a text </v>
      </c>
      <c r="J30" s="1"/>
      <c r="K30" s="1"/>
      <c r="L30" s="1"/>
      <c r="M30" s="1"/>
      <c r="N30" s="1"/>
      <c r="O30" s="1"/>
      <c r="P30" s="1"/>
      <c r="Q30" s="1"/>
      <c r="R30" s="1"/>
      <c r="S30" s="1"/>
      <c r="T30" s="1"/>
      <c r="U30" s="1"/>
      <c r="V30" s="1"/>
      <c r="W30" s="1"/>
      <c r="X30" s="1"/>
      <c r="Y30" s="1"/>
      <c r="Z30" s="1"/>
    </row>
    <row r="31">
      <c r="A31" s="1"/>
      <c r="B31" s="26">
        <f>IFERROR(__xludf.DUMMYFUNCTION("""COMPUTED_VALUE"""),46175.0)</f>
        <v>46175</v>
      </c>
      <c r="C31" s="25" t="str">
        <f>IFERROR(__xludf.DUMMYFUNCTION("""COMPUTED_VALUE"""),"Anup  Sudhendranath")</f>
        <v>Anup  Sudhendranath</v>
      </c>
      <c r="D31" s="25" t="str">
        <f>IFERROR(__xludf.DUMMYFUNCTION("""COMPUTED_VALUE"""),"Raadhi Advisors")</f>
        <v>Raadhi Advisors</v>
      </c>
      <c r="E31" s="25" t="str">
        <f>IFERROR(__xludf.DUMMYFUNCTION("""COMPUTED_VALUE"""),"Andheri ")</f>
        <v>Andheri </v>
      </c>
      <c r="F31" s="25" t="str">
        <f>IFERROR(__xludf.DUMMYFUNCTION("""COMPUTED_VALUE"""),"LinkedIn")</f>
        <v>LinkedIn</v>
      </c>
      <c r="G31" s="25" t="str">
        <f>IFERROR(__xludf.DUMMYFUNCTION("""COMPUTED_VALUE"""),"Shubham ")</f>
        <v>Shubham </v>
      </c>
      <c r="H31" s="26" t="str">
        <f>IFERROR(__xludf.DUMMYFUNCTION("""COMPUTED_VALUE"""),"Hot")</f>
        <v>Hot</v>
      </c>
      <c r="I31" s="25" t="str">
        <f>IFERROR(__xludf.DUMMYFUNCTION("""COMPUTED_VALUE"""),"09 June: Ringing, dropped a text 06 June: He said he is in a meeting will call back 04 June: Ringing, Dropped a text spoke he said he will probably come on 2 days 02 June: Spoke. He needs a 4 seater Cabin space. Sakinaka won't work for him. Lp works and I"&amp;" have shared the Layout and the details over whatsapp. He will probably visit tomorrow 1st half.")</f>
        <v>09 June: Ringing, dropped a text 06 June: He said he is in a meeting will call back 04 June: Ringing, Dropped a text spoke he said he will probably come on 2 days 02 June: Spoke. He needs a 4 seater Cabin space. Sakinaka won't work for him. Lp works and I have shared the Layout and the details over whatsapp. He will probably visit tomorrow 1st half.</v>
      </c>
      <c r="J31" s="1"/>
      <c r="K31" s="1"/>
      <c r="L31" s="1"/>
      <c r="M31" s="1"/>
      <c r="N31" s="1"/>
      <c r="O31" s="1"/>
      <c r="P31" s="1"/>
      <c r="Q31" s="1"/>
      <c r="R31" s="1"/>
      <c r="S31" s="1"/>
      <c r="T31" s="1"/>
      <c r="U31" s="1"/>
      <c r="V31" s="1"/>
      <c r="W31" s="1"/>
      <c r="X31" s="1"/>
      <c r="Y31" s="1"/>
      <c r="Z31" s="1"/>
    </row>
    <row r="32">
      <c r="A32" s="1"/>
      <c r="B32" s="26">
        <f>IFERROR(__xludf.DUMMYFUNCTION("""COMPUTED_VALUE"""),46175.0)</f>
        <v>46175</v>
      </c>
      <c r="C32" s="25" t="str">
        <f>IFERROR(__xludf.DUMMYFUNCTION("""COMPUTED_VALUE"""),"Haneesha Puri")</f>
        <v>Haneesha Puri</v>
      </c>
      <c r="D32" s="25" t="str">
        <f>IFERROR(__xludf.DUMMYFUNCTION("""COMPUTED_VALUE"""),"Ambest Brandcom")</f>
        <v>Ambest Brandcom</v>
      </c>
      <c r="E32" s="25" t="str">
        <f>IFERROR(__xludf.DUMMYFUNCTION("""COMPUTED_VALUE"""),"Lower parel")</f>
        <v>Lower parel</v>
      </c>
      <c r="F32" s="25" t="str">
        <f>IFERROR(__xludf.DUMMYFUNCTION("""COMPUTED_VALUE"""),"Meta")</f>
        <v>Meta</v>
      </c>
      <c r="G32" s="25" t="str">
        <f>IFERROR(__xludf.DUMMYFUNCTION("""COMPUTED_VALUE"""),"Shravani")</f>
        <v>Shravani</v>
      </c>
      <c r="H32" s="26" t="str">
        <f>IFERROR(__xludf.DUMMYFUNCTION("""COMPUTED_VALUE"""),"Hot")</f>
        <v>Hot</v>
      </c>
      <c r="I32" s="25" t="str">
        <f>IFERROR(__xludf.DUMMYFUNCTION("""COMPUTED_VALUE"""),"3 June: She asked me to share the details and images of the available space.")</f>
        <v>3 June: She asked me to share the details and images of the available space.</v>
      </c>
      <c r="J32" s="1"/>
      <c r="K32" s="1"/>
      <c r="L32" s="1"/>
      <c r="M32" s="1"/>
      <c r="N32" s="1"/>
      <c r="O32" s="1"/>
      <c r="P32" s="1"/>
      <c r="Q32" s="1"/>
      <c r="R32" s="1"/>
      <c r="S32" s="1"/>
      <c r="T32" s="1"/>
      <c r="U32" s="1"/>
      <c r="V32" s="1"/>
      <c r="W32" s="1"/>
      <c r="X32" s="1"/>
      <c r="Y32" s="1"/>
      <c r="Z32" s="1"/>
    </row>
    <row r="33">
      <c r="A33" s="1"/>
      <c r="B33" s="26">
        <f>IFERROR(__xludf.DUMMYFUNCTION("""COMPUTED_VALUE"""),46175.0)</f>
        <v>46175</v>
      </c>
      <c r="C33" s="25" t="str">
        <f>IFERROR(__xludf.DUMMYFUNCTION("""COMPUTED_VALUE"""),"Ronit Jain")</f>
        <v>Ronit Jain</v>
      </c>
      <c r="D33" s="25" t="str">
        <f>IFERROR(__xludf.DUMMYFUNCTION("""COMPUTED_VALUE"""),"Mva Healthcare")</f>
        <v>Mva Healthcare</v>
      </c>
      <c r="E33" s="25" t="str">
        <f>IFERROR(__xludf.DUMMYFUNCTION("""COMPUTED_VALUE"""),"Lower parel")</f>
        <v>Lower parel</v>
      </c>
      <c r="F33" s="25" t="str">
        <f>IFERROR(__xludf.DUMMYFUNCTION("""COMPUTED_VALUE"""),"Meta")</f>
        <v>Meta</v>
      </c>
      <c r="G33" s="25" t="str">
        <f>IFERROR(__xludf.DUMMYFUNCTION("""COMPUTED_VALUE"""),"Shravani")</f>
        <v>Shravani</v>
      </c>
      <c r="H33" s="26" t="str">
        <f>IFERROR(__xludf.DUMMYFUNCTION("""COMPUTED_VALUE"""),"Hot")</f>
        <v>Hot</v>
      </c>
      <c r="I33" s="25" t="str">
        <f>IFERROR(__xludf.DUMMYFUNCTION("""COMPUTED_VALUE"""),"3 June: He wants a space in Marathon Futurex and his requirement is around 500sq.ft. He have asked me to share the details of the available space, he will check it and will keep me posted on it.")</f>
        <v>3 June: He wants a space in Marathon Futurex and his requirement is around 500sq.ft. He have asked me to share the details of the available space, he will check it and will keep me posted on it.</v>
      </c>
      <c r="J33" s="1"/>
      <c r="K33" s="1"/>
      <c r="L33" s="1"/>
      <c r="M33" s="1"/>
      <c r="N33" s="1"/>
      <c r="O33" s="1"/>
      <c r="P33" s="1"/>
      <c r="Q33" s="1"/>
      <c r="R33" s="1"/>
      <c r="S33" s="1"/>
      <c r="T33" s="1"/>
      <c r="U33" s="1"/>
      <c r="V33" s="1"/>
      <c r="W33" s="1"/>
      <c r="X33" s="1"/>
      <c r="Y33" s="1"/>
      <c r="Z33" s="1"/>
    </row>
    <row r="34">
      <c r="A34" s="1"/>
      <c r="B34" s="26">
        <f>IFERROR(__xludf.DUMMYFUNCTION("""COMPUTED_VALUE"""),46174.0)</f>
        <v>46174</v>
      </c>
      <c r="C34" s="25" t="str">
        <f>IFERROR(__xludf.DUMMYFUNCTION("""COMPUTED_VALUE"""),"Rajesh  A")</f>
        <v>Rajesh  A</v>
      </c>
      <c r="D34" s="25" t="str">
        <f>IFERROR(__xludf.DUMMYFUNCTION("""COMPUTED_VALUE"""),"Site Invention")</f>
        <v>Site Invention</v>
      </c>
      <c r="E34" s="25" t="str">
        <f>IFERROR(__xludf.DUMMYFUNCTION("""COMPUTED_VALUE"""),"Lower parel")</f>
        <v>Lower parel</v>
      </c>
      <c r="F34" s="25" t="str">
        <f>IFERROR(__xludf.DUMMYFUNCTION("""COMPUTED_VALUE"""),"Meta")</f>
        <v>Meta</v>
      </c>
      <c r="G34" s="25" t="str">
        <f>IFERROR(__xludf.DUMMYFUNCTION("""COMPUTED_VALUE"""),"Shravani")</f>
        <v>Shravani</v>
      </c>
      <c r="H34" s="26" t="str">
        <f>IFERROR(__xludf.DUMMYFUNCTION("""COMPUTED_VALUE"""),"Hot")</f>
        <v>Hot</v>
      </c>
      <c r="I34" s="25" t="str">
        <f>IFERROR(__xludf.DUMMYFUNCTION("""COMPUTED_VALUE"""),"2 June: He need a space only for 3 month from August.")</f>
        <v>2 June: He need a space only for 3 month from August.</v>
      </c>
      <c r="J34" s="1"/>
      <c r="K34" s="1"/>
      <c r="L34" s="1"/>
      <c r="M34" s="1"/>
      <c r="N34" s="1"/>
      <c r="O34" s="1"/>
      <c r="P34" s="1"/>
      <c r="Q34" s="1"/>
      <c r="R34" s="1"/>
      <c r="S34" s="1"/>
      <c r="T34" s="1"/>
      <c r="U34" s="1"/>
      <c r="V34" s="1"/>
      <c r="W34" s="1"/>
      <c r="X34" s="1"/>
      <c r="Y34" s="1"/>
      <c r="Z34" s="1"/>
    </row>
    <row r="35">
      <c r="A35" s="1"/>
      <c r="B35" s="26">
        <f>IFERROR(__xludf.DUMMYFUNCTION("""COMPUTED_VALUE"""),46169.0)</f>
        <v>46169</v>
      </c>
      <c r="C35" s="25" t="str">
        <f>IFERROR(__xludf.DUMMYFUNCTION("""COMPUTED_VALUE"""),"Udit  Saraswat")</f>
        <v>Udit  Saraswat</v>
      </c>
      <c r="D35" s="25" t="str">
        <f>IFERROR(__xludf.DUMMYFUNCTION("""COMPUTED_VALUE"""),"Darien Aerospace")</f>
        <v>Darien Aerospace</v>
      </c>
      <c r="E35" s="25" t="str">
        <f>IFERROR(__xludf.DUMMYFUNCTION("""COMPUTED_VALUE"""),"Andheri ")</f>
        <v>Andheri </v>
      </c>
      <c r="F35" s="25" t="str">
        <f>IFERROR(__xludf.DUMMYFUNCTION("""COMPUTED_VALUE"""),"LinkedIn")</f>
        <v>LinkedIn</v>
      </c>
      <c r="G35" s="25" t="str">
        <f>IFERROR(__xludf.DUMMYFUNCTION("""COMPUTED_VALUE"""),"Shubham ")</f>
        <v>Shubham </v>
      </c>
      <c r="H35" s="26" t="str">
        <f>IFERROR(__xludf.DUMMYFUNCTION("""COMPUTED_VALUE"""),"Warm")</f>
        <v>Warm</v>
      </c>
      <c r="I35" s="25" t="str">
        <f>IFERROR(__xludf.DUMMYFUNCTION("""COMPUTED_VALUE"""),"09: June: Ringing, dropped a text even Vishal his admin who visited is not answering the calls and text 06 June: Ringing, dropped a tex t04 June: Ringing, dropped a text 01 June: Tried Calling both, Ringing, dropped a text 29 May: Spoke second visit done "&amp;"and will get a confirmation by Monday 28 May: Visit done by Mr. Vishal (Admin) he liked the space mostly there is a second visit of his senior tomorrow and then they will share commercial offer 27 May: Spoke. He said call back after 10 mins. Spoke he want"&amp;" 5-6 seats strongly pitched sakinaka but he is exploring a space which is near MIDC, His admin will try to visit today in sakinaka")</f>
        <v>09: June: Ringing, dropped a text even Vishal his admin who visited is not answering the calls and text 06 June: Ringing, dropped a tex t04 June: Ringing, dropped a text 01 June: Tried Calling both, Ringing, dropped a text 29 May: Spoke second visit done and will get a confirmation by Monday 28 May: Visit done by Mr. Vishal (Admin) he liked the space mostly there is a second visit of his senior tomorrow and then they will share commercial offer 27 May: Spoke. He said call back after 10 mins. Spoke he want 5-6 seats strongly pitched sakinaka but he is exploring a space which is near MIDC, His admin will try to visit today in sakinaka</v>
      </c>
      <c r="J35" s="1"/>
      <c r="K35" s="1"/>
      <c r="L35" s="1"/>
      <c r="M35" s="1"/>
      <c r="N35" s="1"/>
      <c r="O35" s="1"/>
      <c r="P35" s="1"/>
      <c r="Q35" s="1"/>
      <c r="R35" s="1"/>
      <c r="S35" s="1"/>
      <c r="T35" s="1"/>
      <c r="U35" s="1"/>
      <c r="V35" s="1"/>
      <c r="W35" s="1"/>
      <c r="X35" s="1"/>
      <c r="Y35" s="1"/>
      <c r="Z35" s="1"/>
    </row>
    <row r="36">
      <c r="A36" s="1"/>
      <c r="B36" s="26">
        <f>IFERROR(__xludf.DUMMYFUNCTION("""COMPUTED_VALUE"""),46169.0)</f>
        <v>46169</v>
      </c>
      <c r="C36" s="25" t="str">
        <f>IFERROR(__xludf.DUMMYFUNCTION("""COMPUTED_VALUE"""),"Suzette Denis")</f>
        <v>Suzette Denis</v>
      </c>
      <c r="D36" s="25" t="str">
        <f>IFERROR(__xludf.DUMMYFUNCTION("""COMPUTED_VALUE"""),"Red Ray Engineers")</f>
        <v>Red Ray Engineers</v>
      </c>
      <c r="E36" s="25" t="str">
        <f>IFERROR(__xludf.DUMMYFUNCTION("""COMPUTED_VALUE"""),"Lower parel")</f>
        <v>Lower parel</v>
      </c>
      <c r="F36" s="25" t="str">
        <f>IFERROR(__xludf.DUMMYFUNCTION("""COMPUTED_VALUE"""),"Meta")</f>
        <v>Meta</v>
      </c>
      <c r="G36" s="25" t="str">
        <f>IFERROR(__xludf.DUMMYFUNCTION("""COMPUTED_VALUE"""),"Shravani")</f>
        <v>Shravani</v>
      </c>
      <c r="H36" s="26" t="str">
        <f>IFERROR(__xludf.DUMMYFUNCTION("""COMPUTED_VALUE"""),"Warm")</f>
        <v>Warm</v>
      </c>
      <c r="I36" s="25" t="str">
        <f>IFERROR(__xludf.DUMMYFUNCTION("""COMPUTED_VALUE"""),"29th May : Spoke on a text. 28th May: Ringing.")</f>
        <v>29th May : Spoke on a text. 28th May: Ringing.</v>
      </c>
      <c r="J36" s="1"/>
      <c r="K36" s="1"/>
      <c r="L36" s="1"/>
      <c r="M36" s="1"/>
      <c r="N36" s="1"/>
      <c r="O36" s="1"/>
      <c r="P36" s="1"/>
      <c r="Q36" s="1"/>
      <c r="R36" s="1"/>
      <c r="S36" s="1"/>
      <c r="T36" s="1"/>
      <c r="U36" s="1"/>
      <c r="V36" s="1"/>
      <c r="W36" s="1"/>
      <c r="X36" s="1"/>
      <c r="Y36" s="1"/>
      <c r="Z36" s="1"/>
    </row>
    <row r="37">
      <c r="A37" s="1"/>
      <c r="B37" s="26">
        <f>IFERROR(__xludf.DUMMYFUNCTION("""COMPUTED_VALUE"""),46168.0)</f>
        <v>46168</v>
      </c>
      <c r="C37" s="25" t="str">
        <f>IFERROR(__xludf.DUMMYFUNCTION("""COMPUTED_VALUE"""),"Radhakrishna  Iyer")</f>
        <v>Radhakrishna  Iyer</v>
      </c>
      <c r="D37" s="25" t="str">
        <f>IFERROR(__xludf.DUMMYFUNCTION("""COMPUTED_VALUE"""),"Shree Ram Welfare Society high School ")</f>
        <v>Shree Ram Welfare Society high School </v>
      </c>
      <c r="E37" s="25" t="str">
        <f>IFERROR(__xludf.DUMMYFUNCTION("""COMPUTED_VALUE"""),"Andheri ")</f>
        <v>Andheri </v>
      </c>
      <c r="F37" s="25" t="str">
        <f>IFERROR(__xludf.DUMMYFUNCTION("""COMPUTED_VALUE"""),"Meta")</f>
        <v>Meta</v>
      </c>
      <c r="G37" s="25" t="str">
        <f>IFERROR(__xludf.DUMMYFUNCTION("""COMPUTED_VALUE"""),"Shubham ")</f>
        <v>Shubham </v>
      </c>
      <c r="H37" s="26" t="str">
        <f>IFERROR(__xludf.DUMMYFUNCTION("""COMPUTED_VALUE"""),"Warm")</f>
        <v>Warm</v>
      </c>
      <c r="I37" s="25" t="str">
        <f>IFERROR(__xludf.DUMMYFUNCTION("""COMPUTED_VALUE"""),"09 June: Spoke he said he is in a meeting and will call back  06 June: Ringing, dropped a text04 June: Spoke he wants 1 cabin pitched Sakinaka, shared the details over whatsapp, its a NGO which started few months ago")</f>
        <v>09 June: Spoke he said he is in a meeting and will call back  06 June: Ringing, dropped a text04 June: Spoke he wants 1 cabin pitched Sakinaka, shared the details over whatsapp, its a NGO which started few months ago</v>
      </c>
      <c r="J37" s="1"/>
      <c r="K37" s="1"/>
      <c r="L37" s="1"/>
      <c r="M37" s="1"/>
      <c r="N37" s="1"/>
      <c r="O37" s="1"/>
      <c r="P37" s="1"/>
      <c r="Q37" s="1"/>
      <c r="R37" s="1"/>
      <c r="S37" s="1"/>
      <c r="T37" s="1"/>
      <c r="U37" s="1"/>
      <c r="V37" s="1"/>
      <c r="W37" s="1"/>
      <c r="X37" s="1"/>
      <c r="Y37" s="1"/>
      <c r="Z37" s="1"/>
    </row>
    <row r="38">
      <c r="A38" s="1"/>
      <c r="B38" s="26">
        <f>IFERROR(__xludf.DUMMYFUNCTION("""COMPUTED_VALUE"""),46168.0)</f>
        <v>46168</v>
      </c>
      <c r="C38" s="25" t="str">
        <f>IFERROR(__xludf.DUMMYFUNCTION("""COMPUTED_VALUE"""),"Nitin  Karkote")</f>
        <v>Nitin  Karkote</v>
      </c>
      <c r="D38" s="25" t="str">
        <f>IFERROR(__xludf.DUMMYFUNCTION("""COMPUTED_VALUE"""),"Zensome")</f>
        <v>Zensome</v>
      </c>
      <c r="E38" s="25" t="str">
        <f>IFERROR(__xludf.DUMMYFUNCTION("""COMPUTED_VALUE"""),"Lower parel")</f>
        <v>Lower parel</v>
      </c>
      <c r="F38" s="25" t="str">
        <f>IFERROR(__xludf.DUMMYFUNCTION("""COMPUTED_VALUE"""),"Meta")</f>
        <v>Meta</v>
      </c>
      <c r="G38" s="25" t="str">
        <f>IFERROR(__xludf.DUMMYFUNCTION("""COMPUTED_VALUE"""),"Shravani")</f>
        <v>Shravani</v>
      </c>
      <c r="H38" s="26" t="str">
        <f>IFERROR(__xludf.DUMMYFUNCTION("""COMPUTED_VALUE"""),"Warm")</f>
        <v>Warm</v>
      </c>
      <c r="I38" s="25" t="str">
        <f>IFERROR(__xludf.DUMMYFUNCTION("""COMPUTED_VALUE"""),"29th May: Ringing. 28th May: Declined the call. 26th May: He need 1 Open W.S. ")</f>
        <v>29th May: Ringing. 28th May: Declined the call. 26th May: He need 1 Open W.S. </v>
      </c>
      <c r="J38" s="1"/>
      <c r="K38" s="1"/>
      <c r="L38" s="1"/>
      <c r="M38" s="1"/>
      <c r="N38" s="1"/>
      <c r="O38" s="1"/>
      <c r="P38" s="1"/>
      <c r="Q38" s="1"/>
      <c r="R38" s="1"/>
      <c r="S38" s="1"/>
      <c r="T38" s="1"/>
      <c r="U38" s="1"/>
      <c r="V38" s="1"/>
      <c r="W38" s="1"/>
      <c r="X38" s="1"/>
      <c r="Y38" s="1"/>
      <c r="Z38" s="1"/>
    </row>
    <row r="39" ht="15.0" customHeight="1">
      <c r="A39" s="1"/>
      <c r="B39" s="26">
        <f>IFERROR(__xludf.DUMMYFUNCTION("""COMPUTED_VALUE"""),46167.0)</f>
        <v>46167</v>
      </c>
      <c r="C39" s="25" t="str">
        <f>IFERROR(__xludf.DUMMYFUNCTION("""COMPUTED_VALUE"""),"Vinay Soni")</f>
        <v>Vinay Soni</v>
      </c>
      <c r="D39" s="25"/>
      <c r="E39" s="25" t="str">
        <f>IFERROR(__xludf.DUMMYFUNCTION("""COMPUTED_VALUE"""),"Lower parel")</f>
        <v>Lower parel</v>
      </c>
      <c r="F39" s="25" t="str">
        <f>IFERROR(__xludf.DUMMYFUNCTION("""COMPUTED_VALUE"""),"Meta")</f>
        <v>Meta</v>
      </c>
      <c r="G39" s="25" t="str">
        <f>IFERROR(__xludf.DUMMYFUNCTION("""COMPUTED_VALUE"""),"Shravani")</f>
        <v>Shravani</v>
      </c>
      <c r="H39" s="26" t="str">
        <f>IFERROR(__xludf.DUMMYFUNCTION("""COMPUTED_VALUE"""),"Hot")</f>
        <v>Hot</v>
      </c>
      <c r="I39" s="25" t="str">
        <f>IFERROR(__xludf.DUMMYFUNCTION("""COMPUTED_VALUE"""),"28th May: 1000sq.ft. He wants me to share the details of the space. 27th May: Ringing. 25th May: Ringing")</f>
        <v>28th May: 1000sq.ft. He wants me to share the details of the space. 27th May: Ringing. 25th May: Ringing</v>
      </c>
      <c r="J39" s="1"/>
      <c r="K39" s="1"/>
      <c r="L39" s="1"/>
      <c r="M39" s="1"/>
      <c r="N39" s="1"/>
      <c r="O39" s="1"/>
      <c r="P39" s="1"/>
      <c r="Q39" s="1"/>
      <c r="R39" s="1"/>
      <c r="S39" s="1"/>
      <c r="T39" s="1"/>
      <c r="U39" s="1"/>
      <c r="V39" s="1"/>
      <c r="W39" s="1"/>
      <c r="X39" s="1"/>
      <c r="Y39" s="1"/>
      <c r="Z39" s="1"/>
    </row>
    <row r="40">
      <c r="A40" s="1"/>
      <c r="B40" s="26">
        <f>IFERROR(__xludf.DUMMYFUNCTION("""COMPUTED_VALUE"""),46166.0)</f>
        <v>46166</v>
      </c>
      <c r="C40" s="25" t="str">
        <f>IFERROR(__xludf.DUMMYFUNCTION("""COMPUTED_VALUE"""),"Kinjal  Panchal ")</f>
        <v>Kinjal  Panchal </v>
      </c>
      <c r="D40" s="25" t="str">
        <f>IFERROR(__xludf.DUMMYFUNCTION("""COMPUTED_VALUE"""),"Raj Vijtech Pvt Ltd")</f>
        <v>Raj Vijtech Pvt Ltd</v>
      </c>
      <c r="E40" s="25" t="str">
        <f>IFERROR(__xludf.DUMMYFUNCTION("""COMPUTED_VALUE"""),"Andheri ")</f>
        <v>Andheri </v>
      </c>
      <c r="F40" s="25" t="str">
        <f>IFERROR(__xludf.DUMMYFUNCTION("""COMPUTED_VALUE"""),"LinkedIn")</f>
        <v>LinkedIn</v>
      </c>
      <c r="G40" s="25" t="str">
        <f>IFERROR(__xludf.DUMMYFUNCTION("""COMPUTED_VALUE"""),"Shubham ")</f>
        <v>Shubham </v>
      </c>
      <c r="H40" s="26" t="str">
        <f>IFERROR(__xludf.DUMMYFUNCTION("""COMPUTED_VALUE"""),"Warm")</f>
        <v>Warm</v>
      </c>
      <c r="I40" s="25" t="str">
        <f>IFERROR(__xludf.DUMMYFUNCTION("""COMPUTED_VALUE"""),"09 June: Disconnect my call, dropped a voice note and Text 06 June: Ringing, dropped a text 04 June: Ringing, dropped a text She replied saying shared the details of Lower parel only with images and costing. 01 June: Ringing, Dropped a text and voice note"&amp;" 27 May: Ringing, Dropped a text 25 May: I have dropped a follow up text as she said she is travelling.  24 May: Spoke to Kinjal. They are exploring options in LP and Andheri both. She is traveling this week and will be back on June 4th and will visit bot"&amp;"h LP and Crescent. I have shared the details over whatsapp. The requirement is 20 seats and 2 cubicals.")</f>
        <v>09 June: Disconnect my call, dropped a voice note and Text 06 June: Ringing, dropped a text 04 June: Ringing, dropped a text She replied saying shared the details of Lower parel only with images and costing. 01 June: Ringing, Dropped a text and voice note 27 May: Ringing, Dropped a text 25 May: I have dropped a follow up text as she said she is travelling.  24 May: Spoke to Kinjal. They are exploring options in LP and Andheri both. She is traveling this week and will be back on June 4th and will visit both LP and Crescent. I have shared the details over whatsapp. The requirement is 20 seats and 2 cubicals.</v>
      </c>
      <c r="J40" s="1"/>
      <c r="K40" s="1"/>
      <c r="L40" s="1"/>
      <c r="M40" s="1"/>
      <c r="N40" s="1"/>
      <c r="O40" s="1"/>
      <c r="P40" s="1"/>
      <c r="Q40" s="1"/>
      <c r="R40" s="1"/>
      <c r="S40" s="1"/>
      <c r="T40" s="1"/>
      <c r="U40" s="1"/>
      <c r="V40" s="1"/>
      <c r="W40" s="1"/>
      <c r="X40" s="1"/>
      <c r="Y40" s="1"/>
      <c r="Z40" s="1"/>
    </row>
    <row r="41">
      <c r="A41" s="1"/>
      <c r="B41" s="26">
        <f>IFERROR(__xludf.DUMMYFUNCTION("""COMPUTED_VALUE"""),46165.0)</f>
        <v>46165</v>
      </c>
      <c r="C41" s="25" t="str">
        <f>IFERROR(__xludf.DUMMYFUNCTION("""COMPUTED_VALUE"""),"Sunil Ghadge")</f>
        <v>Sunil Ghadge</v>
      </c>
      <c r="D41" s="25" t="str">
        <f>IFERROR(__xludf.DUMMYFUNCTION("""COMPUTED_VALUE"""),"First Base Solutions Pvt. Ltd")</f>
        <v>First Base Solutions Pvt. Ltd</v>
      </c>
      <c r="E41" s="25" t="str">
        <f>IFERROR(__xludf.DUMMYFUNCTION("""COMPUTED_VALUE"""),"Lower parel")</f>
        <v>Lower parel</v>
      </c>
      <c r="F41" s="25" t="str">
        <f>IFERROR(__xludf.DUMMYFUNCTION("""COMPUTED_VALUE"""),"Meta")</f>
        <v>Meta</v>
      </c>
      <c r="G41" s="25" t="str">
        <f>IFERROR(__xludf.DUMMYFUNCTION("""COMPUTED_VALUE"""),"Harshini")</f>
        <v>Harshini</v>
      </c>
      <c r="H41" s="26" t="str">
        <f>IFERROR(__xludf.DUMMYFUNCTION("""COMPUTED_VALUE"""),"Warm")</f>
        <v>Warm</v>
      </c>
      <c r="I41" s="25" t="str">
        <f>IFERROR(__xludf.DUMMYFUNCTION("""COMPUTED_VALUE"""),"28th May: Ringing. 27th May: He is in a meeting and will call me back tomorrow. 23 May: He is just exploring options and has not stated any requirement. Need to call him on monday to get a meeting.")</f>
        <v>28th May: Ringing. 27th May: He is in a meeting and will call me back tomorrow. 23 May: He is just exploring options and has not stated any requirement. Need to call him on monday to get a meeting.</v>
      </c>
      <c r="J41" s="1"/>
      <c r="K41" s="1"/>
      <c r="L41" s="1"/>
      <c r="M41" s="1"/>
      <c r="N41" s="1"/>
      <c r="O41" s="1"/>
      <c r="P41" s="1"/>
      <c r="Q41" s="1"/>
      <c r="R41" s="1"/>
      <c r="S41" s="1"/>
      <c r="T41" s="1"/>
      <c r="U41" s="1"/>
      <c r="V41" s="1"/>
      <c r="W41" s="1"/>
      <c r="X41" s="1"/>
      <c r="Y41" s="1"/>
      <c r="Z41" s="1"/>
    </row>
    <row r="42">
      <c r="A42" s="1"/>
      <c r="B42" s="26">
        <f>IFERROR(__xludf.DUMMYFUNCTION("""COMPUTED_VALUE"""),46165.0)</f>
        <v>46165</v>
      </c>
      <c r="C42" s="25" t="str">
        <f>IFERROR(__xludf.DUMMYFUNCTION("""COMPUTED_VALUE"""),"Roopashri Sinha")</f>
        <v>Roopashri Sinha</v>
      </c>
      <c r="D42" s="25" t="str">
        <f>IFERROR(__xludf.DUMMYFUNCTION("""COMPUTED_VALUE"""),"Unicorn Author Lab")</f>
        <v>Unicorn Author Lab</v>
      </c>
      <c r="E42" s="25" t="str">
        <f>IFERROR(__xludf.DUMMYFUNCTION("""COMPUTED_VALUE"""),"Lower parel")</f>
        <v>Lower parel</v>
      </c>
      <c r="F42" s="25" t="str">
        <f>IFERROR(__xludf.DUMMYFUNCTION("""COMPUTED_VALUE"""),"Meta")</f>
        <v>Meta</v>
      </c>
      <c r="G42" s="25" t="str">
        <f>IFERROR(__xludf.DUMMYFUNCTION("""COMPUTED_VALUE"""),"Shravani")</f>
        <v>Shravani</v>
      </c>
      <c r="H42" s="26" t="str">
        <f>IFERROR(__xludf.DUMMYFUNCTION("""COMPUTED_VALUE"""),"Hot")</f>
        <v>Hot</v>
      </c>
      <c r="I42" s="25" t="str">
        <f>IFERROR(__xludf.DUMMYFUNCTION("""COMPUTED_VALUE"""),"28th May: 1 seater. 25th Ringing. 23rd May: Ringing.")</f>
        <v>28th May: 1 seater. 25th Ringing. 23rd May: Ringing.</v>
      </c>
      <c r="J42" s="1"/>
      <c r="K42" s="1"/>
      <c r="L42" s="1"/>
      <c r="M42" s="1"/>
      <c r="N42" s="1"/>
      <c r="O42" s="1"/>
      <c r="P42" s="1"/>
      <c r="Q42" s="1"/>
      <c r="R42" s="1"/>
      <c r="S42" s="1"/>
      <c r="T42" s="1"/>
      <c r="U42" s="1"/>
      <c r="V42" s="1"/>
      <c r="W42" s="1"/>
      <c r="X42" s="1"/>
      <c r="Y42" s="1"/>
      <c r="Z42" s="1"/>
    </row>
    <row r="43">
      <c r="A43" s="1"/>
      <c r="B43" s="27">
        <f>IFERROR(__xludf.DUMMYFUNCTION("""COMPUTED_VALUE"""),46163.0)</f>
        <v>46163</v>
      </c>
      <c r="C43" s="28" t="str">
        <f>IFERROR(__xludf.DUMMYFUNCTION("""COMPUTED_VALUE"""),"Arijit  Mondal ")</f>
        <v>Arijit  Mondal </v>
      </c>
      <c r="D43" s="28" t="str">
        <f>IFERROR(__xludf.DUMMYFUNCTION("""COMPUTED_VALUE"""),"Mindshaft Media Pvt Ltd")</f>
        <v>Mindshaft Media Pvt Ltd</v>
      </c>
      <c r="E43" s="28" t="str">
        <f>IFERROR(__xludf.DUMMYFUNCTION("""COMPUTED_VALUE"""),"Andheri ")</f>
        <v>Andheri </v>
      </c>
      <c r="F43" s="28" t="str">
        <f>IFERROR(__xludf.DUMMYFUNCTION("""COMPUTED_VALUE"""),"Meta")</f>
        <v>Meta</v>
      </c>
      <c r="G43" s="28" t="str">
        <f>IFERROR(__xludf.DUMMYFUNCTION("""COMPUTED_VALUE"""),"Shubham ")</f>
        <v>Shubham </v>
      </c>
      <c r="H43" s="28" t="str">
        <f>IFERROR(__xludf.DUMMYFUNCTION("""COMPUTED_VALUE"""),"Warm")</f>
        <v>Warm</v>
      </c>
      <c r="I43" s="28" t="str">
        <f>IFERROR(__xludf.DUMMYFUNCTION("""COMPUTED_VALUE"""),"09 June: Ringing, Dropped a text 06 June: Ringing, dropped a text 04 June: Called twice Ringing, Dropped a text 02 June: He is busy with workload and couldn't step out, he said he will try to visit in next two days 28 May: Spoke, he said unfortunetly coun"&amp;"d't visit because of work and will let me know next when he will visit 25 May: Spoke, he said he will Sakinaka on Wednesday 21 May: They are currently based in Goregaon and they want a space near Goregaon and Andheri. I have pitched Crescent solitaire and"&amp;" shared images over WhatsApp")</f>
        <v>09 June: Ringing, Dropped a text 06 June: Ringing, dropped a text 04 June: Called twice Ringing, Dropped a text 02 June: He is busy with workload and couldn't step out, he said he will try to visit in next two days 28 May: Spoke, he said unfortunetly cound't visit because of work and will let me know next when he will visit 25 May: Spoke, he said he will Sakinaka on Wednesday 21 May: They are currently based in Goregaon and they want a space near Goregaon and Andheri. I have pitched Crescent solitaire and shared images over WhatsApp</v>
      </c>
      <c r="J43" s="1"/>
      <c r="K43" s="1"/>
      <c r="L43" s="1"/>
      <c r="M43" s="1"/>
      <c r="N43" s="1"/>
      <c r="O43" s="1"/>
      <c r="P43" s="1"/>
      <c r="Q43" s="1"/>
      <c r="R43" s="1"/>
      <c r="S43" s="1"/>
      <c r="T43" s="1"/>
      <c r="U43" s="1"/>
      <c r="V43" s="1"/>
      <c r="W43" s="1"/>
      <c r="X43" s="1"/>
      <c r="Y43" s="1"/>
      <c r="Z43" s="1"/>
    </row>
    <row r="44">
      <c r="A44" s="1"/>
      <c r="B44" s="27">
        <f>IFERROR(__xludf.DUMMYFUNCTION("""COMPUTED_VALUE"""),46162.0)</f>
        <v>46162</v>
      </c>
      <c r="C44" s="28" t="str">
        <f>IFERROR(__xludf.DUMMYFUNCTION("""COMPUTED_VALUE"""),"Siddharth Ahuja")</f>
        <v>Siddharth Ahuja</v>
      </c>
      <c r="D44" s="28" t="str">
        <f>IFERROR(__xludf.DUMMYFUNCTION("""COMPUTED_VALUE"""),"1520 Motion Pictures")</f>
        <v>1520 Motion Pictures</v>
      </c>
      <c r="E44" s="28" t="str">
        <f>IFERROR(__xludf.DUMMYFUNCTION("""COMPUTED_VALUE"""),"Lower parel")</f>
        <v>Lower parel</v>
      </c>
      <c r="F44" s="28" t="str">
        <f>IFERROR(__xludf.DUMMYFUNCTION("""COMPUTED_VALUE"""),"Meta")</f>
        <v>Meta</v>
      </c>
      <c r="G44" s="28" t="str">
        <f>IFERROR(__xludf.DUMMYFUNCTION("""COMPUTED_VALUE"""),"Shravani")</f>
        <v>Shravani</v>
      </c>
      <c r="H44" s="28" t="str">
        <f>IFERROR(__xludf.DUMMYFUNCTION("""COMPUTED_VALUE"""),"Warm")</f>
        <v>Warm</v>
      </c>
      <c r="I44" s="28" t="str">
        <f>IFERROR(__xludf.DUMMYFUNCTION("""COMPUTED_VALUE"""),"27th may: His Budget is 50K. 25 May: Shared with him the details of the space on mail as well. 23 May: He needs 6 Seater Cabin and has asked me to share the images of the space. He is currently travelling so he will try to visit in the 2nd week of June21 "&amp;"May: Ringing. 20 May: Ringing, dropped him a text.")</f>
        <v>27th may: His Budget is 50K. 25 May: Shared with him the details of the space on mail as well. 23 May: He needs 6 Seater Cabin and has asked me to share the images of the space. He is currently travelling so he will try to visit in the 2nd week of June21 May: Ringing. 20 May: Ringing, dropped him a text.</v>
      </c>
      <c r="J44" s="1"/>
      <c r="K44" s="1"/>
      <c r="L44" s="1"/>
      <c r="M44" s="1"/>
      <c r="N44" s="1"/>
      <c r="O44" s="1"/>
      <c r="P44" s="1"/>
      <c r="Q44" s="1"/>
      <c r="R44" s="1"/>
      <c r="S44" s="1"/>
      <c r="T44" s="1"/>
      <c r="U44" s="1"/>
      <c r="V44" s="1"/>
      <c r="W44" s="1"/>
      <c r="X44" s="1"/>
      <c r="Y44" s="1"/>
      <c r="Z44" s="1"/>
    </row>
    <row r="45">
      <c r="A45" s="1"/>
      <c r="B45" s="27">
        <f>IFERROR(__xludf.DUMMYFUNCTION("""COMPUTED_VALUE"""),46160.0)</f>
        <v>46160</v>
      </c>
      <c r="C45" s="28" t="str">
        <f>IFERROR(__xludf.DUMMYFUNCTION("""COMPUTED_VALUE"""),"Praveen Kumar Tripathi")</f>
        <v>Praveen Kumar Tripathi</v>
      </c>
      <c r="D45" s="28" t="str">
        <f>IFERROR(__xludf.DUMMYFUNCTION("""COMPUTED_VALUE"""),"Sagyana Private Limited")</f>
        <v>Sagyana Private Limited</v>
      </c>
      <c r="E45" s="28" t="str">
        <f>IFERROR(__xludf.DUMMYFUNCTION("""COMPUTED_VALUE"""),"Lower parel")</f>
        <v>Lower parel</v>
      </c>
      <c r="F45" s="28" t="str">
        <f>IFERROR(__xludf.DUMMYFUNCTION("""COMPUTED_VALUE"""),"Meta")</f>
        <v>Meta</v>
      </c>
      <c r="G45" s="28" t="str">
        <f>IFERROR(__xludf.DUMMYFUNCTION("""COMPUTED_VALUE"""),"Shravani")</f>
        <v>Shravani</v>
      </c>
      <c r="H45" s="28" t="str">
        <f>IFERROR(__xludf.DUMMYFUNCTION("""COMPUTED_VALUE"""),"Hot")</f>
        <v>Hot</v>
      </c>
      <c r="I45" s="28" t="str">
        <f>IFERROR(__xludf.DUMMYFUNCTION("""COMPUTED_VALUE""")," 28th May: Ringing. 27th May: Ringing. 25 May: Spoke to Pratik they have a requirement of 20 Seats + 1 Cabin + 1 Meeting Room. Shared with him the deatils of the sapce.  23 May: Ringing, dropped a text. 20 May: Dropped a text to Pratik. 19: He has asked m"&amp;"e to call Mr. Pratik from his team but pratik is not answering the call. 18 May: Ringing, dropped him a text.")</f>
        <v> 28th May: Ringing. 27th May: Ringing. 25 May: Spoke to Pratik they have a requirement of 20 Seats + 1 Cabin + 1 Meeting Room. Shared with him the deatils of the sapce.  23 May: Ringing, dropped a text. 20 May: Dropped a text to Pratik. 19: He has asked me to call Mr. Pratik from his team but pratik is not answering the call. 18 May: Ringing, dropped him a text.</v>
      </c>
      <c r="J45" s="1"/>
      <c r="K45" s="1"/>
      <c r="L45" s="1"/>
      <c r="M45" s="1"/>
      <c r="N45" s="1"/>
      <c r="O45" s="1"/>
      <c r="P45" s="1"/>
      <c r="Q45" s="1"/>
      <c r="R45" s="1"/>
      <c r="S45" s="1"/>
      <c r="T45" s="1"/>
      <c r="U45" s="1"/>
      <c r="V45" s="1"/>
      <c r="W45" s="1"/>
      <c r="X45" s="1"/>
      <c r="Y45" s="1"/>
      <c r="Z45" s="1"/>
    </row>
    <row r="46">
      <c r="A46" s="1"/>
      <c r="B46" s="27">
        <f>IFERROR(__xludf.DUMMYFUNCTION("""COMPUTED_VALUE"""),46159.0)</f>
        <v>46159</v>
      </c>
      <c r="C46" s="28" t="str">
        <f>IFERROR(__xludf.DUMMYFUNCTION("""COMPUTED_VALUE"""),"Parag Bhuptani")</f>
        <v>Parag Bhuptani</v>
      </c>
      <c r="D46" s="28" t="str">
        <f>IFERROR(__xludf.DUMMYFUNCTION("""COMPUTED_VALUE"""),"PPD")</f>
        <v>PPD</v>
      </c>
      <c r="E46" s="28" t="str">
        <f>IFERROR(__xludf.DUMMYFUNCTION("""COMPUTED_VALUE"""),"Lower parel")</f>
        <v>Lower parel</v>
      </c>
      <c r="F46" s="28" t="str">
        <f>IFERROR(__xludf.DUMMYFUNCTION("""COMPUTED_VALUE"""),"Meta")</f>
        <v>Meta</v>
      </c>
      <c r="G46" s="28" t="str">
        <f>IFERROR(__xludf.DUMMYFUNCTION("""COMPUTED_VALUE"""),"Shravani")</f>
        <v>Shravani</v>
      </c>
      <c r="H46" s="28" t="str">
        <f>IFERROR(__xludf.DUMMYFUNCTION("""COMPUTED_VALUE"""),"Warm")</f>
        <v>Warm</v>
      </c>
      <c r="I46" s="28" t="str">
        <f>IFERROR(__xludf.DUMMYFUNCTION("""COMPUTED_VALUE"""),"28th May : Call back in few days.27th May: Ringing. 25 May: Declined the call, dropped a text and mail. 23 May: Declined the call. 20 May: Dropped a mail. He has a requirement of 5 Seats. 19 May: Ringing. 18 May: Ringing, dropped him a text.")</f>
        <v>28th May : Call back in few days.27th May: Ringing. 25 May: Declined the call, dropped a text and mail. 23 May: Declined the call. 20 May: Dropped a mail. He has a requirement of 5 Seats. 19 May: Ringing. 18 May: Ringing, dropped him a text.</v>
      </c>
      <c r="J46" s="1"/>
      <c r="K46" s="1"/>
      <c r="L46" s="1"/>
      <c r="M46" s="1"/>
      <c r="N46" s="1"/>
      <c r="O46" s="1"/>
      <c r="P46" s="1"/>
      <c r="Q46" s="1"/>
      <c r="R46" s="1"/>
      <c r="S46" s="1"/>
      <c r="T46" s="1"/>
      <c r="U46" s="1"/>
      <c r="V46" s="1"/>
      <c r="W46" s="1"/>
      <c r="X46" s="1"/>
      <c r="Y46" s="1"/>
      <c r="Z46" s="1"/>
    </row>
    <row r="47">
      <c r="A47" s="1"/>
      <c r="B47" s="27">
        <f>IFERROR(__xludf.DUMMYFUNCTION("""COMPUTED_VALUE"""),46159.0)</f>
        <v>46159</v>
      </c>
      <c r="C47" s="28" t="str">
        <f>IFERROR(__xludf.DUMMYFUNCTION("""COMPUTED_VALUE"""),"Manish Shukla")</f>
        <v>Manish Shukla</v>
      </c>
      <c r="D47" s="28" t="str">
        <f>IFERROR(__xludf.DUMMYFUNCTION("""COMPUTED_VALUE"""),"Premade Innovations Private Limited")</f>
        <v>Premade Innovations Private Limited</v>
      </c>
      <c r="E47" s="28" t="str">
        <f>IFERROR(__xludf.DUMMYFUNCTION("""COMPUTED_VALUE"""),"Lower parel")</f>
        <v>Lower parel</v>
      </c>
      <c r="F47" s="28" t="str">
        <f>IFERROR(__xludf.DUMMYFUNCTION("""COMPUTED_VALUE"""),"Meta")</f>
        <v>Meta</v>
      </c>
      <c r="G47" s="28" t="str">
        <f>IFERROR(__xludf.DUMMYFUNCTION("""COMPUTED_VALUE"""),"Shravani")</f>
        <v>Shravani</v>
      </c>
      <c r="H47" s="28" t="str">
        <f>IFERROR(__xludf.DUMMYFUNCTION("""COMPUTED_VALUE"""),"Warm")</f>
        <v>Warm</v>
      </c>
      <c r="I47" s="28" t="str">
        <f>IFERROR(__xludf.DUMMYFUNCTION("""COMPUTED_VALUE"""),"28th May: Already took an conventional office in ghatkopar. 27th May: Ringing. 25 May: Ringing, dropped a mail. 23 May: Ringing, dropped a text. 20 May: Ringing, dropped a mail. 18 May: Ringing, dropped him a text.")</f>
        <v>28th May: Already took an conventional office in ghatkopar. 27th May: Ringing. 25 May: Ringing, dropped a mail. 23 May: Ringing, dropped a text. 20 May: Ringing, dropped a mail. 18 May: Ringing, dropped him a text.</v>
      </c>
      <c r="J47" s="1"/>
      <c r="K47" s="1"/>
      <c r="L47" s="1"/>
      <c r="M47" s="1"/>
      <c r="N47" s="1"/>
      <c r="O47" s="1"/>
      <c r="P47" s="1"/>
      <c r="Q47" s="1"/>
      <c r="R47" s="1"/>
      <c r="S47" s="1"/>
      <c r="T47" s="1"/>
      <c r="U47" s="1"/>
      <c r="V47" s="1"/>
      <c r="W47" s="1"/>
      <c r="X47" s="1"/>
      <c r="Y47" s="1"/>
      <c r="Z47" s="1"/>
    </row>
    <row r="48">
      <c r="A48" s="1"/>
      <c r="B48" s="27">
        <f>IFERROR(__xludf.DUMMYFUNCTION("""COMPUTED_VALUE"""),46155.0)</f>
        <v>46155</v>
      </c>
      <c r="C48" s="28" t="str">
        <f>IFERROR(__xludf.DUMMYFUNCTION("""COMPUTED_VALUE"""),"Bhaskar Basam")</f>
        <v>Bhaskar Basam</v>
      </c>
      <c r="D48" s="28" t="str">
        <f>IFERROR(__xludf.DUMMYFUNCTION("""COMPUTED_VALUE"""),"Mahindra Group")</f>
        <v>Mahindra Group</v>
      </c>
      <c r="E48" s="28" t="str">
        <f>IFERROR(__xludf.DUMMYFUNCTION("""COMPUTED_VALUE"""),"Lower parel")</f>
        <v>Lower parel</v>
      </c>
      <c r="F48" s="28" t="str">
        <f>IFERROR(__xludf.DUMMYFUNCTION("""COMPUTED_VALUE"""),"Meta")</f>
        <v>Meta</v>
      </c>
      <c r="G48" s="28" t="str">
        <f>IFERROR(__xludf.DUMMYFUNCTION("""COMPUTED_VALUE"""),"Shravani")</f>
        <v>Shravani</v>
      </c>
      <c r="H48" s="28" t="str">
        <f>IFERROR(__xludf.DUMMYFUNCTION("""COMPUTED_VALUE"""),"Warm")</f>
        <v>Warm</v>
      </c>
      <c r="I48" s="28" t="str">
        <f>IFERROR(__xludf.DUMMYFUNCTION("""COMPUTED_VALUE"""),"25 May: Replied to the mail asking for the details and pricing so i have share with him the same. 23 May: Ringing, Dropped a voice note and text. 16 May: Dropped a mail. 15 May: Ringing, Dropped a tex. 14 May: Ringing, Dropped a mail and text. 13 May: Rin"&amp;"ging, Dropped a Voice Note")</f>
        <v>25 May: Replied to the mail asking for the details and pricing so i have share with him the same. 23 May: Ringing, Dropped a voice note and text. 16 May: Dropped a mail. 15 May: Ringing, Dropped a tex. 14 May: Ringing, Dropped a mail and text. 13 May: Ringing, Dropped a Voice Note</v>
      </c>
      <c r="J48" s="1"/>
      <c r="K48" s="1"/>
      <c r="L48" s="1"/>
      <c r="M48" s="1"/>
      <c r="N48" s="1"/>
      <c r="O48" s="1"/>
      <c r="P48" s="1"/>
      <c r="Q48" s="1"/>
      <c r="R48" s="1"/>
      <c r="S48" s="1"/>
      <c r="T48" s="1"/>
      <c r="U48" s="1"/>
      <c r="V48" s="1"/>
      <c r="W48" s="1"/>
      <c r="X48" s="1"/>
      <c r="Y48" s="1"/>
      <c r="Z48" s="1"/>
    </row>
    <row r="49">
      <c r="A49" s="1"/>
      <c r="B49" s="27">
        <f>IFERROR(__xludf.DUMMYFUNCTION("""COMPUTED_VALUE"""),46154.0)</f>
        <v>46154</v>
      </c>
      <c r="C49" s="28" t="str">
        <f>IFERROR(__xludf.DUMMYFUNCTION("""COMPUTED_VALUE"""),"Rahul Rodrigues")</f>
        <v>Rahul Rodrigues</v>
      </c>
      <c r="D49" s="28" t="str">
        <f>IFERROR(__xludf.DUMMYFUNCTION("""COMPUTED_VALUE"""),"EduBridge Learning Pvt. Ltd")</f>
        <v>EduBridge Learning Pvt. Ltd</v>
      </c>
      <c r="E49" s="28" t="str">
        <f>IFERROR(__xludf.DUMMYFUNCTION("""COMPUTED_VALUE"""),"Lower parel")</f>
        <v>Lower parel</v>
      </c>
      <c r="F49" s="28" t="str">
        <f>IFERROR(__xludf.DUMMYFUNCTION("""COMPUTED_VALUE"""),"Meta")</f>
        <v>Meta</v>
      </c>
      <c r="G49" s="28" t="str">
        <f>IFERROR(__xludf.DUMMYFUNCTION("""COMPUTED_VALUE"""),"Shravani")</f>
        <v>Shravani</v>
      </c>
      <c r="H49" s="28" t="str">
        <f>IFERROR(__xludf.DUMMYFUNCTION("""COMPUTED_VALUE"""),"Warm")</f>
        <v>Warm</v>
      </c>
      <c r="I49" s="28" t="str">
        <f>IFERROR(__xludf.DUMMYFUNCTION("""COMPUTED_VALUE"""),"12 May: He is looking for a space in Andheri. Shubham is already in touch with him, and his budget is around ₹3,000–₹4,000 per seat.")</f>
        <v>12 May: He is looking for a space in Andheri. Shubham is already in touch with him, and his budget is around ₹3,000–₹4,000 per seat.</v>
      </c>
      <c r="J49" s="1"/>
      <c r="K49" s="1"/>
      <c r="L49" s="1"/>
      <c r="M49" s="1"/>
      <c r="N49" s="1"/>
      <c r="O49" s="1"/>
      <c r="P49" s="1"/>
      <c r="Q49" s="1"/>
      <c r="R49" s="1"/>
      <c r="S49" s="1"/>
      <c r="T49" s="1"/>
      <c r="U49" s="1"/>
      <c r="V49" s="1"/>
      <c r="W49" s="1"/>
      <c r="X49" s="1"/>
      <c r="Y49" s="1"/>
      <c r="Z49" s="1"/>
    </row>
    <row r="50">
      <c r="A50" s="1"/>
      <c r="B50" s="27">
        <f>IFERROR(__xludf.DUMMYFUNCTION("""COMPUTED_VALUE"""),46153.0)</f>
        <v>46153</v>
      </c>
      <c r="C50" s="28" t="str">
        <f>IFERROR(__xludf.DUMMYFUNCTION("""COMPUTED_VALUE"""),"Nitin Suvarnapathaki")</f>
        <v>Nitin Suvarnapathaki</v>
      </c>
      <c r="D50" s="28" t="str">
        <f>IFERROR(__xludf.DUMMYFUNCTION("""COMPUTED_VALUE"""),"MDHnano Green Lifespaces Pvt Ltd")</f>
        <v>MDHnano Green Lifespaces Pvt Ltd</v>
      </c>
      <c r="E50" s="28" t="str">
        <f>IFERROR(__xludf.DUMMYFUNCTION("""COMPUTED_VALUE"""),"Lower parel")</f>
        <v>Lower parel</v>
      </c>
      <c r="F50" s="28" t="str">
        <f>IFERROR(__xludf.DUMMYFUNCTION("""COMPUTED_VALUE"""),"Meta")</f>
        <v>Meta</v>
      </c>
      <c r="G50" s="28" t="str">
        <f>IFERROR(__xludf.DUMMYFUNCTION("""COMPUTED_VALUE"""),"Shravani")</f>
        <v>Shravani</v>
      </c>
      <c r="H50" s="28" t="str">
        <f>IFERROR(__xludf.DUMMYFUNCTION("""COMPUTED_VALUE"""),"Warm")</f>
        <v>Warm</v>
      </c>
      <c r="I50" s="28" t="str">
        <f>IFERROR(__xludf.DUMMYFUNCTION("""COMPUTED_VALUE"""),"27th May: He needs a 6 Seater meeting room on hourly basis. 25 May: Ringing, dropped a text. 23 May: OS. 16 May: Dropped a mail. 15 May: Busy on Call. 12 May: He has asked me to call him after 3 PM today.")</f>
        <v>27th May: He needs a 6 Seater meeting room on hourly basis. 25 May: Ringing, dropped a text. 23 May: OS. 16 May: Dropped a mail. 15 May: Busy on Call. 12 May: He has asked me to call him after 3 PM today.</v>
      </c>
      <c r="J50" s="1"/>
      <c r="K50" s="1"/>
      <c r="L50" s="1"/>
      <c r="M50" s="1"/>
      <c r="N50" s="1"/>
      <c r="O50" s="1"/>
      <c r="P50" s="1"/>
      <c r="Q50" s="1"/>
      <c r="R50" s="1"/>
      <c r="S50" s="1"/>
      <c r="T50" s="1"/>
      <c r="U50" s="1"/>
      <c r="V50" s="1"/>
      <c r="W50" s="1"/>
      <c r="X50" s="1"/>
      <c r="Y50" s="1"/>
      <c r="Z50" s="1"/>
    </row>
    <row r="51">
      <c r="A51" s="1"/>
      <c r="B51" s="27">
        <f>IFERROR(__xludf.DUMMYFUNCTION("""COMPUTED_VALUE"""),46141.0)</f>
        <v>46141</v>
      </c>
      <c r="C51" s="28" t="str">
        <f>IFERROR(__xludf.DUMMYFUNCTION("""COMPUTED_VALUE"""),"Amit  Gupta")</f>
        <v>Amit  Gupta</v>
      </c>
      <c r="D51" s="28" t="str">
        <f>IFERROR(__xludf.DUMMYFUNCTION("""COMPUTED_VALUE"""),"ICAPITAL Academy and Corporate Advisory LLP")</f>
        <v>ICAPITAL Academy and Corporate Advisory LLP</v>
      </c>
      <c r="E51" s="28" t="str">
        <f>IFERROR(__xludf.DUMMYFUNCTION("""COMPUTED_VALUE"""),"Lower Parel")</f>
        <v>Lower Parel</v>
      </c>
      <c r="F51" s="28" t="str">
        <f>IFERROR(__xludf.DUMMYFUNCTION("""COMPUTED_VALUE"""),"LinkedIn")</f>
        <v>LinkedIn</v>
      </c>
      <c r="G51" s="28" t="str">
        <f>IFERROR(__xludf.DUMMYFUNCTION("""COMPUTED_VALUE"""),"Shravni")</f>
        <v>Shravni</v>
      </c>
      <c r="H51" s="28" t="str">
        <f>IFERROR(__xludf.DUMMYFUNCTION("""COMPUTED_VALUE"""),"Warm")</f>
        <v>Warm</v>
      </c>
      <c r="I51" s="28" t="str">
        <f>IFERROR(__xludf.DUMMYFUNCTION("""COMPUTED_VALUE"""),"28th May : He will get back on 8th june. 23 May: Call on Monday. 16 May: He is currently out of station and will get back to me once he is back.  13 May: Dropped a text. 11 May: Ringing. 8 May: Declined the call. 6 May: Dropped a text asking for his visit"&amp;" plans for this week. 5 May: Ringing, dropped a text.                                                                                  2 May: Ringing, Dropped a text. 29 April: Amit needs 3 to 4 open workstations. Need to share images and details on Whats"&amp;"App
")</f>
        <v>28th May : He will get back on 8th june. 23 May: Call on Monday. 16 May: He is currently out of station and will get back to me once he is back.  13 May: Dropped a text. 11 May: Ringing. 8 May: Declined the call. 6 May: Dropped a text asking for his visit plans for this week. 5 May: Ringing, dropped a text.                                                                                  2 May: Ringing, Dropped a text. 29 April: Amit needs 3 to 4 open workstations. Need to share images and details on WhatsApp
</v>
      </c>
      <c r="J51" s="1"/>
      <c r="K51" s="1"/>
      <c r="L51" s="1"/>
      <c r="M51" s="1"/>
      <c r="N51" s="1"/>
      <c r="O51" s="1"/>
      <c r="P51" s="1"/>
      <c r="Q51" s="1"/>
      <c r="R51" s="1"/>
      <c r="S51" s="1"/>
      <c r="T51" s="1"/>
      <c r="U51" s="1"/>
      <c r="V51" s="1"/>
      <c r="W51" s="1"/>
      <c r="X51" s="1"/>
      <c r="Y51" s="1"/>
      <c r="Z51" s="1"/>
    </row>
    <row r="52">
      <c r="A52" s="1"/>
      <c r="B52" s="27">
        <f>IFERROR(__xludf.DUMMYFUNCTION("""COMPUTED_VALUE"""),46139.0)</f>
        <v>46139</v>
      </c>
      <c r="C52" s="28" t="str">
        <f>IFERROR(__xludf.DUMMYFUNCTION("""COMPUTED_VALUE"""),"Pradeep  Parab")</f>
        <v>Pradeep  Parab</v>
      </c>
      <c r="D52" s="28" t="str">
        <f>IFERROR(__xludf.DUMMYFUNCTION("""COMPUTED_VALUE"""),"Imageo Media LLP")</f>
        <v>Imageo Media LLP</v>
      </c>
      <c r="E52" s="28" t="str">
        <f>IFERROR(__xludf.DUMMYFUNCTION("""COMPUTED_VALUE"""),"Lower Parel")</f>
        <v>Lower Parel</v>
      </c>
      <c r="F52" s="28" t="str">
        <f>IFERROR(__xludf.DUMMYFUNCTION("""COMPUTED_VALUE"""),"LinkedIn")</f>
        <v>LinkedIn</v>
      </c>
      <c r="G52" s="28" t="str">
        <f>IFERROR(__xludf.DUMMYFUNCTION("""COMPUTED_VALUE"""),"Shravni")</f>
        <v>Shravni</v>
      </c>
      <c r="H52" s="28" t="str">
        <f>IFERROR(__xludf.DUMMYFUNCTION("""COMPUTED_VALUE"""),"Warm")</f>
        <v>Warm</v>
      </c>
      <c r="I52" s="28" t="str">
        <f>IFERROR(__xludf.DUMMYFUNCTION("""COMPUTED_VALUE"""),"23 May: He is travelling and has asked to call post 15 days. 16 May: Ringing, dropped a text. 13 May: Declined the call. 11 May: Busy on call. 8 May: He need some time to discuss with his team. 6 May: Ringing, dropped a text. 5 May: Ringing, dropped a tex"&amp;"t. 4 May: Ringing, Dropped a text. 2 May: Followup msg regarding his visit on Tuesday and Wednesday. 30 April: he will try to visit on Tuesday or Wednesday. 28 April: Spoke to Pradeep regarding his requirement for a 3-seater cabin. Shared images of the sp"&amp;"ace with him; he will review and get back.")</f>
        <v>23 May: He is travelling and has asked to call post 15 days. 16 May: Ringing, dropped a text. 13 May: Declined the call. 11 May: Busy on call. 8 May: He need some time to discuss with his team. 6 May: Ringing, dropped a text. 5 May: Ringing, dropped a text. 4 May: Ringing, Dropped a text. 2 May: Followup msg regarding his visit on Tuesday and Wednesday. 30 April: he will try to visit on Tuesday or Wednesday. 28 April: Spoke to Pradeep regarding his requirement for a 3-seater cabin. Shared images of the space with him; he will review and get back.</v>
      </c>
      <c r="J52" s="1"/>
      <c r="K52" s="1"/>
      <c r="L52" s="1"/>
      <c r="M52" s="1"/>
      <c r="N52" s="1"/>
      <c r="O52" s="1"/>
      <c r="P52" s="1"/>
      <c r="Q52" s="1"/>
      <c r="R52" s="1"/>
      <c r="S52" s="1"/>
      <c r="T52" s="1"/>
      <c r="U52" s="1"/>
      <c r="V52" s="1"/>
      <c r="W52" s="1"/>
      <c r="X52" s="1"/>
      <c r="Y52" s="1"/>
      <c r="Z52" s="1"/>
    </row>
    <row r="53">
      <c r="A53" s="1"/>
      <c r="B53" s="27">
        <f>IFERROR(__xludf.DUMMYFUNCTION("""COMPUTED_VALUE"""),46138.0)</f>
        <v>46138</v>
      </c>
      <c r="C53" s="28" t="str">
        <f>IFERROR(__xludf.DUMMYFUNCTION("""COMPUTED_VALUE"""),"Chetan Todi")</f>
        <v>Chetan Todi</v>
      </c>
      <c r="D53" s="28" t="str">
        <f>IFERROR(__xludf.DUMMYFUNCTION("""COMPUTED_VALUE"""),"Goenka INC")</f>
        <v>Goenka INC</v>
      </c>
      <c r="E53" s="28" t="str">
        <f>IFERROR(__xludf.DUMMYFUNCTION("""COMPUTED_VALUE"""),"Lower parel")</f>
        <v>Lower parel</v>
      </c>
      <c r="F53" s="28" t="str">
        <f>IFERROR(__xludf.DUMMYFUNCTION("""COMPUTED_VALUE"""),"Meta")</f>
        <v>Meta</v>
      </c>
      <c r="G53" s="28" t="str">
        <f>IFERROR(__xludf.DUMMYFUNCTION("""COMPUTED_VALUE"""),"Shravani")</f>
        <v>Shravani</v>
      </c>
      <c r="H53" s="28" t="str">
        <f>IFERROR(__xludf.DUMMYFUNCTION("""COMPUTED_VALUE"""),"Hot")</f>
        <v>Hot</v>
      </c>
      <c r="I53" s="28" t="str">
        <f>IFERROR(__xludf.DUMMYFUNCTION("""COMPUTED_VALUE"""),"22 May: We have made some changes in the layout shared the revised the commercials. 18 May: He has a budget of 2 lacs. 15 May: Shared a 2D Layout and Commercials. 13 May: Visit is done. 5 May: He will visit today at 5pm.                                   "&amp;"                                                                                                                              2 May: Declined the call. 30 April: Dropped him a text. 28 April: Ringing, Dropped a text. 27 April: 4 Seater Cabin + 3 Seater Ca"&amp;"bin + 2 Single seater cabin.")</f>
        <v>22 May: We have made some changes in the layout shared the revised the commercials. 18 May: He has a budget of 2 lacs. 15 May: Shared a 2D Layout and Commercials. 13 May: Visit is done. 5 May: He will visit today at 5pm.                                                                                                                                                                 2 May: Declined the call. 30 April: Dropped him a text. 28 April: Ringing, Dropped a text. 27 April: 4 Seater Cabin + 3 Seater Cabin + 2 Single seater cabin.</v>
      </c>
      <c r="J53" s="1"/>
      <c r="K53" s="1"/>
      <c r="L53" s="1"/>
      <c r="M53" s="1"/>
      <c r="N53" s="1"/>
      <c r="O53" s="1"/>
      <c r="P53" s="1"/>
      <c r="Q53" s="1"/>
      <c r="R53" s="1"/>
      <c r="S53" s="1"/>
      <c r="T53" s="1"/>
      <c r="U53" s="1"/>
      <c r="V53" s="1"/>
      <c r="W53" s="1"/>
      <c r="X53" s="1"/>
      <c r="Y53" s="1"/>
      <c r="Z53" s="1"/>
    </row>
    <row r="54">
      <c r="A54" s="1"/>
      <c r="B54" s="27">
        <f>IFERROR(__xludf.DUMMYFUNCTION("""COMPUTED_VALUE"""),46135.0)</f>
        <v>46135</v>
      </c>
      <c r="C54" s="28" t="str">
        <f>IFERROR(__xludf.DUMMYFUNCTION("""COMPUTED_VALUE"""),"Samit Jham")</f>
        <v>Samit Jham</v>
      </c>
      <c r="D54" s="28" t="str">
        <f>IFERROR(__xludf.DUMMYFUNCTION("""COMPUTED_VALUE"""),"VRS")</f>
        <v>VRS</v>
      </c>
      <c r="E54" s="28" t="str">
        <f>IFERROR(__xludf.DUMMYFUNCTION("""COMPUTED_VALUE"""),"Lower parel")</f>
        <v>Lower parel</v>
      </c>
      <c r="F54" s="28" t="str">
        <f>IFERROR(__xludf.DUMMYFUNCTION("""COMPUTED_VALUE"""),"Meta")</f>
        <v>Meta</v>
      </c>
      <c r="G54" s="28" t="str">
        <f>IFERROR(__xludf.DUMMYFUNCTION("""COMPUTED_VALUE"""),"Shravani")</f>
        <v>Shravani</v>
      </c>
      <c r="H54" s="28" t="str">
        <f>IFERROR(__xludf.DUMMYFUNCTION("""COMPUTED_VALUE"""),"Warm")</f>
        <v>Warm</v>
      </c>
      <c r="I54" s="28" t="str">
        <f>IFERROR(__xludf.DUMMYFUNCTION("""COMPUTED_VALUE"""),"28th May: He will call me when he is interested for a visit. 27th May: Ringing, Dropped a text. 25 May: Rining. 23 May: Dropped a text. 18 May: He has a requirement of 4 Seater cabin and will to visit soon. 16 May: Dropped a text. 13 May: Dropped a text a"&amp;"sking for a visit. 5 May: Dropped him a text. 2nd May: He have asked me to share details on whatsapp. 30 April: Ringing, Dropped a text. 28 April: Ringing. 27 April: Ringing, Dropped a text. 24 April: Ringing, Dropped a text. 23 April: Ringing, Dropped a "&amp;"text.")</f>
        <v>28th May: He will call me when he is interested for a visit. 27th May: Ringing, Dropped a text. 25 May: Rining. 23 May: Dropped a text. 18 May: He has a requirement of 4 Seater cabin and will to visit soon. 16 May: Dropped a text. 13 May: Dropped a text asking for a visit. 5 May: Dropped him a text. 2nd May: He have asked me to share details on whatsapp. 30 April: Ringing, Dropped a text. 28 April: Ringing. 27 April: Ringing, Dropped a text. 24 April: Ringing, Dropped a text. 23 April: Ringing, Dropped a text.</v>
      </c>
      <c r="J54" s="1"/>
      <c r="K54" s="1"/>
      <c r="L54" s="1"/>
      <c r="M54" s="1"/>
      <c r="N54" s="1"/>
      <c r="O54" s="1"/>
      <c r="P54" s="1"/>
      <c r="Q54" s="1"/>
      <c r="R54" s="1"/>
      <c r="S54" s="1"/>
      <c r="T54" s="1"/>
      <c r="U54" s="1"/>
      <c r="V54" s="1"/>
      <c r="W54" s="1"/>
      <c r="X54" s="1"/>
      <c r="Y54" s="1"/>
      <c r="Z54" s="1"/>
    </row>
    <row r="55">
      <c r="A55" s="1"/>
      <c r="B55" s="27">
        <f>IFERROR(__xludf.DUMMYFUNCTION("""COMPUTED_VALUE"""),46131.0)</f>
        <v>46131</v>
      </c>
      <c r="C55" s="28" t="str">
        <f>IFERROR(__xludf.DUMMYFUNCTION("""COMPUTED_VALUE"""),"Perbjyot  Singh")</f>
        <v>Perbjyot  Singh</v>
      </c>
      <c r="D55" s="28" t="str">
        <f>IFERROR(__xludf.DUMMYFUNCTION("""COMPUTED_VALUE"""),"INNOVATIVE FIBER SOLUTION PVT LTD")</f>
        <v>INNOVATIVE FIBER SOLUTION PVT LTD</v>
      </c>
      <c r="E55" s="28" t="str">
        <f>IFERROR(__xludf.DUMMYFUNCTION("""COMPUTED_VALUE"""),"Andheri ")</f>
        <v>Andheri </v>
      </c>
      <c r="F55" s="28" t="str">
        <f>IFERROR(__xludf.DUMMYFUNCTION("""COMPUTED_VALUE"""),"LinkedIn")</f>
        <v>LinkedIn</v>
      </c>
      <c r="G55" s="28" t="str">
        <f>IFERROR(__xludf.DUMMYFUNCTION("""COMPUTED_VALUE"""),"Shubham ")</f>
        <v>Shubham </v>
      </c>
      <c r="H55" s="28" t="str">
        <f>IFERROR(__xludf.DUMMYFUNCTION("""COMPUTED_VALUE"""),"Hot")</f>
        <v>Hot</v>
      </c>
      <c r="I55" s="28" t="str">
        <f>IFERROR(__xludf.DUMMYFUNCTION("""COMPUTED_VALUE"""),"23 May: Spoke for a follow up he said he cannot go beyond 5 lakhs. Discussed this with the team we cannot go with this budget 22 May: Ringing, dropped a text 12 May: Disconnected the call, dropped a text 11 May: Ringing, Droppe a text 07 May: Disconnected"&amp;" my call, Dropped a text 05 May: Tried Calling he didn't Answer, I have dropped a Msg over whatsapp 04 May: Spoke. He said He will share his counter over mail 02 May: He replied saying this cannot work because this is way beyond his budget, I Have asked f"&amp;"or counter offer 30 April: Layout and Commecial Deck sent 29 April: Spoke he said he needs 50 seats not 45 revise the layout and share commercials 28 April: Ringing, Dropped a text 27 April: Shared the Layout, he said he will check and revert 25 Apirl: Si"&amp;"te Visit done, Showed Landmark and CNB Square. Next steps actioned layout and share costing 24 April: Took a Follow up, he said will do the site visit tomorrow at 11am, I have captured the same in email and waiting for his confimation on the same 22 April"&amp;": Spoke to him he said I am caught up for the entire day, call tomorrow 21 April: Shared. The first cut Inventory options over mail, Spoke to him he has shortlisted option of WEH And Chakala for inspection 19 April : Spoke. He is looking for a 50-seater o"&amp;"ffice space with 2–3 cabins and 1 conference room. Preferred micro-markets are Western Express Highway to Airport Road / Marol. I have requested a meeting with him, however, he has asked us to share suitable options first, post which he will be open to me"&amp;"eting. Current office location is Goregaon.The move-in timeline is currently not specific")</f>
        <v>23 May: Spoke for a follow up he said he cannot go beyond 5 lakhs. Discussed this with the team we cannot go with this budget 22 May: Ringing, dropped a text 12 May: Disconnected the call, dropped a text 11 May: Ringing, Droppe a text 07 May: Disconnected my call, Dropped a text 05 May: Tried Calling he didn't Answer, I have dropped a Msg over whatsapp 04 May: Spoke. He said He will share his counter over mail 02 May: He replied saying this cannot work because this is way beyond his budget, I Have asked for counter offer 30 April: Layout and Commecial Deck sent 29 April: Spoke he said he needs 50 seats not 45 revise the layout and share commercials 28 April: Ringing, Dropped a text 27 April: Shared the Layout, he said he will check and revert 25 Apirl: Site Visit done, Showed Landmark and CNB Square. Next steps actioned layout and share costing 24 April: Took a Follow up, he said will do the site visit tomorrow at 11am, I have captured the same in email and waiting for his confimation on the same 22 April: Spoke to him he said I am caught up for the entire day, call tomorrow 21 April: Shared. The first cut Inventory options over mail, Spoke to him he has shortlisted option of WEH And Chakala for inspection 19 April : Spoke. He is looking for a 50-seater office space with 2–3 cabins and 1 conference room. Preferred micro-markets are Western Express Highway to Airport Road / Marol. I have requested a meeting with him, however, he has asked us to share suitable options first, post which he will be open to meeting. Current office location is Goregaon.The move-in timeline is currently not specific</v>
      </c>
      <c r="J55" s="1"/>
      <c r="K55" s="1"/>
      <c r="L55" s="1"/>
      <c r="M55" s="1"/>
      <c r="N55" s="1"/>
      <c r="O55" s="1"/>
      <c r="P55" s="1"/>
      <c r="Q55" s="1"/>
      <c r="R55" s="1"/>
      <c r="S55" s="1"/>
      <c r="T55" s="1"/>
      <c r="U55" s="1"/>
      <c r="V55" s="1"/>
      <c r="W55" s="1"/>
      <c r="X55" s="1"/>
      <c r="Y55" s="1"/>
      <c r="Z55" s="1"/>
    </row>
    <row r="56">
      <c r="A56" s="1"/>
      <c r="B56" s="27">
        <f>IFERROR(__xludf.DUMMYFUNCTION("""COMPUTED_VALUE"""),46130.0)</f>
        <v>46130</v>
      </c>
      <c r="C56" s="28" t="str">
        <f>IFERROR(__xludf.DUMMYFUNCTION("""COMPUTED_VALUE"""),"Gaurav Sethi")</f>
        <v>Gaurav Sethi</v>
      </c>
      <c r="D56" s="28" t="str">
        <f>IFERROR(__xludf.DUMMYFUNCTION("""COMPUTED_VALUE"""),"Intercontliner")</f>
        <v>Intercontliner</v>
      </c>
      <c r="E56" s="28" t="str">
        <f>IFERROR(__xludf.DUMMYFUNCTION("""COMPUTED_VALUE"""),"Lower parel")</f>
        <v>Lower parel</v>
      </c>
      <c r="F56" s="28" t="str">
        <f>IFERROR(__xludf.DUMMYFUNCTION("""COMPUTED_VALUE"""),"Meta")</f>
        <v>Meta</v>
      </c>
      <c r="G56" s="28" t="str">
        <f>IFERROR(__xludf.DUMMYFUNCTION("""COMPUTED_VALUE"""),"Shravani")</f>
        <v>Shravani</v>
      </c>
      <c r="H56" s="28" t="str">
        <f>IFERROR(__xludf.DUMMYFUNCTION("""COMPUTED_VALUE"""),"Hot")</f>
        <v>Hot</v>
      </c>
      <c r="I56" s="28" t="str">
        <f>IFERROR(__xludf.DUMMYFUNCTION("""COMPUTED_VALUE"""),"2 May: Meeting is done and need to share a MOM. 29 April: Sadhana will get back to me by today EOD with the timings for the meeting on Saturday. 28th April: Ringing. 27th April: Spoke with Sadhana (PA). She will get back regarding the meeting timings for "&amp;"Thursday or Friday. 24 April: The meeting has been postponed to next thursday or friday. 22 April: Meeting is schedueled for Friday or Saturday. 20 April: Declined the call, dropped a text. 18 April: He has a requirement of 100 seats. Shared with him the "&amp;"images of the 7000sq.ft ")</f>
        <v>2 May: Meeting is done and need to share a MOM. 29 April: Sadhana will get back to me by today EOD with the timings for the meeting on Saturday. 28th April: Ringing. 27th April: Spoke with Sadhana (PA). She will get back regarding the meeting timings for Thursday or Friday. 24 April: The meeting has been postponed to next thursday or friday. 22 April: Meeting is schedueled for Friday or Saturday. 20 April: Declined the call, dropped a text. 18 April: He has a requirement of 100 seats. Shared with him the images of the 7000sq.ft </v>
      </c>
      <c r="J56" s="1"/>
      <c r="K56" s="1"/>
      <c r="L56" s="1"/>
      <c r="M56" s="1"/>
      <c r="N56" s="1"/>
      <c r="O56" s="1"/>
      <c r="P56" s="1"/>
      <c r="Q56" s="1"/>
      <c r="R56" s="1"/>
      <c r="S56" s="1"/>
      <c r="T56" s="1"/>
      <c r="U56" s="1"/>
      <c r="V56" s="1"/>
      <c r="W56" s="1"/>
      <c r="X56" s="1"/>
      <c r="Y56" s="1"/>
      <c r="Z56" s="1"/>
    </row>
    <row r="57">
      <c r="A57" s="1"/>
      <c r="B57" s="27"/>
      <c r="C57" s="28"/>
      <c r="D57" s="28"/>
      <c r="E57" s="28"/>
      <c r="F57" s="28"/>
      <c r="G57" s="28"/>
      <c r="H57" s="28"/>
      <c r="I57" s="28"/>
      <c r="J57" s="1"/>
      <c r="K57" s="1"/>
      <c r="L57" s="1"/>
      <c r="M57" s="1"/>
      <c r="N57" s="1"/>
      <c r="O57" s="1"/>
      <c r="P57" s="1"/>
      <c r="Q57" s="1"/>
      <c r="R57" s="1"/>
      <c r="S57" s="1"/>
      <c r="T57" s="1"/>
      <c r="U57" s="1"/>
      <c r="V57" s="1"/>
      <c r="W57" s="1"/>
      <c r="X57" s="1"/>
      <c r="Y57" s="1"/>
      <c r="Z57" s="1"/>
    </row>
    <row r="58">
      <c r="A58" s="1"/>
      <c r="B58" s="27"/>
      <c r="C58" s="28"/>
      <c r="D58" s="28"/>
      <c r="E58" s="28"/>
      <c r="F58" s="28"/>
      <c r="G58" s="28"/>
      <c r="H58" s="28"/>
      <c r="I58" s="28"/>
      <c r="J58" s="1"/>
      <c r="K58" s="1"/>
      <c r="L58" s="1"/>
      <c r="M58" s="1"/>
      <c r="N58" s="1"/>
      <c r="O58" s="1"/>
      <c r="P58" s="1"/>
      <c r="Q58" s="1"/>
      <c r="R58" s="1"/>
      <c r="S58" s="1"/>
      <c r="T58" s="1"/>
      <c r="U58" s="1"/>
      <c r="V58" s="1"/>
      <c r="W58" s="1"/>
      <c r="X58" s="1"/>
      <c r="Y58" s="1"/>
      <c r="Z58" s="1"/>
    </row>
    <row r="59">
      <c r="A59" s="1"/>
      <c r="B59" s="29"/>
      <c r="J59" s="1"/>
      <c r="K59" s="1"/>
      <c r="L59" s="1"/>
      <c r="M59" s="1"/>
      <c r="N59" s="1"/>
      <c r="O59" s="1"/>
      <c r="P59" s="1"/>
      <c r="Q59" s="1"/>
      <c r="R59" s="1"/>
      <c r="S59" s="1"/>
      <c r="T59" s="1"/>
      <c r="U59" s="1"/>
      <c r="V59" s="1"/>
      <c r="W59" s="1"/>
      <c r="X59" s="1"/>
      <c r="Y59" s="1"/>
      <c r="Z59" s="1"/>
    </row>
    <row r="60">
      <c r="A60" s="1"/>
      <c r="B60" s="30" t="s">
        <v>14</v>
      </c>
      <c r="J60" s="1"/>
      <c r="K60" s="1"/>
      <c r="L60" s="1"/>
      <c r="M60" s="1"/>
      <c r="N60" s="1"/>
      <c r="O60" s="1"/>
      <c r="P60" s="1"/>
      <c r="Q60" s="1"/>
      <c r="R60" s="1"/>
      <c r="S60" s="1"/>
      <c r="T60" s="1"/>
      <c r="U60" s="1"/>
      <c r="V60" s="1"/>
      <c r="W60" s="1"/>
      <c r="X60" s="1"/>
      <c r="Y60" s="1"/>
      <c r="Z60" s="1"/>
    </row>
    <row r="61">
      <c r="A61" s="1"/>
      <c r="B61" s="31" t="s">
        <v>6</v>
      </c>
      <c r="C61" s="22" t="s">
        <v>7</v>
      </c>
      <c r="D61" s="22" t="s">
        <v>8</v>
      </c>
      <c r="E61" s="22" t="s">
        <v>9</v>
      </c>
      <c r="F61" s="22" t="s">
        <v>10</v>
      </c>
      <c r="G61" s="22" t="s">
        <v>11</v>
      </c>
      <c r="H61" s="22" t="s">
        <v>12</v>
      </c>
      <c r="I61" s="22" t="s">
        <v>13</v>
      </c>
      <c r="J61" s="1"/>
      <c r="K61" s="1"/>
      <c r="L61" s="1"/>
      <c r="M61" s="1"/>
      <c r="N61" s="1"/>
      <c r="O61" s="1"/>
      <c r="P61" s="1"/>
      <c r="Q61" s="1"/>
      <c r="R61" s="1"/>
      <c r="S61" s="1"/>
      <c r="T61" s="1"/>
      <c r="U61" s="1"/>
      <c r="V61" s="1"/>
      <c r="W61" s="1"/>
      <c r="X61" s="1"/>
      <c r="Y61" s="1"/>
      <c r="Z61" s="1"/>
    </row>
    <row r="62">
      <c r="A62" s="1"/>
      <c r="B62" s="26">
        <f>IFERROR(__xludf.DUMMYFUNCTION("IFERROR(QUERY(Calc_Data!A2:H1000, ""SELECT A, B, C, E, F, G, D, H WHERE D = 'Hold' OR D = '' OR D IS NULL ORDER BY A DESC""), ""No Leads Found"")"),46177.0)</f>
        <v>46177</v>
      </c>
      <c r="C62" s="25" t="str">
        <f>IFERROR(__xludf.DUMMYFUNCTION("""COMPUTED_VALUE"""),"Mohd  Khalid ")</f>
        <v>Mohd  Khalid </v>
      </c>
      <c r="D62" s="25" t="str">
        <f>IFERROR(__xludf.DUMMYFUNCTION("""COMPUTED_VALUE"""),"Bharatam AI")</f>
        <v>Bharatam AI</v>
      </c>
      <c r="E62" s="25" t="str">
        <f>IFERROR(__xludf.DUMMYFUNCTION("""COMPUTED_VALUE"""),"Andheri ")</f>
        <v>Andheri </v>
      </c>
      <c r="F62" s="25" t="str">
        <f>IFERROR(__xludf.DUMMYFUNCTION("""COMPUTED_VALUE"""),"LinkedIn")</f>
        <v>LinkedIn</v>
      </c>
      <c r="G62" s="25" t="str">
        <f>IFERROR(__xludf.DUMMYFUNCTION("""COMPUTED_VALUE"""),"Shubham ")</f>
        <v>Shubham </v>
      </c>
      <c r="H62" s="26" t="str">
        <f>IFERROR(__xludf.DUMMYFUNCTION("""COMPUTED_VALUE"""),"Hold")</f>
        <v>Hold</v>
      </c>
      <c r="I62" s="25" t="str">
        <f>IFERROR(__xludf.DUMMYFUNCTION("""COMPUTED_VALUE"""),"04 June: Spoke he said he is just gathering information and the requirement will be live after 2 months, he need 5-10 seats I have pitched Crescent solitaire. Sent an mail as well ")</f>
        <v>04 June: Spoke he said he is just gathering information and the requirement will be live after 2 months, he need 5-10 seats I have pitched Crescent solitaire. Sent an mail as well </v>
      </c>
      <c r="J62" s="1"/>
      <c r="K62" s="1"/>
      <c r="L62" s="1"/>
      <c r="M62" s="1"/>
      <c r="N62" s="1"/>
      <c r="O62" s="1"/>
      <c r="P62" s="1"/>
      <c r="Q62" s="1"/>
      <c r="R62" s="1"/>
      <c r="S62" s="1"/>
      <c r="T62" s="1"/>
      <c r="U62" s="1"/>
      <c r="V62" s="1"/>
      <c r="W62" s="1"/>
      <c r="X62" s="1"/>
      <c r="Y62" s="1"/>
      <c r="Z62" s="1"/>
    </row>
    <row r="63">
      <c r="A63" s="1"/>
      <c r="B63" s="26">
        <f>IFERROR(__xludf.DUMMYFUNCTION("""COMPUTED_VALUE"""),46176.0)</f>
        <v>46176</v>
      </c>
      <c r="C63" s="25" t="str">
        <f>IFERROR(__xludf.DUMMYFUNCTION("""COMPUTED_VALUE"""),"V  Gandhi")</f>
        <v>V  Gandhi</v>
      </c>
      <c r="D63" s="25" t="str">
        <f>IFERROR(__xludf.DUMMYFUNCTION("""COMPUTED_VALUE"""),"KRG")</f>
        <v>KRG</v>
      </c>
      <c r="E63" s="25" t="str">
        <f>IFERROR(__xludf.DUMMYFUNCTION("""COMPUTED_VALUE"""),"Lower parel")</f>
        <v>Lower parel</v>
      </c>
      <c r="F63" s="25" t="str">
        <f>IFERROR(__xludf.DUMMYFUNCTION("""COMPUTED_VALUE"""),"Meta")</f>
        <v>Meta</v>
      </c>
      <c r="G63" s="25" t="str">
        <f>IFERROR(__xludf.DUMMYFUNCTION("""COMPUTED_VALUE"""),"Shravani")</f>
        <v>Shravani</v>
      </c>
      <c r="H63" s="26"/>
      <c r="I63" s="25" t="str">
        <f>IFERROR(__xludf.DUMMYFUNCTION("""COMPUTED_VALUE"""),"3 June: She has asked me to share the details on whatsapp.")</f>
        <v>3 June: She has asked me to share the details on whatsapp.</v>
      </c>
      <c r="J63" s="1"/>
      <c r="K63" s="1"/>
      <c r="L63" s="1"/>
      <c r="M63" s="1"/>
      <c r="N63" s="1"/>
      <c r="O63" s="1"/>
      <c r="P63" s="1"/>
      <c r="Q63" s="1"/>
      <c r="R63" s="1"/>
      <c r="S63" s="1"/>
      <c r="T63" s="1"/>
      <c r="U63" s="1"/>
      <c r="V63" s="1"/>
      <c r="W63" s="1"/>
      <c r="X63" s="1"/>
      <c r="Y63" s="1"/>
      <c r="Z63" s="1"/>
    </row>
    <row r="64">
      <c r="A64" s="1"/>
      <c r="B64" s="26">
        <f>IFERROR(__xludf.DUMMYFUNCTION("""COMPUTED_VALUE"""),46176.0)</f>
        <v>46176</v>
      </c>
      <c r="C64" s="25" t="str">
        <f>IFERROR(__xludf.DUMMYFUNCTION("""COMPUTED_VALUE"""),"Uddhav Seth")</f>
        <v>Uddhav Seth</v>
      </c>
      <c r="D64" s="25" t="str">
        <f>IFERROR(__xludf.DUMMYFUNCTION("""COMPUTED_VALUE"""),"SoftwareHunt")</f>
        <v>SoftwareHunt</v>
      </c>
      <c r="E64" s="25" t="str">
        <f>IFERROR(__xludf.DUMMYFUNCTION("""COMPUTED_VALUE"""),"Lower parel")</f>
        <v>Lower parel</v>
      </c>
      <c r="F64" s="25" t="str">
        <f>IFERROR(__xludf.DUMMYFUNCTION("""COMPUTED_VALUE"""),"Meta")</f>
        <v>Meta</v>
      </c>
      <c r="G64" s="25" t="str">
        <f>IFERROR(__xludf.DUMMYFUNCTION("""COMPUTED_VALUE"""),"Shravani")</f>
        <v>Shravani</v>
      </c>
      <c r="H64" s="26"/>
      <c r="I64" s="25" t="str">
        <f>IFERROR(__xludf.DUMMYFUNCTION("""COMPUTED_VALUE"""),"3 June: ")</f>
        <v>3 June: </v>
      </c>
      <c r="J64" s="1"/>
      <c r="K64" s="1"/>
      <c r="L64" s="1"/>
      <c r="M64" s="1"/>
      <c r="N64" s="1"/>
      <c r="O64" s="1"/>
      <c r="P64" s="1"/>
      <c r="Q64" s="1"/>
      <c r="R64" s="1"/>
      <c r="S64" s="1"/>
      <c r="T64" s="1"/>
      <c r="U64" s="1"/>
      <c r="V64" s="1"/>
      <c r="W64" s="1"/>
      <c r="X64" s="1"/>
      <c r="Y64" s="1"/>
      <c r="Z64" s="1"/>
    </row>
    <row r="65">
      <c r="A65" s="1"/>
      <c r="B65" s="26">
        <f>IFERROR(__xludf.DUMMYFUNCTION("""COMPUTED_VALUE"""),46176.0)</f>
        <v>46176</v>
      </c>
      <c r="C65" s="25" t="str">
        <f>IFERROR(__xludf.DUMMYFUNCTION("""COMPUTED_VALUE"""),"Seema  Shah")</f>
        <v>Seema  Shah</v>
      </c>
      <c r="D65" s="25" t="str">
        <f>IFERROR(__xludf.DUMMYFUNCTION("""COMPUTED_VALUE"""),"Ishwar Pharma")</f>
        <v>Ishwar Pharma</v>
      </c>
      <c r="E65" s="25" t="str">
        <f>IFERROR(__xludf.DUMMYFUNCTION("""COMPUTED_VALUE"""),"Lower parel")</f>
        <v>Lower parel</v>
      </c>
      <c r="F65" s="25" t="str">
        <f>IFERROR(__xludf.DUMMYFUNCTION("""COMPUTED_VALUE"""),"Meta")</f>
        <v>Meta</v>
      </c>
      <c r="G65" s="25" t="str">
        <f>IFERROR(__xludf.DUMMYFUNCTION("""COMPUTED_VALUE"""),"Shravani")</f>
        <v>Shravani</v>
      </c>
      <c r="H65" s="26"/>
      <c r="I65" s="25" t="str">
        <f>IFERROR(__xludf.DUMMYFUNCTION("""COMPUTED_VALUE"""),"3 June: She did not mentioned any requirement. Asked me to share the details of the property we have available with us.")</f>
        <v>3 June: She did not mentioned any requirement. Asked me to share the details of the property we have available with us.</v>
      </c>
      <c r="J65" s="1"/>
      <c r="K65" s="1"/>
      <c r="L65" s="1"/>
      <c r="M65" s="1"/>
      <c r="N65" s="1"/>
      <c r="O65" s="1"/>
      <c r="P65" s="1"/>
      <c r="Q65" s="1"/>
      <c r="R65" s="1"/>
      <c r="S65" s="1"/>
      <c r="T65" s="1"/>
      <c r="U65" s="1"/>
      <c r="V65" s="1"/>
      <c r="W65" s="1"/>
      <c r="X65" s="1"/>
      <c r="Y65" s="1"/>
      <c r="Z65" s="1"/>
    </row>
    <row r="66">
      <c r="A66" s="1"/>
      <c r="B66" s="26">
        <f>IFERROR(__xludf.DUMMYFUNCTION("""COMPUTED_VALUE"""),46164.0)</f>
        <v>46164</v>
      </c>
      <c r="C66" s="25" t="str">
        <f>IFERROR(__xludf.DUMMYFUNCTION("""COMPUTED_VALUE"""),"Ravi  Malviya ")</f>
        <v>Ravi  Malviya </v>
      </c>
      <c r="D66" s="25" t="str">
        <f>IFERROR(__xludf.DUMMYFUNCTION("""COMPUTED_VALUE"""),"Gl security private Limited ")</f>
        <v>Gl security private Limited </v>
      </c>
      <c r="E66" s="25" t="str">
        <f>IFERROR(__xludf.DUMMYFUNCTION("""COMPUTED_VALUE"""),"Andheri ")</f>
        <v>Andheri </v>
      </c>
      <c r="F66" s="25" t="str">
        <f>IFERROR(__xludf.DUMMYFUNCTION("""COMPUTED_VALUE"""),"Meta")</f>
        <v>Meta</v>
      </c>
      <c r="G66" s="25" t="str">
        <f>IFERROR(__xludf.DUMMYFUNCTION("""COMPUTED_VALUE"""),"Shubham ")</f>
        <v>Shubham </v>
      </c>
      <c r="H66" s="26" t="str">
        <f>IFERROR(__xludf.DUMMYFUNCTION("""COMPUTED_VALUE"""),"Hold")</f>
        <v>Hold</v>
      </c>
      <c r="I66" s="25" t="str">
        <f>IFERROR(__xludf.DUMMYFUNCTION("""COMPUTED_VALUE"""),"25 May: Spoke they want 22 w.s, 1 cabin and pantry only in Chakala specifically in Kanakia Wallstreet. Discussed this internally we cannot take an inventory for such small requirement 22 May: This Lead came in the earlier Campaign as well, they were not o"&amp;"kay with sharing the space at that time. Tried calling him he didn't answer my call. I will drop a Text.")</f>
        <v>25 May: Spoke they want 22 w.s, 1 cabin and pantry only in Chakala specifically in Kanakia Wallstreet. Discussed this internally we cannot take an inventory for such small requirement 22 May: This Lead came in the earlier Campaign as well, they were not okay with sharing the space at that time. Tried calling him he didn't answer my call. I will drop a Text.</v>
      </c>
      <c r="J66" s="1"/>
      <c r="K66" s="1"/>
      <c r="L66" s="1"/>
      <c r="M66" s="1"/>
      <c r="N66" s="1"/>
      <c r="O66" s="1"/>
      <c r="P66" s="1"/>
      <c r="Q66" s="1"/>
      <c r="R66" s="1"/>
      <c r="S66" s="1"/>
      <c r="T66" s="1"/>
      <c r="U66" s="1"/>
      <c r="V66" s="1"/>
      <c r="W66" s="1"/>
      <c r="X66" s="1"/>
      <c r="Y66" s="1"/>
      <c r="Z66" s="1"/>
    </row>
    <row r="67">
      <c r="A67" s="1"/>
      <c r="B67" s="26">
        <f>IFERROR(__xludf.DUMMYFUNCTION("""COMPUTED_VALUE"""),46157.0)</f>
        <v>46157</v>
      </c>
      <c r="C67" s="25" t="str">
        <f>IFERROR(__xludf.DUMMYFUNCTION("""COMPUTED_VALUE"""),"Priyesh Ganatra")</f>
        <v>Priyesh Ganatra</v>
      </c>
      <c r="D67" s="25" t="str">
        <f>IFERROR(__xludf.DUMMYFUNCTION("""COMPUTED_VALUE"""),"Cloud9 Beverages")</f>
        <v>Cloud9 Beverages</v>
      </c>
      <c r="E67" s="25" t="str">
        <f>IFERROR(__xludf.DUMMYFUNCTION("""COMPUTED_VALUE"""),"Lower parel")</f>
        <v>Lower parel</v>
      </c>
      <c r="F67" s="25" t="str">
        <f>IFERROR(__xludf.DUMMYFUNCTION("""COMPUTED_VALUE"""),"Meta")</f>
        <v>Meta</v>
      </c>
      <c r="G67" s="25" t="str">
        <f>IFERROR(__xludf.DUMMYFUNCTION("""COMPUTED_VALUE"""),"Shravani")</f>
        <v>Shravani</v>
      </c>
      <c r="H67" s="26" t="str">
        <f>IFERROR(__xludf.DUMMYFUNCTION("""COMPUTED_VALUE"""),"Hold")</f>
        <v>Hold</v>
      </c>
      <c r="I67" s="25" t="str">
        <f>IFERROR(__xludf.DUMMYFUNCTION("""COMPUTED_VALUE"""),"27th May: He don't need an office as of now. 23 May: Ringing, Dropped a text. 16 May: Ringing, Dropped a mail. 15 May: Ringing,dropped a text.")</f>
        <v>27th May: He don't need an office as of now. 23 May: Ringing, Dropped a text. 16 May: Ringing, Dropped a mail. 15 May: Ringing,dropped a text.</v>
      </c>
      <c r="J67" s="1"/>
      <c r="K67" s="1"/>
      <c r="L67" s="1"/>
      <c r="M67" s="1"/>
      <c r="N67" s="1"/>
      <c r="O67" s="1"/>
      <c r="P67" s="1"/>
      <c r="Q67" s="1"/>
      <c r="R67" s="1"/>
      <c r="S67" s="1"/>
      <c r="T67" s="1"/>
      <c r="U67" s="1"/>
      <c r="V67" s="1"/>
      <c r="W67" s="1"/>
      <c r="X67" s="1"/>
      <c r="Y67" s="1"/>
      <c r="Z67" s="1"/>
    </row>
    <row r="68">
      <c r="A68" s="1"/>
      <c r="B68" s="26">
        <f>IFERROR(__xludf.DUMMYFUNCTION("""COMPUTED_VALUE"""),46152.0)</f>
        <v>46152</v>
      </c>
      <c r="C68" s="25" t="str">
        <f>IFERROR(__xludf.DUMMYFUNCTION("""COMPUTED_VALUE"""),"Neha Sharma")</f>
        <v>Neha Sharma</v>
      </c>
      <c r="D68" s="25" t="str">
        <f>IFERROR(__xludf.DUMMYFUNCTION("""COMPUTED_VALUE"""),"ABG Group")</f>
        <v>ABG Group</v>
      </c>
      <c r="E68" s="25" t="str">
        <f>IFERROR(__xludf.DUMMYFUNCTION("""COMPUTED_VALUE"""),"Noida")</f>
        <v>Noida</v>
      </c>
      <c r="F68" s="25" t="str">
        <f>IFERROR(__xludf.DUMMYFUNCTION("""COMPUTED_VALUE"""),"LinkedIn")</f>
        <v>LinkedIn</v>
      </c>
      <c r="G68" s="25" t="str">
        <f>IFERROR(__xludf.DUMMYFUNCTION("""COMPUTED_VALUE"""),"Neha/Madhvi")</f>
        <v>Neha/Madhvi</v>
      </c>
      <c r="H68" s="26"/>
      <c r="I68" s="25" t="str">
        <f>IFERROR(__xludf.DUMMYFUNCTION("""COMPUTED_VALUE"""),"Want something in sector 62 or 63")</f>
        <v>Want something in sector 62 or 63</v>
      </c>
      <c r="J68" s="1"/>
      <c r="K68" s="1"/>
      <c r="L68" s="1"/>
      <c r="M68" s="1"/>
      <c r="N68" s="1"/>
      <c r="O68" s="1"/>
      <c r="P68" s="1"/>
      <c r="Q68" s="1"/>
      <c r="R68" s="1"/>
      <c r="S68" s="1"/>
      <c r="T68" s="1"/>
      <c r="U68" s="1"/>
      <c r="V68" s="1"/>
      <c r="W68" s="1"/>
      <c r="X68" s="1"/>
      <c r="Y68" s="1"/>
      <c r="Z68" s="1"/>
    </row>
    <row r="69">
      <c r="A69" s="1"/>
      <c r="B69" s="26">
        <f>IFERROR(__xludf.DUMMYFUNCTION("""COMPUTED_VALUE"""),46152.0)</f>
        <v>46152</v>
      </c>
      <c r="C69" s="25" t="str">
        <f>IFERROR(__xludf.DUMMYFUNCTION("""COMPUTED_VALUE"""),"Vijay  P Tiwari")</f>
        <v>Vijay  P Tiwari</v>
      </c>
      <c r="D69" s="25" t="str">
        <f>IFERROR(__xludf.DUMMYFUNCTION("""COMPUTED_VALUE"""),"Auctus Resources")</f>
        <v>Auctus Resources</v>
      </c>
      <c r="E69" s="25" t="str">
        <f>IFERROR(__xludf.DUMMYFUNCTION("""COMPUTED_VALUE"""),"Noida")</f>
        <v>Noida</v>
      </c>
      <c r="F69" s="25" t="str">
        <f>IFERROR(__xludf.DUMMYFUNCTION("""COMPUTED_VALUE"""),"LinkedIn")</f>
        <v>LinkedIn</v>
      </c>
      <c r="G69" s="25" t="str">
        <f>IFERROR(__xludf.DUMMYFUNCTION("""COMPUTED_VALUE"""),"Neha/Madhvi")</f>
        <v>Neha/Madhvi</v>
      </c>
      <c r="H69" s="26"/>
      <c r="I69" s="25" t="str">
        <f>IFERROR(__xludf.DUMMYFUNCTION("""COMPUTED_VALUE"""),"Looking for 4 seater can give us more than 1 year lock-in")</f>
        <v>Looking for 4 seater can give us more than 1 year lock-in</v>
      </c>
      <c r="J69" s="1"/>
      <c r="K69" s="1"/>
      <c r="L69" s="1"/>
      <c r="M69" s="1"/>
      <c r="N69" s="1"/>
      <c r="O69" s="1"/>
      <c r="P69" s="1"/>
      <c r="Q69" s="1"/>
      <c r="R69" s="1"/>
      <c r="S69" s="1"/>
      <c r="T69" s="1"/>
      <c r="U69" s="1"/>
      <c r="V69" s="1"/>
      <c r="W69" s="1"/>
      <c r="X69" s="1"/>
      <c r="Y69" s="1"/>
      <c r="Z69" s="1"/>
    </row>
    <row r="70">
      <c r="A70" s="1"/>
      <c r="B70" s="26">
        <f>IFERROR(__xludf.DUMMYFUNCTION("""COMPUTED_VALUE"""),46151.0)</f>
        <v>46151</v>
      </c>
      <c r="C70" s="25" t="str">
        <f>IFERROR(__xludf.DUMMYFUNCTION("""COMPUTED_VALUE"""),"Mayank Tomar")</f>
        <v>Mayank Tomar</v>
      </c>
      <c r="D70" s="25" t="str">
        <f>IFERROR(__xludf.DUMMYFUNCTION("""COMPUTED_VALUE"""),"Bootes")</f>
        <v>Bootes</v>
      </c>
      <c r="E70" s="25" t="str">
        <f>IFERROR(__xludf.DUMMYFUNCTION("""COMPUTED_VALUE"""),"Noida")</f>
        <v>Noida</v>
      </c>
      <c r="F70" s="25" t="str">
        <f>IFERROR(__xludf.DUMMYFUNCTION("""COMPUTED_VALUE"""),"LinkedIn")</f>
        <v>LinkedIn</v>
      </c>
      <c r="G70" s="25" t="str">
        <f>IFERROR(__xludf.DUMMYFUNCTION("""COMPUTED_VALUE"""),"Neha/Madhvi")</f>
        <v>Neha/Madhvi</v>
      </c>
      <c r="H70" s="26"/>
      <c r="I70" s="25" t="str">
        <f>IFERROR(__xludf.DUMMYFUNCTION("""COMPUTED_VALUE"""),"Need 25-30 seats.will plan their visit shortly also they can 2years of lock-in and security we will discuss")</f>
        <v>Need 25-30 seats.will plan their visit shortly also they can 2years of lock-in and security we will discuss</v>
      </c>
      <c r="J70" s="1"/>
      <c r="K70" s="1"/>
      <c r="L70" s="1"/>
      <c r="M70" s="1"/>
      <c r="N70" s="1"/>
      <c r="O70" s="1"/>
      <c r="P70" s="1"/>
      <c r="Q70" s="1"/>
      <c r="R70" s="1"/>
      <c r="S70" s="1"/>
      <c r="T70" s="1"/>
      <c r="U70" s="1"/>
      <c r="V70" s="1"/>
      <c r="W70" s="1"/>
      <c r="X70" s="1"/>
      <c r="Y70" s="1"/>
      <c r="Z70" s="1"/>
    </row>
    <row r="71">
      <c r="A71" s="1"/>
      <c r="B71" s="26">
        <f>IFERROR(__xludf.DUMMYFUNCTION("""COMPUTED_VALUE"""),46150.0)</f>
        <v>46150</v>
      </c>
      <c r="C71" s="25" t="str">
        <f>IFERROR(__xludf.DUMMYFUNCTION("""COMPUTED_VALUE"""),"Manu K Kapur")</f>
        <v>Manu K Kapur</v>
      </c>
      <c r="D71" s="25" t="str">
        <f>IFERROR(__xludf.DUMMYFUNCTION("""COMPUTED_VALUE"""),"Abbey Road Sourcing Pvt Ltd.")</f>
        <v>Abbey Road Sourcing Pvt Ltd.</v>
      </c>
      <c r="E71" s="25" t="str">
        <f>IFERROR(__xludf.DUMMYFUNCTION("""COMPUTED_VALUE"""),"Noida")</f>
        <v>Noida</v>
      </c>
      <c r="F71" s="25" t="str">
        <f>IFERROR(__xludf.DUMMYFUNCTION("""COMPUTED_VALUE"""),"LinkedIn")</f>
        <v>LinkedIn</v>
      </c>
      <c r="G71" s="25" t="str">
        <f>IFERROR(__xludf.DUMMYFUNCTION("""COMPUTED_VALUE"""),"Neha/Madhvi")</f>
        <v>Neha/Madhvi</v>
      </c>
      <c r="H71" s="26"/>
      <c r="I71" s="25" t="str">
        <f>IFERROR(__xludf.DUMMYFUNCTION("""COMPUTED_VALUE"""),"Asked to call call on monday.")</f>
        <v>Asked to call call on monday.</v>
      </c>
      <c r="J71" s="1"/>
      <c r="K71" s="1"/>
      <c r="L71" s="1"/>
      <c r="M71" s="1"/>
      <c r="N71" s="1"/>
      <c r="O71" s="1"/>
      <c r="P71" s="1"/>
      <c r="Q71" s="1"/>
      <c r="R71" s="1"/>
      <c r="S71" s="1"/>
      <c r="T71" s="1"/>
      <c r="U71" s="1"/>
      <c r="V71" s="1"/>
      <c r="W71" s="1"/>
      <c r="X71" s="1"/>
      <c r="Y71" s="1"/>
      <c r="Z71" s="1"/>
    </row>
    <row r="72">
      <c r="A72" s="1"/>
      <c r="B72" s="26">
        <f>IFERROR(__xludf.DUMMYFUNCTION("""COMPUTED_VALUE"""),46150.0)</f>
        <v>46150</v>
      </c>
      <c r="C72" s="25" t="str">
        <f>IFERROR(__xludf.DUMMYFUNCTION("""COMPUTED_VALUE"""),"Dhirendra Singh")</f>
        <v>Dhirendra Singh</v>
      </c>
      <c r="D72" s="25" t="str">
        <f>IFERROR(__xludf.DUMMYFUNCTION("""COMPUTED_VALUE"""),"Cost2Action")</f>
        <v>Cost2Action</v>
      </c>
      <c r="E72" s="25" t="str">
        <f>IFERROR(__xludf.DUMMYFUNCTION("""COMPUTED_VALUE"""),"Noida")</f>
        <v>Noida</v>
      </c>
      <c r="F72" s="25" t="str">
        <f>IFERROR(__xludf.DUMMYFUNCTION("""COMPUTED_VALUE"""),"LinkedIn")</f>
        <v>LinkedIn</v>
      </c>
      <c r="G72" s="25" t="str">
        <f>IFERROR(__xludf.DUMMYFUNCTION("""COMPUTED_VALUE"""),"Neha/Madhvi")</f>
        <v>Neha/Madhvi</v>
      </c>
      <c r="H72" s="26"/>
      <c r="I72" s="25" t="str">
        <f>IFERROR(__xludf.DUMMYFUNCTION("""COMPUTED_VALUE"""),"Need only 20 seats and the budget is low")</f>
        <v>Need only 20 seats and the budget is low</v>
      </c>
      <c r="J72" s="1"/>
      <c r="K72" s="1"/>
      <c r="L72" s="1"/>
      <c r="M72" s="1"/>
      <c r="N72" s="1"/>
      <c r="O72" s="1"/>
      <c r="P72" s="1"/>
      <c r="Q72" s="1"/>
      <c r="R72" s="1"/>
      <c r="S72" s="1"/>
      <c r="T72" s="1"/>
      <c r="U72" s="1"/>
      <c r="V72" s="1"/>
      <c r="W72" s="1"/>
      <c r="X72" s="1"/>
      <c r="Y72" s="1"/>
      <c r="Z72" s="1"/>
    </row>
    <row r="73">
      <c r="A73" s="1"/>
      <c r="B73" s="26">
        <f>IFERROR(__xludf.DUMMYFUNCTION("""COMPUTED_VALUE"""),46146.0)</f>
        <v>46146</v>
      </c>
      <c r="C73" s="25" t="str">
        <f>IFERROR(__xludf.DUMMYFUNCTION("""COMPUTED_VALUE"""),"Sakshi  Mittal")</f>
        <v>Sakshi  Mittal</v>
      </c>
      <c r="D73" s="25" t="str">
        <f>IFERROR(__xludf.DUMMYFUNCTION("""COMPUTED_VALUE"""),"CoreOps .AI")</f>
        <v>CoreOps .AI</v>
      </c>
      <c r="E73" s="25" t="str">
        <f>IFERROR(__xludf.DUMMYFUNCTION("""COMPUTED_VALUE"""),"Noida")</f>
        <v>Noida</v>
      </c>
      <c r="F73" s="25" t="str">
        <f>IFERROR(__xludf.DUMMYFUNCTION("""COMPUTED_VALUE"""),"LinkedIn")</f>
        <v>LinkedIn</v>
      </c>
      <c r="G73" s="25" t="str">
        <f>IFERROR(__xludf.DUMMYFUNCTION("""COMPUTED_VALUE"""),"Neha/Madhvi")</f>
        <v>Neha/Madhvi</v>
      </c>
      <c r="H73" s="26"/>
      <c r="I73" s="25" t="str">
        <f>IFERROR(__xludf.DUMMYFUNCTION("""COMPUTED_VALUE"""),"Said No Requirement")</f>
        <v>Said No Requirement</v>
      </c>
      <c r="J73" s="1"/>
      <c r="K73" s="1"/>
      <c r="L73" s="1"/>
      <c r="M73" s="1"/>
      <c r="N73" s="1"/>
      <c r="O73" s="1"/>
      <c r="P73" s="1"/>
      <c r="Q73" s="1"/>
      <c r="R73" s="1"/>
      <c r="S73" s="1"/>
      <c r="T73" s="1"/>
      <c r="U73" s="1"/>
      <c r="V73" s="1"/>
      <c r="W73" s="1"/>
      <c r="X73" s="1"/>
      <c r="Y73" s="1"/>
      <c r="Z73" s="1"/>
    </row>
    <row r="74">
      <c r="A74" s="1"/>
      <c r="B74" s="26">
        <f>IFERROR(__xludf.DUMMYFUNCTION("""COMPUTED_VALUE"""),46145.0)</f>
        <v>46145</v>
      </c>
      <c r="C74" s="25" t="str">
        <f>IFERROR(__xludf.DUMMYFUNCTION("""COMPUTED_VALUE"""),"Yash Arora")</f>
        <v>Yash Arora</v>
      </c>
      <c r="D74" s="25" t="str">
        <f>IFERROR(__xludf.DUMMYFUNCTION("""COMPUTED_VALUE"""),"NeXMiLe Professionals")</f>
        <v>NeXMiLe Professionals</v>
      </c>
      <c r="E74" s="25" t="str">
        <f>IFERROR(__xludf.DUMMYFUNCTION("""COMPUTED_VALUE"""),"Noida")</f>
        <v>Noida</v>
      </c>
      <c r="F74" s="25" t="str">
        <f>IFERROR(__xludf.DUMMYFUNCTION("""COMPUTED_VALUE"""),"LinkedIn")</f>
        <v>LinkedIn</v>
      </c>
      <c r="G74" s="25" t="str">
        <f>IFERROR(__xludf.DUMMYFUNCTION("""COMPUTED_VALUE"""),"Neha/Madhvi")</f>
        <v>Neha/Madhvi</v>
      </c>
      <c r="H74" s="26"/>
      <c r="I74" s="25" t="str">
        <f>IFERROR(__xludf.DUMMYFUNCTION("""COMPUTED_VALUE"""),"Need urgently within a week")</f>
        <v>Need urgently within a week</v>
      </c>
      <c r="J74" s="1"/>
      <c r="K74" s="1"/>
      <c r="L74" s="1"/>
      <c r="M74" s="1"/>
      <c r="N74" s="1"/>
      <c r="O74" s="1"/>
      <c r="P74" s="1"/>
      <c r="Q74" s="1"/>
      <c r="R74" s="1"/>
      <c r="S74" s="1"/>
      <c r="T74" s="1"/>
      <c r="U74" s="1"/>
      <c r="V74" s="1"/>
      <c r="W74" s="1"/>
      <c r="X74" s="1"/>
      <c r="Y74" s="1"/>
      <c r="Z74" s="1"/>
    </row>
    <row r="75">
      <c r="A75" s="1"/>
      <c r="B75" s="26">
        <f>IFERROR(__xludf.DUMMYFUNCTION("""COMPUTED_VALUE"""),46144.0)</f>
        <v>46144</v>
      </c>
      <c r="C75" s="25" t="str">
        <f>IFERROR(__xludf.DUMMYFUNCTION("""COMPUTED_VALUE"""),"Shikha
 Sharma")</f>
        <v>Shikha
 Sharma</v>
      </c>
      <c r="D75" s="25" t="str">
        <f>IFERROR(__xludf.DUMMYFUNCTION("""COMPUTED_VALUE"""),"GetWork")</f>
        <v>GetWork</v>
      </c>
      <c r="E75" s="25" t="str">
        <f>IFERROR(__xludf.DUMMYFUNCTION("""COMPUTED_VALUE"""),"Noida")</f>
        <v>Noida</v>
      </c>
      <c r="F75" s="25" t="str">
        <f>IFERROR(__xludf.DUMMYFUNCTION("""COMPUTED_VALUE"""),"LinkedIn")</f>
        <v>LinkedIn</v>
      </c>
      <c r="G75" s="25" t="str">
        <f>IFERROR(__xludf.DUMMYFUNCTION("""COMPUTED_VALUE"""),"Neha/Madhvi")</f>
        <v>Neha/Madhvi</v>
      </c>
      <c r="H75" s="26"/>
      <c r="I75" s="25" t="str">
        <f>IFERROR(__xludf.DUMMYFUNCTION("""COMPUTED_VALUE"""),"No requirement ")</f>
        <v>No requirement </v>
      </c>
      <c r="J75" s="1"/>
      <c r="K75" s="1"/>
      <c r="L75" s="1"/>
      <c r="M75" s="1"/>
      <c r="N75" s="1"/>
      <c r="O75" s="1"/>
      <c r="P75" s="1"/>
      <c r="Q75" s="1"/>
      <c r="R75" s="1"/>
      <c r="S75" s="1"/>
      <c r="T75" s="1"/>
      <c r="U75" s="1"/>
      <c r="V75" s="1"/>
      <c r="W75" s="1"/>
      <c r="X75" s="1"/>
      <c r="Y75" s="1"/>
      <c r="Z75" s="1"/>
    </row>
    <row r="76">
      <c r="A76" s="1"/>
      <c r="B76" s="26">
        <f>IFERROR(__xludf.DUMMYFUNCTION("""COMPUTED_VALUE"""),46143.0)</f>
        <v>46143</v>
      </c>
      <c r="C76" s="25" t="str">
        <f>IFERROR(__xludf.DUMMYFUNCTION("""COMPUTED_VALUE"""),"Shailendra Mahulkar")</f>
        <v>Shailendra Mahulkar</v>
      </c>
      <c r="D76" s="25" t="str">
        <f>IFERROR(__xludf.DUMMYFUNCTION("""COMPUTED_VALUE"""),"InsuranceDekho")</f>
        <v>InsuranceDekho</v>
      </c>
      <c r="E76" s="25" t="str">
        <f>IFERROR(__xludf.DUMMYFUNCTION("""COMPUTED_VALUE"""),"Lower parel")</f>
        <v>Lower parel</v>
      </c>
      <c r="F76" s="25" t="str">
        <f>IFERROR(__xludf.DUMMYFUNCTION("""COMPUTED_VALUE"""),"Meta")</f>
        <v>Meta</v>
      </c>
      <c r="G76" s="25" t="str">
        <f>IFERROR(__xludf.DUMMYFUNCTION("""COMPUTED_VALUE"""),"Shravani")</f>
        <v>Shravani</v>
      </c>
      <c r="H76" s="26"/>
      <c r="I76" s="25" t="str">
        <f>IFERROR(__xludf.DUMMYFUNCTION("""COMPUTED_VALUE"""),"30 April: Need 30 Seats in Pune.")</f>
        <v>30 April: Need 30 Seats in Pune.</v>
      </c>
      <c r="J76" s="1"/>
      <c r="K76" s="1"/>
      <c r="L76" s="1"/>
      <c r="M76" s="1"/>
      <c r="N76" s="1"/>
      <c r="O76" s="1"/>
      <c r="P76" s="1"/>
      <c r="Q76" s="1"/>
      <c r="R76" s="1"/>
      <c r="S76" s="1"/>
      <c r="T76" s="1"/>
      <c r="U76" s="1"/>
      <c r="V76" s="1"/>
      <c r="W76" s="1"/>
      <c r="X76" s="1"/>
      <c r="Y76" s="1"/>
      <c r="Z76" s="1"/>
    </row>
    <row r="77">
      <c r="A77" s="1"/>
      <c r="B77" s="26">
        <f>IFERROR(__xludf.DUMMYFUNCTION("""COMPUTED_VALUE"""),46143.0)</f>
        <v>46143</v>
      </c>
      <c r="C77" s="25" t="str">
        <f>IFERROR(__xludf.DUMMYFUNCTION("""COMPUTED_VALUE"""),"Gauri Chheda")</f>
        <v>Gauri Chheda</v>
      </c>
      <c r="D77" s="25" t="str">
        <f>IFERROR(__xludf.DUMMYFUNCTION("""COMPUTED_VALUE"""),"Getafixx")</f>
        <v>Getafixx</v>
      </c>
      <c r="E77" s="25" t="str">
        <f>IFERROR(__xludf.DUMMYFUNCTION("""COMPUTED_VALUE"""),"Lower parel")</f>
        <v>Lower parel</v>
      </c>
      <c r="F77" s="25" t="str">
        <f>IFERROR(__xludf.DUMMYFUNCTION("""COMPUTED_VALUE"""),"Meta")</f>
        <v>Meta</v>
      </c>
      <c r="G77" s="25" t="str">
        <f>IFERROR(__xludf.DUMMYFUNCTION("""COMPUTED_VALUE"""),"Shravani")</f>
        <v>Shravani</v>
      </c>
      <c r="H77" s="26" t="str">
        <f>IFERROR(__xludf.DUMMYFUNCTION("""COMPUTED_VALUE"""),"Hold")</f>
        <v>Hold</v>
      </c>
      <c r="I77" s="25" t="str">
        <f>IFERROR(__xludf.DUMMYFUNCTION("""COMPUTED_VALUE"""),"5 May: She is not looking for any office in present. 1 May: Ringing, dropped a text. ")</f>
        <v>5 May: She is not looking for any office in present. 1 May: Ringing, dropped a text. </v>
      </c>
      <c r="J77" s="1"/>
      <c r="K77" s="1"/>
      <c r="L77" s="1"/>
      <c r="M77" s="1"/>
      <c r="N77" s="1"/>
      <c r="O77" s="1"/>
      <c r="P77" s="1"/>
      <c r="Q77" s="1"/>
      <c r="R77" s="1"/>
      <c r="S77" s="1"/>
      <c r="T77" s="1"/>
      <c r="U77" s="1"/>
      <c r="V77" s="1"/>
      <c r="W77" s="1"/>
      <c r="X77" s="1"/>
      <c r="Y77" s="1"/>
      <c r="Z77" s="1"/>
    </row>
    <row r="78">
      <c r="A78" s="1"/>
      <c r="B78" s="26">
        <f>IFERROR(__xludf.DUMMYFUNCTION("""COMPUTED_VALUE"""),46143.0)</f>
        <v>46143</v>
      </c>
      <c r="C78" s="25" t="str">
        <f>IFERROR(__xludf.DUMMYFUNCTION("""COMPUTED_VALUE"""),"Saurabh  Agarwal")</f>
        <v>Saurabh  Agarwal</v>
      </c>
      <c r="D78" s="25" t="str">
        <f>IFERROR(__xludf.DUMMYFUNCTION("""COMPUTED_VALUE"""),"Kennis Ventures Pvt Ltd")</f>
        <v>Kennis Ventures Pvt Ltd</v>
      </c>
      <c r="E78" s="25"/>
      <c r="F78" s="25" t="str">
        <f>IFERROR(__xludf.DUMMYFUNCTION("""COMPUTED_VALUE"""),"LinkedIn")</f>
        <v>LinkedIn</v>
      </c>
      <c r="G78" s="25" t="str">
        <f>IFERROR(__xludf.DUMMYFUNCTION("""COMPUTED_VALUE"""),"Shravni")</f>
        <v>Shravni</v>
      </c>
      <c r="H78" s="26"/>
      <c r="I78" s="25" t="str">
        <f>IFERROR(__xludf.DUMMYFUNCTION("""COMPUTED_VALUE"""),"5th May: He has finalised another office and he will get back to me if he needs any offive n Future. 3 May: Ringing. 2 May: He have asked me to share the details. 1 May: Have asked me to call tomo at 10am")</f>
        <v>5th May: He has finalised another office and he will get back to me if he needs any offive n Future. 3 May: Ringing. 2 May: He have asked me to share the details. 1 May: Have asked me to call tomo at 10am</v>
      </c>
      <c r="J78" s="1"/>
      <c r="K78" s="1"/>
      <c r="L78" s="1"/>
      <c r="M78" s="1"/>
      <c r="N78" s="1"/>
      <c r="O78" s="1"/>
      <c r="P78" s="1"/>
      <c r="Q78" s="1"/>
      <c r="R78" s="1"/>
      <c r="S78" s="1"/>
      <c r="T78" s="1"/>
      <c r="U78" s="1"/>
      <c r="V78" s="1"/>
      <c r="W78" s="1"/>
      <c r="X78" s="1"/>
      <c r="Y78" s="1"/>
      <c r="Z78" s="1"/>
    </row>
    <row r="79">
      <c r="A79" s="1"/>
      <c r="B79" s="26">
        <f>IFERROR(__xludf.DUMMYFUNCTION("""COMPUTED_VALUE"""),46141.0)</f>
        <v>46141</v>
      </c>
      <c r="C79" s="25" t="str">
        <f>IFERROR(__xludf.DUMMYFUNCTION("""COMPUTED_VALUE"""),"Suresh Kewalramani")</f>
        <v>Suresh Kewalramani</v>
      </c>
      <c r="D79" s="25" t="str">
        <f>IFERROR(__xludf.DUMMYFUNCTION("""COMPUTED_VALUE"""),"GIPS Management &amp; Personnel Consultants")</f>
        <v>GIPS Management &amp; Personnel Consultants</v>
      </c>
      <c r="E79" s="25" t="str">
        <f>IFERROR(__xludf.DUMMYFUNCTION("""COMPUTED_VALUE"""),"Lower Parel")</f>
        <v>Lower Parel</v>
      </c>
      <c r="F79" s="25" t="str">
        <f>IFERROR(__xludf.DUMMYFUNCTION("""COMPUTED_VALUE"""),"LinkedIn")</f>
        <v>LinkedIn</v>
      </c>
      <c r="G79" s="25" t="str">
        <f>IFERROR(__xludf.DUMMYFUNCTION("""COMPUTED_VALUE"""),"Shravni")</f>
        <v>Shravni</v>
      </c>
      <c r="H79" s="26" t="str">
        <f>IFERROR(__xludf.DUMMYFUNCTION("""COMPUTED_VALUE"""),"Hold")</f>
        <v>Hold</v>
      </c>
      <c r="I79" s="25" t="str">
        <f>IFERROR(__xludf.DUMMYFUNCTION("""COMPUTED_VALUE"""),"16 May: The client informed us that his son, who is the decision maker for this office requirement, is currently out of station and will return after 10 days. He has requested us to reconnect once his son is back.13 May: Busy on call. 11 May: Dropped a te"&amp;"xt. 8 May: Ringing. 6 May: He is in a meeting and will get back to me in a while. 5 May: Shared layout with him on mail. 4 May: Share with him the layout. 2 May: He wants layout. 29 April: 6 workstations + 1 cabin + 1 conference room (8–10 seats).")</f>
        <v>16 May: The client informed us that his son, who is the decision maker for this office requirement, is currently out of station and will return after 10 days. He has requested us to reconnect once his son is back.13 May: Busy on call. 11 May: Dropped a text. 8 May: Ringing. 6 May: He is in a meeting and will get back to me in a while. 5 May: Shared layout with him on mail. 4 May: Share with him the layout. 2 May: He wants layout. 29 April: 6 workstations + 1 cabin + 1 conference room (8–10 seats).</v>
      </c>
      <c r="J79" s="1"/>
      <c r="K79" s="1"/>
      <c r="L79" s="1"/>
      <c r="M79" s="1"/>
      <c r="N79" s="1"/>
      <c r="O79" s="1"/>
      <c r="P79" s="1"/>
      <c r="Q79" s="1"/>
      <c r="R79" s="1"/>
      <c r="S79" s="1"/>
      <c r="T79" s="1"/>
      <c r="U79" s="1"/>
      <c r="V79" s="1"/>
      <c r="W79" s="1"/>
      <c r="X79" s="1"/>
      <c r="Y79" s="1"/>
      <c r="Z79" s="1"/>
    </row>
    <row r="80">
      <c r="A80" s="1"/>
      <c r="B80" s="26">
        <f>IFERROR(__xludf.DUMMYFUNCTION("""COMPUTED_VALUE"""),46139.0)</f>
        <v>46139</v>
      </c>
      <c r="C80" s="25" t="str">
        <f>IFERROR(__xludf.DUMMYFUNCTION("""COMPUTED_VALUE"""),"Rahul Kubadia")</f>
        <v>Rahul Kubadia</v>
      </c>
      <c r="D80" s="25" t="str">
        <f>IFERROR(__xludf.DUMMYFUNCTION("""COMPUTED_VALUE"""),"Primeleaf Consulting (P) Ltd")</f>
        <v>Primeleaf Consulting (P) Ltd</v>
      </c>
      <c r="E80" s="25" t="str">
        <f>IFERROR(__xludf.DUMMYFUNCTION("""COMPUTED_VALUE"""),"Lower Parel")</f>
        <v>Lower Parel</v>
      </c>
      <c r="F80" s="25" t="str">
        <f>IFERROR(__xludf.DUMMYFUNCTION("""COMPUTED_VALUE"""),"LinkedIn")</f>
        <v>LinkedIn</v>
      </c>
      <c r="G80" s="25" t="str">
        <f>IFERROR(__xludf.DUMMYFUNCTION("""COMPUTED_VALUE"""),"Shravni")</f>
        <v>Shravni</v>
      </c>
      <c r="H80" s="26"/>
      <c r="I80" s="25" t="str">
        <f>IFERROR(__xludf.DUMMYFUNCTION("""COMPUTED_VALUE"""),"28 April: He needs a office on outright basis. ")</f>
        <v>28 April: He needs a office on outright basis. </v>
      </c>
      <c r="J80" s="1"/>
      <c r="K80" s="1"/>
      <c r="L80" s="1"/>
      <c r="M80" s="1"/>
      <c r="N80" s="1"/>
      <c r="O80" s="1"/>
      <c r="P80" s="1"/>
      <c r="Q80" s="1"/>
      <c r="R80" s="1"/>
      <c r="S80" s="1"/>
      <c r="T80" s="1"/>
      <c r="U80" s="1"/>
      <c r="V80" s="1"/>
      <c r="W80" s="1"/>
      <c r="X80" s="1"/>
      <c r="Y80" s="1"/>
      <c r="Z80" s="1"/>
    </row>
    <row r="81">
      <c r="A81" s="1"/>
      <c r="B81" s="26">
        <f>IFERROR(__xludf.DUMMYFUNCTION("""COMPUTED_VALUE"""),46138.0)</f>
        <v>46138</v>
      </c>
      <c r="C81" s="25" t="str">
        <f>IFERROR(__xludf.DUMMYFUNCTION("""COMPUTED_VALUE"""),"Satendra Singh")</f>
        <v>Satendra Singh</v>
      </c>
      <c r="D81" s="25" t="str">
        <f>IFERROR(__xludf.DUMMYFUNCTION("""COMPUTED_VALUE"""),"Afracon Technology LLC")</f>
        <v>Afracon Technology LLC</v>
      </c>
      <c r="E81" s="25" t="str">
        <f>IFERROR(__xludf.DUMMYFUNCTION("""COMPUTED_VALUE"""),"Noida")</f>
        <v>Noida</v>
      </c>
      <c r="F81" s="25" t="str">
        <f>IFERROR(__xludf.DUMMYFUNCTION("""COMPUTED_VALUE"""),"LinkedIn")</f>
        <v>LinkedIn</v>
      </c>
      <c r="G81" s="25" t="str">
        <f>IFERROR(__xludf.DUMMYFUNCTION("""COMPUTED_VALUE"""),"Neha/Madhvi")</f>
        <v>Neha/Madhvi</v>
      </c>
      <c r="H81" s="26"/>
      <c r="I81" s="25" t="str">
        <f>IFERROR(__xludf.DUMMYFUNCTION("""COMPUTED_VALUE"""),"Wrong number")</f>
        <v>Wrong number</v>
      </c>
      <c r="J81" s="1"/>
      <c r="K81" s="1"/>
      <c r="L81" s="1"/>
      <c r="M81" s="1"/>
      <c r="N81" s="1"/>
      <c r="O81" s="1"/>
      <c r="P81" s="1"/>
      <c r="Q81" s="1"/>
      <c r="R81" s="1"/>
      <c r="S81" s="1"/>
      <c r="T81" s="1"/>
      <c r="U81" s="1"/>
      <c r="V81" s="1"/>
      <c r="W81" s="1"/>
      <c r="X81" s="1"/>
      <c r="Y81" s="1"/>
      <c r="Z81" s="1"/>
    </row>
    <row r="82">
      <c r="A82" s="1"/>
      <c r="B82" s="26">
        <f>IFERROR(__xludf.DUMMYFUNCTION("""COMPUTED_VALUE"""),46137.0)</f>
        <v>46137</v>
      </c>
      <c r="C82" s="25" t="str">
        <f>IFERROR(__xludf.DUMMYFUNCTION("""COMPUTED_VALUE"""),"Tushar Topale")</f>
        <v>Tushar Topale</v>
      </c>
      <c r="D82" s="25" t="str">
        <f>IFERROR(__xludf.DUMMYFUNCTION("""COMPUTED_VALUE"""),"Cloud Counselage Pvt. Ltd.")</f>
        <v>Cloud Counselage Pvt. Ltd.</v>
      </c>
      <c r="E82" s="25" t="str">
        <f>IFERROR(__xludf.DUMMYFUNCTION("""COMPUTED_VALUE"""),"Lower parel")</f>
        <v>Lower parel</v>
      </c>
      <c r="F82" s="25" t="str">
        <f>IFERROR(__xludf.DUMMYFUNCTION("""COMPUTED_VALUE"""),"Meta")</f>
        <v>Meta</v>
      </c>
      <c r="G82" s="25" t="str">
        <f>IFERROR(__xludf.DUMMYFUNCTION("""COMPUTED_VALUE"""),"Shravani")</f>
        <v>Shravani</v>
      </c>
      <c r="H82" s="26"/>
      <c r="I82" s="25" t="str">
        <f>IFERROR(__xludf.DUMMYFUNCTION("""COMPUTED_VALUE"""),"Note: Saniel Sir took this up.")</f>
        <v>Note: Saniel Sir took this up.</v>
      </c>
      <c r="J82" s="1"/>
      <c r="K82" s="1"/>
      <c r="L82" s="1"/>
      <c r="M82" s="1"/>
      <c r="N82" s="1"/>
      <c r="O82" s="1"/>
      <c r="P82" s="1"/>
      <c r="Q82" s="1"/>
      <c r="R82" s="1"/>
      <c r="S82" s="1"/>
      <c r="T82" s="1"/>
      <c r="U82" s="1"/>
      <c r="V82" s="1"/>
      <c r="W82" s="1"/>
      <c r="X82" s="1"/>
      <c r="Y82" s="1"/>
      <c r="Z82" s="1"/>
    </row>
    <row r="83">
      <c r="A83" s="1"/>
      <c r="B83" s="26">
        <f>IFERROR(__xludf.DUMMYFUNCTION("""COMPUTED_VALUE"""),46137.0)</f>
        <v>46137</v>
      </c>
      <c r="C83" s="25" t="str">
        <f>IFERROR(__xludf.DUMMYFUNCTION("""COMPUTED_VALUE"""),"Prof. Abhishek Asthana")</f>
        <v>Prof. Abhishek Asthana</v>
      </c>
      <c r="D83" s="25" t="str">
        <f>IFERROR(__xludf.DUMMYFUNCTION("""COMPUTED_VALUE"""),"AY TASKK CONSULTING LLP")</f>
        <v>AY TASKK CONSULTING LLP</v>
      </c>
      <c r="E83" s="25" t="str">
        <f>IFERROR(__xludf.DUMMYFUNCTION("""COMPUTED_VALUE"""),"Lower Parel")</f>
        <v>Lower Parel</v>
      </c>
      <c r="F83" s="25" t="str">
        <f>IFERROR(__xludf.DUMMYFUNCTION("""COMPUTED_VALUE"""),"LinkedIn")</f>
        <v>LinkedIn</v>
      </c>
      <c r="G83" s="25" t="str">
        <f>IFERROR(__xludf.DUMMYFUNCTION("""COMPUTED_VALUE"""),"Shravni")</f>
        <v>Shravni</v>
      </c>
      <c r="H83" s="26" t="str">
        <f>IFERROR(__xludf.DUMMYFUNCTION("""COMPUTED_VALUE"""),"Hold")</f>
        <v>Hold</v>
      </c>
      <c r="I83" s="25" t="str">
        <f>IFERROR(__xludf.DUMMYFUNCTION("""COMPUTED_VALUE"""),"28th May: Ringing. 23 May: Ringing. 16 May:Ringing, dropped a text. 13: Busy on Call. 11 May: Ringing. 8 May: OS. 6 May: Ringing, dropped him a text. 5 May: Ringing. 2 May: Ringing, dropped a text. 30 April: Ringing, Dropped a text. 28 April: Ringing, Dro"&amp;"pped a text. 27 April: Ringing. 26 April: He need 250 sq.ft Cabin and might visit on Wednesday. ")</f>
        <v>28th May: Ringing. 23 May: Ringing. 16 May:Ringing, dropped a text. 13: Busy on Call. 11 May: Ringing. 8 May: OS. 6 May: Ringing, dropped him a text. 5 May: Ringing. 2 May: Ringing, dropped a text. 30 April: Ringing, Dropped a text. 28 April: Ringing, Dropped a text. 27 April: Ringing. 26 April: He need 250 sq.ft Cabin and might visit on Wednesday. </v>
      </c>
      <c r="J83" s="1"/>
      <c r="K83" s="1"/>
      <c r="L83" s="1"/>
      <c r="M83" s="1"/>
      <c r="N83" s="1"/>
      <c r="O83" s="1"/>
      <c r="P83" s="1"/>
      <c r="Q83" s="1"/>
      <c r="R83" s="1"/>
      <c r="S83" s="1"/>
      <c r="T83" s="1"/>
      <c r="U83" s="1"/>
      <c r="V83" s="1"/>
      <c r="W83" s="1"/>
      <c r="X83" s="1"/>
      <c r="Y83" s="1"/>
      <c r="Z83" s="1"/>
    </row>
    <row r="84">
      <c r="A84" s="1"/>
      <c r="B84" s="26">
        <f>IFERROR(__xludf.DUMMYFUNCTION("""COMPUTED_VALUE"""),46137.0)</f>
        <v>46137</v>
      </c>
      <c r="C84" s="25" t="str">
        <f>IFERROR(__xludf.DUMMYFUNCTION("""COMPUTED_VALUE"""),"Puneet Aggarwal")</f>
        <v>Puneet Aggarwal</v>
      </c>
      <c r="D84" s="25" t="str">
        <f>IFERROR(__xludf.DUMMYFUNCTION("""COMPUTED_VALUE"""),"AI LifeBOT")</f>
        <v>AI LifeBOT</v>
      </c>
      <c r="E84" s="25" t="str">
        <f>IFERROR(__xludf.DUMMYFUNCTION("""COMPUTED_VALUE"""),"Noida")</f>
        <v>Noida</v>
      </c>
      <c r="F84" s="25" t="str">
        <f>IFERROR(__xludf.DUMMYFUNCTION("""COMPUTED_VALUE"""),"LinkedIn")</f>
        <v>LinkedIn</v>
      </c>
      <c r="G84" s="25" t="str">
        <f>IFERROR(__xludf.DUMMYFUNCTION("""COMPUTED_VALUE"""),"Neha/Madhvi")</f>
        <v>Neha/Madhvi</v>
      </c>
      <c r="H84" s="26"/>
      <c r="I84" s="25"/>
      <c r="J84" s="1"/>
      <c r="K84" s="1"/>
      <c r="L84" s="1"/>
      <c r="M84" s="1"/>
      <c r="N84" s="1"/>
      <c r="O84" s="1"/>
      <c r="P84" s="1"/>
      <c r="Q84" s="1"/>
      <c r="R84" s="1"/>
      <c r="S84" s="1"/>
      <c r="T84" s="1"/>
      <c r="U84" s="1"/>
      <c r="V84" s="1"/>
      <c r="W84" s="1"/>
      <c r="X84" s="1"/>
      <c r="Y84" s="1"/>
      <c r="Z84" s="1"/>
    </row>
    <row r="85">
      <c r="A85" s="1"/>
      <c r="B85" s="26">
        <f>IFERROR(__xludf.DUMMYFUNCTION("""COMPUTED_VALUE"""),46135.0)</f>
        <v>46135</v>
      </c>
      <c r="C85" s="25" t="str">
        <f>IFERROR(__xludf.DUMMYFUNCTION("""COMPUTED_VALUE"""),"Ashi Goswami")</f>
        <v>Ashi Goswami</v>
      </c>
      <c r="D85" s="25" t="str">
        <f>IFERROR(__xludf.DUMMYFUNCTION("""COMPUTED_VALUE"""),"Golden Bird Venture")</f>
        <v>Golden Bird Venture</v>
      </c>
      <c r="E85" s="25" t="str">
        <f>IFERROR(__xludf.DUMMYFUNCTION("""COMPUTED_VALUE"""),"Noida")</f>
        <v>Noida</v>
      </c>
      <c r="F85" s="25" t="str">
        <f>IFERROR(__xludf.DUMMYFUNCTION("""COMPUTED_VALUE"""),"LinkedIn")</f>
        <v>LinkedIn</v>
      </c>
      <c r="G85" s="25" t="str">
        <f>IFERROR(__xludf.DUMMYFUNCTION("""COMPUTED_VALUE"""),"Neha/Madhvi")</f>
        <v>Neha/Madhvi</v>
      </c>
      <c r="H85" s="26"/>
      <c r="I85" s="25" t="str">
        <f>IFERROR(__xludf.DUMMYFUNCTION("""COMPUTED_VALUE"""),"Not answering my calls ")</f>
        <v>Not answering my calls </v>
      </c>
      <c r="J85" s="1"/>
      <c r="K85" s="1"/>
      <c r="L85" s="1"/>
      <c r="M85" s="1"/>
      <c r="N85" s="1"/>
      <c r="O85" s="1"/>
      <c r="P85" s="1"/>
      <c r="Q85" s="1"/>
      <c r="R85" s="1"/>
      <c r="S85" s="1"/>
      <c r="T85" s="1"/>
      <c r="U85" s="1"/>
      <c r="V85" s="1"/>
      <c r="W85" s="1"/>
      <c r="X85" s="1"/>
      <c r="Y85" s="1"/>
      <c r="Z85" s="1"/>
    </row>
    <row r="86">
      <c r="A86" s="1"/>
      <c r="B86" s="26">
        <f>IFERROR(__xludf.DUMMYFUNCTION("""COMPUTED_VALUE"""),46133.0)</f>
        <v>46133</v>
      </c>
      <c r="C86" s="25" t="str">
        <f>IFERROR(__xludf.DUMMYFUNCTION("""COMPUTED_VALUE"""),"Hiranmaya Biswas")</f>
        <v>Hiranmaya Biswas</v>
      </c>
      <c r="D86" s="25" t="str">
        <f>IFERROR(__xludf.DUMMYFUNCTION("""COMPUTED_VALUE"""),"PravasX Private Limited")</f>
        <v>PravasX Private Limited</v>
      </c>
      <c r="E86" s="25" t="str">
        <f>IFERROR(__xludf.DUMMYFUNCTION("""COMPUTED_VALUE"""),"Andheri ")</f>
        <v>Andheri </v>
      </c>
      <c r="F86" s="25" t="str">
        <f>IFERROR(__xludf.DUMMYFUNCTION("""COMPUTED_VALUE"""),"Meta")</f>
        <v>Meta</v>
      </c>
      <c r="G86" s="25" t="str">
        <f>IFERROR(__xludf.DUMMYFUNCTION("""COMPUTED_VALUE"""),"Shubham ")</f>
        <v>Shubham </v>
      </c>
      <c r="H86" s="26" t="str">
        <f>IFERROR(__xludf.DUMMYFUNCTION("""COMPUTED_VALUE"""),"Hold")</f>
        <v>Hold</v>
      </c>
      <c r="I86" s="25" t="str">
        <f>IFERROR(__xludf.DUMMYFUNCTION("""COMPUTED_VALUE"""),"02 June: Ringing, Dropped a text 28 May: Ringing, Dropped a text 22 May: Ringing, dropped a text 24 April: Ringing, dropped a msg he replied saying that he is travelling and will be back in Mid of May 22 April: Spoke. This is a pure startup they dont have"&amp;" any office and are looking for a space for 20 PAX. I have shared the Sakinaka Details with him on WP ")</f>
        <v>02 June: Ringing, Dropped a text 28 May: Ringing, Dropped a text 22 May: Ringing, dropped a text 24 April: Ringing, dropped a msg he replied saying that he is travelling and will be back in Mid of May 22 April: Spoke. This is a pure startup they dont have any office and are looking for a space for 20 PAX. I have shared the Sakinaka Details with him on WP </v>
      </c>
      <c r="J86" s="1"/>
      <c r="K86" s="1"/>
      <c r="L86" s="1"/>
      <c r="M86" s="1"/>
      <c r="N86" s="1"/>
      <c r="O86" s="1"/>
      <c r="P86" s="1"/>
      <c r="Q86" s="1"/>
      <c r="R86" s="1"/>
      <c r="S86" s="1"/>
      <c r="T86" s="1"/>
      <c r="U86" s="1"/>
      <c r="V86" s="1"/>
      <c r="W86" s="1"/>
      <c r="X86" s="1"/>
      <c r="Y86" s="1"/>
      <c r="Z86" s="1"/>
    </row>
    <row r="87">
      <c r="A87" s="1"/>
      <c r="B87" s="26">
        <f>IFERROR(__xludf.DUMMYFUNCTION("""COMPUTED_VALUE"""),46133.0)</f>
        <v>46133</v>
      </c>
      <c r="C87" s="25" t="str">
        <f>IFERROR(__xludf.DUMMYFUNCTION("""COMPUTED_VALUE"""),"Vijay Bhasin")</f>
        <v>Vijay Bhasin</v>
      </c>
      <c r="D87" s="25" t="str">
        <f>IFERROR(__xludf.DUMMYFUNCTION("""COMPUTED_VALUE"""),"The Virtuous Group")</f>
        <v>The Virtuous Group</v>
      </c>
      <c r="E87" s="25" t="str">
        <f>IFERROR(__xludf.DUMMYFUNCTION("""COMPUTED_VALUE"""),"Noida")</f>
        <v>Noida</v>
      </c>
      <c r="F87" s="25" t="str">
        <f>IFERROR(__xludf.DUMMYFUNCTION("""COMPUTED_VALUE"""),"LinkedIn")</f>
        <v>LinkedIn</v>
      </c>
      <c r="G87" s="25" t="str">
        <f>IFERROR(__xludf.DUMMYFUNCTION("""COMPUTED_VALUE"""),"Neha/Madhvi")</f>
        <v>Neha/Madhvi</v>
      </c>
      <c r="H87" s="26"/>
      <c r="I87" s="25" t="str">
        <f>IFERROR(__xludf.DUMMYFUNCTION("""COMPUTED_VALUE"""),"Requirement is less only 10-12 seats...they can give 3 years of lock-in and 6 month deposit")</f>
        <v>Requirement is less only 10-12 seats...they can give 3 years of lock-in and 6 month deposit</v>
      </c>
      <c r="J87" s="1"/>
      <c r="K87" s="1"/>
      <c r="L87" s="1"/>
      <c r="M87" s="1"/>
      <c r="N87" s="1"/>
      <c r="O87" s="1"/>
      <c r="P87" s="1"/>
      <c r="Q87" s="1"/>
      <c r="R87" s="1"/>
      <c r="S87" s="1"/>
      <c r="T87" s="1"/>
      <c r="U87" s="1"/>
      <c r="V87" s="1"/>
      <c r="W87" s="1"/>
      <c r="X87" s="1"/>
      <c r="Y87" s="1"/>
      <c r="Z87" s="1"/>
    </row>
    <row r="88">
      <c r="A88" s="1"/>
      <c r="B88" s="26">
        <f>IFERROR(__xludf.DUMMYFUNCTION("""COMPUTED_VALUE"""),46133.0)</f>
        <v>46133</v>
      </c>
      <c r="C88" s="25" t="str">
        <f>IFERROR(__xludf.DUMMYFUNCTION("""COMPUTED_VALUE"""),"Nitin Kumar  Agrawal")</f>
        <v>Nitin Kumar  Agrawal</v>
      </c>
      <c r="D88" s="25" t="str">
        <f>IFERROR(__xludf.DUMMYFUNCTION("""COMPUTED_VALUE"""),"Agrow Essence LLP")</f>
        <v>Agrow Essence LLP</v>
      </c>
      <c r="E88" s="25" t="str">
        <f>IFERROR(__xludf.DUMMYFUNCTION("""COMPUTED_VALUE"""),"Noida")</f>
        <v>Noida</v>
      </c>
      <c r="F88" s="25" t="str">
        <f>IFERROR(__xludf.DUMMYFUNCTION("""COMPUTED_VALUE"""),"LinkedIn")</f>
        <v>LinkedIn</v>
      </c>
      <c r="G88" s="25" t="str">
        <f>IFERROR(__xludf.DUMMYFUNCTION("""COMPUTED_VALUE"""),"Neha/Madhvi")</f>
        <v>Neha/Madhvi</v>
      </c>
      <c r="H88" s="26"/>
      <c r="I88" s="25" t="str">
        <f>IFERROR(__xludf.DUMMYFUNCTION("""COMPUTED_VALUE"""),"they will plan visit soon")</f>
        <v>they will plan visit soon</v>
      </c>
      <c r="J88" s="1"/>
      <c r="K88" s="1"/>
      <c r="L88" s="1"/>
      <c r="M88" s="1"/>
      <c r="N88" s="1"/>
      <c r="O88" s="1"/>
      <c r="P88" s="1"/>
      <c r="Q88" s="1"/>
      <c r="R88" s="1"/>
      <c r="S88" s="1"/>
      <c r="T88" s="1"/>
      <c r="U88" s="1"/>
      <c r="V88" s="1"/>
      <c r="W88" s="1"/>
      <c r="X88" s="1"/>
      <c r="Y88" s="1"/>
      <c r="Z88" s="1"/>
    </row>
    <row r="89">
      <c r="A89" s="1"/>
      <c r="B89" s="26">
        <f>IFERROR(__xludf.DUMMYFUNCTION("""COMPUTED_VALUE"""),46133.0)</f>
        <v>46133</v>
      </c>
      <c r="C89" s="25" t="str">
        <f>IFERROR(__xludf.DUMMYFUNCTION("""COMPUTED_VALUE"""),"Rakesh  Kandwal")</f>
        <v>Rakesh  Kandwal</v>
      </c>
      <c r="D89" s="25" t="str">
        <f>IFERROR(__xludf.DUMMYFUNCTION("""COMPUTED_VALUE"""),"Comscraft Technology Private Limited")</f>
        <v>Comscraft Technology Private Limited</v>
      </c>
      <c r="E89" s="25" t="str">
        <f>IFERROR(__xludf.DUMMYFUNCTION("""COMPUTED_VALUE"""),"Noida")</f>
        <v>Noida</v>
      </c>
      <c r="F89" s="25" t="str">
        <f>IFERROR(__xludf.DUMMYFUNCTION("""COMPUTED_VALUE"""),"LinkedIn")</f>
        <v>LinkedIn</v>
      </c>
      <c r="G89" s="25" t="str">
        <f>IFERROR(__xludf.DUMMYFUNCTION("""COMPUTED_VALUE"""),"Neha/Madhvi")</f>
        <v>Neha/Madhvi</v>
      </c>
      <c r="H89" s="26"/>
      <c r="I89" s="25" t="str">
        <f>IFERROR(__xludf.DUMMYFUNCTION("""COMPUTED_VALUE"""),"Requirement is very less…they only want 2seats")</f>
        <v>Requirement is very less…they only want 2seats</v>
      </c>
      <c r="J89" s="1"/>
      <c r="K89" s="1"/>
      <c r="L89" s="1"/>
      <c r="M89" s="1"/>
      <c r="N89" s="1"/>
      <c r="O89" s="1"/>
      <c r="P89" s="1"/>
      <c r="Q89" s="1"/>
      <c r="R89" s="1"/>
      <c r="S89" s="1"/>
      <c r="T89" s="1"/>
      <c r="U89" s="1"/>
      <c r="V89" s="1"/>
      <c r="W89" s="1"/>
      <c r="X89" s="1"/>
      <c r="Y89" s="1"/>
      <c r="Z89" s="1"/>
    </row>
    <row r="90">
      <c r="A90" s="1"/>
      <c r="B90" s="26">
        <f>IFERROR(__xludf.DUMMYFUNCTION("""COMPUTED_VALUE"""),46132.0)</f>
        <v>46132</v>
      </c>
      <c r="C90" s="25" t="str">
        <f>IFERROR(__xludf.DUMMYFUNCTION("""COMPUTED_VALUE"""),"Sonu  Kumar")</f>
        <v>Sonu  Kumar</v>
      </c>
      <c r="D90" s="25" t="str">
        <f>IFERROR(__xludf.DUMMYFUNCTION("""COMPUTED_VALUE"""),"Not Disclosed")</f>
        <v>Not Disclosed</v>
      </c>
      <c r="E90" s="25" t="str">
        <f>IFERROR(__xludf.DUMMYFUNCTION("""COMPUTED_VALUE"""),"Lower Parel")</f>
        <v>Lower Parel</v>
      </c>
      <c r="F90" s="25" t="str">
        <f>IFERROR(__xludf.DUMMYFUNCTION("""COMPUTED_VALUE"""),"LinkedIn")</f>
        <v>LinkedIn</v>
      </c>
      <c r="G90" s="25" t="str">
        <f>IFERROR(__xludf.DUMMYFUNCTION("""COMPUTED_VALUE"""),"Shravni")</f>
        <v>Shravni</v>
      </c>
      <c r="H90" s="26"/>
      <c r="I90" s="25" t="str">
        <f>IFERROR(__xludf.DUMMYFUNCTION("""COMPUTED_VALUE"""),"20 April: Wrong Number")</f>
        <v>20 April: Wrong Number</v>
      </c>
      <c r="J90" s="1"/>
      <c r="K90" s="1"/>
      <c r="L90" s="1"/>
      <c r="M90" s="1"/>
      <c r="N90" s="1"/>
      <c r="O90" s="1"/>
      <c r="P90" s="1"/>
      <c r="Q90" s="1"/>
      <c r="R90" s="1"/>
      <c r="S90" s="1"/>
      <c r="T90" s="1"/>
      <c r="U90" s="1"/>
      <c r="V90" s="1"/>
      <c r="W90" s="1"/>
      <c r="X90" s="1"/>
      <c r="Y90" s="1"/>
      <c r="Z90" s="1"/>
    </row>
    <row r="91">
      <c r="A91" s="1"/>
      <c r="B91" s="32">
        <f>IFERROR(__xludf.DUMMYFUNCTION("""COMPUTED_VALUE"""),46132.0)</f>
        <v>46132</v>
      </c>
      <c r="C91" s="1" t="str">
        <f>IFERROR(__xludf.DUMMYFUNCTION("""COMPUTED_VALUE"""),"Juhi Tandon")</f>
        <v>Juhi Tandon</v>
      </c>
      <c r="D91" s="1" t="str">
        <f>IFERROR(__xludf.DUMMYFUNCTION("""COMPUTED_VALUE"""),"Maven Workforce Inc.")</f>
        <v>Maven Workforce Inc.</v>
      </c>
      <c r="E91" s="1" t="str">
        <f>IFERROR(__xludf.DUMMYFUNCTION("""COMPUTED_VALUE"""),"Noida")</f>
        <v>Noida</v>
      </c>
      <c r="F91" s="1" t="str">
        <f>IFERROR(__xludf.DUMMYFUNCTION("""COMPUTED_VALUE"""),"LinkedIn")</f>
        <v>LinkedIn</v>
      </c>
      <c r="G91" s="1" t="str">
        <f>IFERROR(__xludf.DUMMYFUNCTION("""COMPUTED_VALUE"""),"Neha/Madhvi")</f>
        <v>Neha/Madhvi</v>
      </c>
      <c r="H91" s="32"/>
      <c r="I91" s="1" t="str">
        <f>IFERROR(__xludf.DUMMYFUNCTION("""COMPUTED_VALUE"""),"Shared tentative numbers with them…Suggest them to visit.")</f>
        <v>Shared tentative numbers with them…Suggest them to visit.</v>
      </c>
      <c r="J91" s="1"/>
      <c r="K91" s="1"/>
      <c r="L91" s="1"/>
      <c r="M91" s="1"/>
      <c r="N91" s="1"/>
      <c r="O91" s="1"/>
      <c r="P91" s="1"/>
      <c r="Q91" s="1"/>
      <c r="R91" s="1"/>
      <c r="S91" s="1"/>
      <c r="T91" s="1"/>
      <c r="U91" s="1"/>
      <c r="V91" s="1"/>
      <c r="W91" s="1"/>
      <c r="X91" s="1"/>
      <c r="Y91" s="1"/>
      <c r="Z91" s="1"/>
    </row>
    <row r="92">
      <c r="A92" s="1"/>
      <c r="B92" s="32">
        <f>IFERROR(__xludf.DUMMYFUNCTION("""COMPUTED_VALUE"""),46131.0)</f>
        <v>46131</v>
      </c>
      <c r="C92" s="1" t="str">
        <f>IFERROR(__xludf.DUMMYFUNCTION("""COMPUTED_VALUE"""),"Vishal  Goria")</f>
        <v>Vishal  Goria</v>
      </c>
      <c r="D92" s="1" t="str">
        <f>IFERROR(__xludf.DUMMYFUNCTION("""COMPUTED_VALUE"""),"Ignitus Limited")</f>
        <v>Ignitus Limited</v>
      </c>
      <c r="E92" s="1" t="str">
        <f>IFERROR(__xludf.DUMMYFUNCTION("""COMPUTED_VALUE"""),"Andheri ")</f>
        <v>Andheri </v>
      </c>
      <c r="F92" s="1" t="str">
        <f>IFERROR(__xludf.DUMMYFUNCTION("""COMPUTED_VALUE"""),"LinkedIn")</f>
        <v>LinkedIn</v>
      </c>
      <c r="G92" s="1" t="str">
        <f>IFERROR(__xludf.DUMMYFUNCTION("""COMPUTED_VALUE"""),"Shubham ")</f>
        <v>Shubham </v>
      </c>
      <c r="H92" s="32" t="str">
        <f>IFERROR(__xludf.DUMMYFUNCTION("""COMPUTED_VALUE"""),"Hold")</f>
        <v>Hold</v>
      </c>
      <c r="I92" s="1" t="str">
        <f>IFERROR(__xludf.DUMMYFUNCTION("""COMPUTED_VALUE"""),"09 June: Ringing, Dropped a text 26 MAy: Harshini spoke, he said the requirement is on hold reachout in next week again 25 May: Ringing, Dropped a text 22 May: Ringing, call forwarded, dropped a text 12 May: Tried calling disconnected the call dropped a t"&amp;"ext 11 May: Ringing, Dropped a text 07 May: Spoke he said he will visit tomorrow 05 May: Spoke He said he will visit on Friday 28 April: Spoke, he said he will visit in next week as he is caught up with other task reachout on Tuesday next week 27 April: S"&amp;"poke. He said he is busy as of now and will try to Visit the Sakinaka option tomorrow  24 April: Ringing, Dropped a Text asking for visit and discuss this with the team 23 April: Spoke he confirmed saying 10 seats but 24/7 operational and he wants pricing"&amp;" he is ok with 6 months lockin. 22 April: Ringing, Dropped a Text 20 April: Spoke, he said he is driving call back in an hour. Spoke he wants a BPO Setup for 10 people, I have pitched Sakinaka at Rs. 8k per seat. Shared the details over WP. Move in time l"&amp;"ine 2-3 months ")</f>
        <v>09 June: Ringing, Dropped a text 26 MAy: Harshini spoke, he said the requirement is on hold reachout in next week again 25 May: Ringing, Dropped a text 22 May: Ringing, call forwarded, dropped a text 12 May: Tried calling disconnected the call dropped a text 11 May: Ringing, Dropped a text 07 May: Spoke he said he will visit tomorrow 05 May: Spoke He said he will visit on Friday 28 April: Spoke, he said he will visit in next week as he is caught up with other task reachout on Tuesday next week 27 April: Spoke. He said he is busy as of now and will try to Visit the Sakinaka option tomorrow  24 April: Ringing, Dropped a Text asking for visit and discuss this with the team 23 April: Spoke he confirmed saying 10 seats but 24/7 operational and he wants pricing he is ok with 6 months lockin. 22 April: Ringing, Dropped a Text 20 April: Spoke, he said he is driving call back in an hour. Spoke he wants a BPO Setup for 10 people, I have pitched Sakinaka at Rs. 8k per seat. Shared the details over WP. Move in time line 2-3 months </v>
      </c>
      <c r="J92" s="1"/>
      <c r="K92" s="1"/>
      <c r="L92" s="1"/>
      <c r="M92" s="1"/>
      <c r="N92" s="1"/>
      <c r="O92" s="1"/>
      <c r="P92" s="1"/>
      <c r="Q92" s="1"/>
      <c r="R92" s="1"/>
      <c r="S92" s="1"/>
      <c r="T92" s="1"/>
      <c r="U92" s="1"/>
      <c r="V92" s="1"/>
      <c r="W92" s="1"/>
      <c r="X92" s="1"/>
      <c r="Y92" s="1"/>
      <c r="Z92" s="1"/>
    </row>
    <row r="93">
      <c r="A93" s="1"/>
      <c r="B93" s="32">
        <f>IFERROR(__xludf.DUMMYFUNCTION("""COMPUTED_VALUE"""),46129.0)</f>
        <v>46129</v>
      </c>
      <c r="C93" s="1" t="str">
        <f>IFERROR(__xludf.DUMMYFUNCTION("""COMPUTED_VALUE"""),"Krishi Patel")</f>
        <v>Krishi Patel</v>
      </c>
      <c r="D93" s="1" t="str">
        <f>IFERROR(__xludf.DUMMYFUNCTION("""COMPUTED_VALUE"""),"Reimagine Studio")</f>
        <v>Reimagine Studio</v>
      </c>
      <c r="E93" s="1" t="str">
        <f>IFERROR(__xludf.DUMMYFUNCTION("""COMPUTED_VALUE"""),"Lower parel")</f>
        <v>Lower parel</v>
      </c>
      <c r="F93" s="1" t="str">
        <f>IFERROR(__xludf.DUMMYFUNCTION("""COMPUTED_VALUE"""),"Meta")</f>
        <v>Meta</v>
      </c>
      <c r="G93" s="1" t="str">
        <f>IFERROR(__xludf.DUMMYFUNCTION("""COMPUTED_VALUE"""),"Shravani")</f>
        <v>Shravani</v>
      </c>
      <c r="H93" s="32" t="str">
        <f>IFERROR(__xludf.DUMMYFUNCTION("""COMPUTED_VALUE"""),"Hold")</f>
        <v>Hold</v>
      </c>
      <c r="I93" s="1" t="str">
        <f>IFERROR(__xludf.DUMMYFUNCTION("""COMPUTED_VALUE"""),"24 April: His requirement is on hold. 20 April: The visit is schedueled on Saturday between 4pm to 5pm. 18 April: He will revert back on Monday. 17 April: He needs a 5 seater cabin.")</f>
        <v>24 April: His requirement is on hold. 20 April: The visit is schedueled on Saturday between 4pm to 5pm. 18 April: He will revert back on Monday. 17 April: He needs a 5 seater cabin.</v>
      </c>
      <c r="J93" s="1"/>
      <c r="K93" s="1"/>
      <c r="L93" s="1"/>
      <c r="M93" s="1"/>
      <c r="N93" s="1"/>
      <c r="O93" s="1"/>
      <c r="P93" s="1"/>
      <c r="Q93" s="1"/>
      <c r="R93" s="1"/>
      <c r="S93" s="1"/>
      <c r="T93" s="1"/>
      <c r="U93" s="1"/>
      <c r="V93" s="1"/>
      <c r="W93" s="1"/>
      <c r="X93" s="1"/>
      <c r="Y93" s="1"/>
      <c r="Z93" s="1"/>
    </row>
    <row r="94">
      <c r="A94" s="1"/>
      <c r="B94" s="32">
        <f>IFERROR(__xludf.DUMMYFUNCTION("""COMPUTED_VALUE"""),46129.0)</f>
        <v>46129</v>
      </c>
      <c r="C94" s="1" t="str">
        <f>IFERROR(__xludf.DUMMYFUNCTION("""COMPUTED_VALUE"""),"Sujay  Patil")</f>
        <v>Sujay  Patil</v>
      </c>
      <c r="D94" s="1" t="str">
        <f>IFERROR(__xludf.DUMMYFUNCTION("""COMPUTED_VALUE"""),"Vastu Housing Finance Corporation ")</f>
        <v>Vastu Housing Finance Corporation </v>
      </c>
      <c r="E94" s="1" t="str">
        <f>IFERROR(__xludf.DUMMYFUNCTION("""COMPUTED_VALUE"""),"Lower Parel")</f>
        <v>Lower Parel</v>
      </c>
      <c r="F94" s="1" t="str">
        <f>IFERROR(__xludf.DUMMYFUNCTION("""COMPUTED_VALUE"""),"LinkedIn")</f>
        <v>LinkedIn</v>
      </c>
      <c r="G94" s="1" t="str">
        <f>IFERROR(__xludf.DUMMYFUNCTION("""COMPUTED_VALUE"""),"Shravni / Saniel")</f>
        <v>Shravni / Saniel</v>
      </c>
      <c r="H94" s="32"/>
      <c r="I94" s="1"/>
      <c r="J94" s="1"/>
      <c r="K94" s="1"/>
      <c r="L94" s="1"/>
      <c r="M94" s="1"/>
      <c r="N94" s="1"/>
      <c r="O94" s="1"/>
      <c r="P94" s="1"/>
      <c r="Q94" s="1"/>
      <c r="R94" s="1"/>
      <c r="S94" s="1"/>
      <c r="T94" s="1"/>
      <c r="U94" s="1"/>
      <c r="V94" s="1"/>
      <c r="W94" s="1"/>
      <c r="X94" s="1"/>
      <c r="Y94" s="1"/>
      <c r="Z94" s="1"/>
    </row>
    <row r="95">
      <c r="A95" s="1"/>
      <c r="B95" s="32">
        <f>IFERROR(__xludf.DUMMYFUNCTION("""COMPUTED_VALUE"""),46126.0)</f>
        <v>46126</v>
      </c>
      <c r="C95" s="1" t="str">
        <f>IFERROR(__xludf.DUMMYFUNCTION("""COMPUTED_VALUE"""),"Mamta Joshi")</f>
        <v>Mamta Joshi</v>
      </c>
      <c r="D95" s="1" t="str">
        <f>IFERROR(__xludf.DUMMYFUNCTION("""COMPUTED_VALUE"""),"Olamor")</f>
        <v>Olamor</v>
      </c>
      <c r="E95" s="1" t="str">
        <f>IFERROR(__xludf.DUMMYFUNCTION("""COMPUTED_VALUE"""),"Lower parel")</f>
        <v>Lower parel</v>
      </c>
      <c r="F95" s="1" t="str">
        <f>IFERROR(__xludf.DUMMYFUNCTION("""COMPUTED_VALUE"""),"Meta")</f>
        <v>Meta</v>
      </c>
      <c r="G95" s="1" t="str">
        <f>IFERROR(__xludf.DUMMYFUNCTION("""COMPUTED_VALUE"""),"Shravani")</f>
        <v>Shravani</v>
      </c>
      <c r="H95" s="32" t="str">
        <f>IFERROR(__xludf.DUMMYFUNCTION("""COMPUTED_VALUE"""),"Hold")</f>
        <v>Hold</v>
      </c>
      <c r="I95" s="1" t="str">
        <f>IFERROR(__xludf.DUMMYFUNCTION("""COMPUTED_VALUE"""),"18 April: She has postponded her plan. 17 April: She will call me after sometime. 16 April: Sent a followup msg. 15 April: She needs a Boad Room for 3 Hours on Monday. for 14 People. Sharing with her the images of the space and commercials.")</f>
        <v>18 April: She has postponded her plan. 17 April: She will call me after sometime. 16 April: Sent a followup msg. 15 April: She needs a Boad Room for 3 Hours on Monday. for 14 People. Sharing with her the images of the space and commercials.</v>
      </c>
      <c r="J95" s="1"/>
      <c r="K95" s="1"/>
      <c r="L95" s="1"/>
      <c r="M95" s="1"/>
      <c r="N95" s="1"/>
      <c r="O95" s="1"/>
      <c r="P95" s="1"/>
      <c r="Q95" s="1"/>
      <c r="R95" s="1"/>
      <c r="S95" s="1"/>
      <c r="T95" s="1"/>
      <c r="U95" s="1"/>
      <c r="V95" s="1"/>
      <c r="W95" s="1"/>
      <c r="X95" s="1"/>
      <c r="Y95" s="1"/>
      <c r="Z95" s="1"/>
    </row>
    <row r="96">
      <c r="A96" s="1"/>
      <c r="B96" s="32">
        <f>IFERROR(__xludf.DUMMYFUNCTION("""COMPUTED_VALUE"""),46125.0)</f>
        <v>46125</v>
      </c>
      <c r="C96" s="1" t="str">
        <f>IFERROR(__xludf.DUMMYFUNCTION("""COMPUTED_VALUE"""),"Aparna Kakodkar Kavatkar")</f>
        <v>Aparna Kakodkar Kavatkar</v>
      </c>
      <c r="D96" s="1" t="str">
        <f>IFERROR(__xludf.DUMMYFUNCTION("""COMPUTED_VALUE"""),"Learn overseas")</f>
        <v>Learn overseas</v>
      </c>
      <c r="E96" s="1" t="str">
        <f>IFERROR(__xludf.DUMMYFUNCTION("""COMPUTED_VALUE"""),"Andheri ")</f>
        <v>Andheri </v>
      </c>
      <c r="F96" s="1" t="str">
        <f>IFERROR(__xludf.DUMMYFUNCTION("""COMPUTED_VALUE"""),"Meta")</f>
        <v>Meta</v>
      </c>
      <c r="G96" s="1" t="str">
        <f>IFERROR(__xludf.DUMMYFUNCTION("""COMPUTED_VALUE"""),"Shubham ")</f>
        <v>Shubham </v>
      </c>
      <c r="H96" s="32" t="str">
        <f>IFERROR(__xludf.DUMMYFUNCTION("""COMPUTED_VALUE"""),"Hold")</f>
        <v>Hold</v>
      </c>
      <c r="I96" s="1" t="str">
        <f>IFERROR(__xludf.DUMMYFUNCTION("""COMPUTED_VALUE"""),"25 May: Spoke, she said she can visit the landmark option on Wed afternoon discussed this internally we cannot take Landmark option for such small requirement \ 06 May: Ringing, dropped a Text spoke she said she is travelling touch base in end of the mont"&amp;"h 04 May: Busy on call Dropped a text 27 April: Ringing, Dropped a text she replied will take this ahead from May 24 April: Disconnected the call, Dropped a text 22 April: Spoke. She wants to Landmark option we will try to merge this requirement with Preb"&amp;"jyot or someone from the Lindedin 20 April: Spoke and tried pitching Landmark she open to see this but will have to discuss this internally 14 April: Spoke looking for 15 seats tried pitching Sakinaka but she doesn't want in Andheri She wants a space in V"&amp;"ileparle. Spoke to Mehul sir he is like we cannot do 15 seats in Vileparle, I am pushing for Sakinaka and Lower parel ")</f>
        <v>25 May: Spoke, she said she can visit the landmark option on Wed afternoon discussed this internally we cannot take Landmark option for such small requirement \ 06 May: Ringing, dropped a Text spoke she said she is travelling touch base in end of the month 04 May: Busy on call Dropped a text 27 April: Ringing, Dropped a text she replied will take this ahead from May 24 April: Disconnected the call, Dropped a text 22 April: Spoke. She wants to Landmark option we will try to merge this requirement with Prebjyot or someone from the Lindedin 20 April: Spoke and tried pitching Landmark she open to see this but will have to discuss this internally 14 April: Spoke looking for 15 seats tried pitching Sakinaka but she doesn't want in Andheri She wants a space in Vileparle. Spoke to Mehul sir he is like we cannot do 15 seats in Vileparle, I am pushing for Sakinaka and Lower parel </v>
      </c>
      <c r="J96" s="1"/>
      <c r="K96" s="1"/>
      <c r="L96" s="1"/>
      <c r="M96" s="1"/>
      <c r="N96" s="1"/>
      <c r="O96" s="1"/>
      <c r="P96" s="1"/>
      <c r="Q96" s="1"/>
      <c r="R96" s="1"/>
      <c r="S96" s="1"/>
      <c r="T96" s="1"/>
      <c r="U96" s="1"/>
      <c r="V96" s="1"/>
      <c r="W96" s="1"/>
      <c r="X96" s="1"/>
      <c r="Y96" s="1"/>
      <c r="Z96" s="1"/>
    </row>
    <row r="97">
      <c r="A97" s="1"/>
      <c r="B97" s="32">
        <f>IFERROR(__xludf.DUMMYFUNCTION("""COMPUTED_VALUE"""),46123.0)</f>
        <v>46123</v>
      </c>
      <c r="C97" s="1" t="str">
        <f>IFERROR(__xludf.DUMMYFUNCTION("""COMPUTED_VALUE"""),"Shashank Kukreja")</f>
        <v>Shashank Kukreja</v>
      </c>
      <c r="D97" s="1" t="str">
        <f>IFERROR(__xludf.DUMMYFUNCTION("""COMPUTED_VALUE"""),"EUROAPI")</f>
        <v>EUROAPI</v>
      </c>
      <c r="E97" s="1" t="str">
        <f>IFERROR(__xludf.DUMMYFUNCTION("""COMPUTED_VALUE"""),"Andheri ")</f>
        <v>Andheri </v>
      </c>
      <c r="F97" s="1" t="str">
        <f>IFERROR(__xludf.DUMMYFUNCTION("""COMPUTED_VALUE"""),"Meta")</f>
        <v>Meta</v>
      </c>
      <c r="G97" s="1" t="str">
        <f>IFERROR(__xludf.DUMMYFUNCTION("""COMPUTED_VALUE"""),"Shubham ")</f>
        <v>Shubham </v>
      </c>
      <c r="H97" s="32" t="str">
        <f>IFERROR(__xludf.DUMMYFUNCTION("""COMPUTED_VALUE"""),"Hold")</f>
        <v>Hold</v>
      </c>
      <c r="I97" s="1" t="str">
        <f>IFERROR(__xludf.DUMMYFUNCTION("""COMPUTED_VALUE"""),"12 May: He said its on hold till June mid  11 May: Spoke he said he will visit tomorrow 06 May: Ringing, Dropped a text 04 April: Ringing, Dropped a Text 30 April: Ringing, dropped a text 29 April: Reachout tomorrow. Dropped a text 22 April: Disconnected "&amp;"the call, dropped a text he replied saying he is travelling and will be back on 30th April, and will try to visit by 1st week of May 20 April: Disconnected the call, Dropped a Text 17 April: Diconnected the call, dropped a text he replied saying travellin"&amp;"g connect next week 15 April: Ringing, Dropped a voice note and text on WP 12 April: Requirement for a 2-seater cabin. Open to any location. Shared details for both Lower Parel and Sakinaka.")</f>
        <v>12 May: He said its on hold till June mid  11 May: Spoke he said he will visit tomorrow 06 May: Ringing, Dropped a text 04 April: Ringing, Dropped a Text 30 April: Ringing, dropped a text 29 April: Reachout tomorrow. Dropped a text 22 April: Disconnected the call, dropped a text he replied saying he is travelling and will be back on 30th April, and will try to visit by 1st week of May 20 April: Disconnected the call, Dropped a Text 17 April: Diconnected the call, dropped a text he replied saying travelling connect next week 15 April: Ringing, Dropped a voice note and text on WP 12 April: Requirement for a 2-seater cabin. Open to any location. Shared details for both Lower Parel and Sakinaka.</v>
      </c>
      <c r="J97" s="1"/>
      <c r="K97" s="1"/>
      <c r="L97" s="1"/>
      <c r="M97" s="1"/>
      <c r="N97" s="1"/>
      <c r="O97" s="1"/>
      <c r="P97" s="1"/>
      <c r="Q97" s="1"/>
      <c r="R97" s="1"/>
      <c r="S97" s="1"/>
      <c r="T97" s="1"/>
      <c r="U97" s="1"/>
      <c r="V97" s="1"/>
      <c r="W97" s="1"/>
      <c r="X97" s="1"/>
      <c r="Y97" s="1"/>
      <c r="Z97" s="1"/>
    </row>
    <row r="98">
      <c r="A98" s="1"/>
      <c r="B98" s="32">
        <f>IFERROR(__xludf.DUMMYFUNCTION("""COMPUTED_VALUE"""),46123.0)</f>
        <v>46123</v>
      </c>
      <c r="C98" s="1" t="str">
        <f>IFERROR(__xludf.DUMMYFUNCTION("""COMPUTED_VALUE"""),"Punit Jain")</f>
        <v>Punit Jain</v>
      </c>
      <c r="D98" s="1" t="str">
        <f>IFERROR(__xludf.DUMMYFUNCTION("""COMPUTED_VALUE"""),"Avp Money Advantage")</f>
        <v>Avp Money Advantage</v>
      </c>
      <c r="E98" s="1" t="str">
        <f>IFERROR(__xludf.DUMMYFUNCTION("""COMPUTED_VALUE"""),"Lower parel")</f>
        <v>Lower parel</v>
      </c>
      <c r="F98" s="1" t="str">
        <f>IFERROR(__xludf.DUMMYFUNCTION("""COMPUTED_VALUE"""),"Meta")</f>
        <v>Meta</v>
      </c>
      <c r="G98" s="1" t="str">
        <f>IFERROR(__xludf.DUMMYFUNCTION("""COMPUTED_VALUE"""),"Shravani")</f>
        <v>Shravani</v>
      </c>
      <c r="H98" s="32" t="str">
        <f>IFERROR(__xludf.DUMMYFUNCTION("""COMPUTED_VALUE"""),"Hold")</f>
        <v>Hold</v>
      </c>
      <c r="I98" s="1" t="str">
        <f>IFERROR(__xludf.DUMMYFUNCTION("""COMPUTED_VALUE"""),"13 May: Reachout to him on 1st June. 15 April: His requirement will be active post 2 months. 14 April: I checked with him about his visit plans, he mentioned that he will let me know soon. 13 April: He needs a 4 seater cabin. He wants to move-in within 2 "&amp;"months. 12 April: Ringing, dropped a text.")</f>
        <v>13 May: Reachout to him on 1st June. 15 April: His requirement will be active post 2 months. 14 April: I checked with him about his visit plans, he mentioned that he will let me know soon. 13 April: He needs a 4 seater cabin. He wants to move-in within 2 months. 12 April: Ringing, dropped a text.</v>
      </c>
      <c r="J98" s="1"/>
      <c r="K98" s="1"/>
      <c r="L98" s="1"/>
      <c r="M98" s="1"/>
      <c r="N98" s="1"/>
      <c r="O98" s="1"/>
      <c r="P98" s="1"/>
      <c r="Q98" s="1"/>
      <c r="R98" s="1"/>
      <c r="S98" s="1"/>
      <c r="T98" s="1"/>
      <c r="U98" s="1"/>
      <c r="V98" s="1"/>
      <c r="W98" s="1"/>
      <c r="X98" s="1"/>
      <c r="Y98" s="1"/>
      <c r="Z98" s="1"/>
    </row>
    <row r="99">
      <c r="A99" s="1"/>
      <c r="B99" s="32">
        <f>IFERROR(__xludf.DUMMYFUNCTION("""COMPUTED_VALUE"""),46122.0)</f>
        <v>46122</v>
      </c>
      <c r="C99" s="1" t="str">
        <f>IFERROR(__xludf.DUMMYFUNCTION("""COMPUTED_VALUE"""),"Tejas Tolia")</f>
        <v>Tejas Tolia</v>
      </c>
      <c r="D99" s="1" t="str">
        <f>IFERROR(__xludf.DUMMYFUNCTION("""COMPUTED_VALUE"""),"Tejas Enterprise/ Jayana Industries")</f>
        <v>Tejas Enterprise/ Jayana Industries</v>
      </c>
      <c r="E99" s="1" t="str">
        <f>IFERROR(__xludf.DUMMYFUNCTION("""COMPUTED_VALUE"""),"Andheri ")</f>
        <v>Andheri </v>
      </c>
      <c r="F99" s="1" t="str">
        <f>IFERROR(__xludf.DUMMYFUNCTION("""COMPUTED_VALUE"""),"Meta")</f>
        <v>Meta</v>
      </c>
      <c r="G99" s="1" t="str">
        <f>IFERROR(__xludf.DUMMYFUNCTION("""COMPUTED_VALUE"""),"Shubham ")</f>
        <v>Shubham </v>
      </c>
      <c r="H99" s="32" t="str">
        <f>IFERROR(__xludf.DUMMYFUNCTION("""COMPUTED_VALUE"""),"Hold")</f>
        <v>Hold</v>
      </c>
      <c r="I99" s="1" t="str">
        <f>IFERROR(__xludf.DUMMYFUNCTION("""COMPUTED_VALUE"""),"02 June: Ringing, dropped a text 28 May: Spoke he said busy call back later 09 May: Ringing, Dropped a text 28 April: Ringing, Dropped a text 15 April: Ringing, Dropped a text 04 April: Busy on call, dropped a text he called back saying the requirement is"&amp;" on hold its management decision 29 April: Ringing, dropped a text 27 April: Spoke he said was busy coundn't go through the details which was shared on WP will check by tomorrow and let us know 24 April: Ringing, Dropped a text 22 April: Spoke he said sak"&amp;"inaka wont work so then I pushed him on Landmark, he said will discuss and get back 20 April: Ringing, Droppped aText 17 April: Spoke, and tried pushing for lower parel and sakinaka both he said wont work discuss this12 Apirl: Requirement for 15 seats, 3 "&amp;"cabins, and 1 conference room. Pitched Crescent Solitaire but not interested in Sakinaka location, Preference is strictly between Western Express Highway to Chakala. Also checked for Lower Parel, but he declined Discuss this10 April: Busy on call, dropped"&amp;" a text ")</f>
        <v>02 June: Ringing, dropped a text 28 May: Spoke he said busy call back later 09 May: Ringing, Dropped a text 28 April: Ringing, Dropped a text 15 April: Ringing, Dropped a text 04 April: Busy on call, dropped a text he called back saying the requirement is on hold its management decision 29 April: Ringing, dropped a text 27 April: Spoke he said was busy coundn't go through the details which was shared on WP will check by tomorrow and let us know 24 April: Ringing, Dropped a text 22 April: Spoke he said sakinaka wont work so then I pushed him on Landmark, he said will discuss and get back 20 April: Ringing, Droppped aText 17 April: Spoke, and tried pushing for lower parel and sakinaka both he said wont work discuss this12 Apirl: Requirement for 15 seats, 3 cabins, and 1 conference room. Pitched Crescent Solitaire but not interested in Sakinaka location, Preference is strictly between Western Express Highway to Chakala. Also checked for Lower Parel, but he declined Discuss this10 April: Busy on call, dropped a text </v>
      </c>
      <c r="J99" s="1"/>
      <c r="K99" s="1"/>
      <c r="L99" s="1"/>
      <c r="M99" s="1"/>
      <c r="N99" s="1"/>
      <c r="O99" s="1"/>
      <c r="P99" s="1"/>
      <c r="Q99" s="1"/>
      <c r="R99" s="1"/>
      <c r="S99" s="1"/>
      <c r="T99" s="1"/>
      <c r="U99" s="1"/>
      <c r="V99" s="1"/>
      <c r="W99" s="1"/>
      <c r="X99" s="1"/>
      <c r="Y99" s="1"/>
      <c r="Z99" s="1"/>
    </row>
    <row r="100">
      <c r="A100" s="1"/>
      <c r="B100" s="32">
        <f>IFERROR(__xludf.DUMMYFUNCTION("""COMPUTED_VALUE"""),46069.0)</f>
        <v>46069</v>
      </c>
      <c r="C100" s="1" t="str">
        <f>IFERROR(__xludf.DUMMYFUNCTION("""COMPUTED_VALUE"""),"Devang Thakkar ")</f>
        <v>Devang Thakkar </v>
      </c>
      <c r="D100" s="1" t="str">
        <f>IFERROR(__xludf.DUMMYFUNCTION("""COMPUTED_VALUE"""),"Metcraft Steel Pvt LTD ")</f>
        <v>Metcraft Steel Pvt LTD </v>
      </c>
      <c r="E100" s="1" t="str">
        <f>IFERROR(__xludf.DUMMYFUNCTION("""COMPUTED_VALUE"""),"Andheri")</f>
        <v>Andheri</v>
      </c>
      <c r="F100" s="1" t="str">
        <f>IFERROR(__xludf.DUMMYFUNCTION("""COMPUTED_VALUE"""),"Andheri ")</f>
        <v>Andheri </v>
      </c>
      <c r="G100" s="1" t="str">
        <f>IFERROR(__xludf.DUMMYFUNCTION("""COMPUTED_VALUE"""),"Shubham ")</f>
        <v>Shubham </v>
      </c>
      <c r="H100" s="32" t="str">
        <f>IFERROR(__xludf.DUMMYFUNCTION("""COMPUTED_VALUE"""),"Hold")</f>
        <v>Hold</v>
      </c>
      <c r="I100" s="1" t="str">
        <f>IFERROR(__xludf.DUMMYFUNCTION("""COMPUTED_VALUE"""),"06 March: He said the requirement is on hold due to budgeting issue internally 04 March: Didn't Connect, Dropped a text  27 Feb: Ringing, dropped a Text 25 Feb: He has not checked the details as he was travelling and will check tomorrow and revert 20 Feb:"&amp;" He said Whatsapp me whatever inventeries we have expect for Sakinaka as there is lot of traffic, I have shared Landmark and Kanakia Wallstreet 17 Feb: Ringing, Dropped a text 16 Feb: Spoke he said call tomorrow, he is caught up today ")</f>
        <v>06 March: He said the requirement is on hold due to budgeting issue internally 04 March: Didn't Connect, Dropped a text  27 Feb: Ringing, dropped a Text 25 Feb: He has not checked the details as he was travelling and will check tomorrow and revert 20 Feb: He said Whatsapp me whatever inventeries we have expect for Sakinaka as there is lot of traffic, I have shared Landmark and Kanakia Wallstreet 17 Feb: Ringing, Dropped a text 16 Feb: Spoke he said call tomorrow, he is caught up today </v>
      </c>
      <c r="J100" s="1"/>
      <c r="K100" s="1"/>
      <c r="L100" s="1"/>
      <c r="M100" s="1"/>
      <c r="N100" s="1"/>
      <c r="O100" s="1"/>
      <c r="P100" s="1"/>
      <c r="Q100" s="1"/>
      <c r="R100" s="1"/>
      <c r="S100" s="1"/>
      <c r="T100" s="1"/>
      <c r="U100" s="1"/>
      <c r="V100" s="1"/>
      <c r="W100" s="1"/>
      <c r="X100" s="1"/>
      <c r="Y100" s="1"/>
      <c r="Z100" s="1"/>
    </row>
    <row r="101">
      <c r="A101" s="1"/>
      <c r="B101" s="32">
        <f>IFERROR(__xludf.DUMMYFUNCTION("""COMPUTED_VALUE"""),46069.0)</f>
        <v>46069</v>
      </c>
      <c r="C101" s="1" t="str">
        <f>IFERROR(__xludf.DUMMYFUNCTION("""COMPUTED_VALUE"""),"Premal  Gandhi")</f>
        <v>Premal  Gandhi</v>
      </c>
      <c r="D101" s="1" t="str">
        <f>IFERROR(__xludf.DUMMYFUNCTION("""COMPUTED_VALUE"""),"PGS Associates")</f>
        <v>PGS Associates</v>
      </c>
      <c r="E101" s="1" t="str">
        <f>IFERROR(__xludf.DUMMYFUNCTION("""COMPUTED_VALUE"""),"Lower Parel")</f>
        <v>Lower Parel</v>
      </c>
      <c r="F101" s="1" t="str">
        <f>IFERROR(__xludf.DUMMYFUNCTION("""COMPUTED_VALUE"""),"Lower parel")</f>
        <v>Lower parel</v>
      </c>
      <c r="G101" s="1" t="str">
        <f>IFERROR(__xludf.DUMMYFUNCTION("""COMPUTED_VALUE"""),"Shravani")</f>
        <v>Shravani</v>
      </c>
      <c r="H101" s="32" t="str">
        <f>IFERROR(__xludf.DUMMYFUNCTION("""COMPUTED_VALUE"""),"Hold")</f>
        <v>Hold</v>
      </c>
      <c r="I101" s="1" t="str">
        <f>IFERROR(__xludf.DUMMYFUNCTION("""COMPUTED_VALUE"""),"20 Feb: He has not still finalised whether he wants to move out from his current office. 18 Feb: He is currently into a convetional office and would like to the commercials first before visiting. 16 Feb: Ringing")</f>
        <v>20 Feb: He has not still finalised whether he wants to move out from his current office. 18 Feb: He is currently into a convetional office and would like to the commercials first before visiting. 16 Feb: Ringing</v>
      </c>
      <c r="J101" s="1"/>
      <c r="K101" s="1"/>
      <c r="L101" s="1"/>
      <c r="M101" s="1"/>
      <c r="N101" s="1"/>
      <c r="O101" s="1"/>
      <c r="P101" s="1"/>
      <c r="Q101" s="1"/>
      <c r="R101" s="1"/>
      <c r="S101" s="1"/>
      <c r="T101" s="1"/>
      <c r="U101" s="1"/>
      <c r="V101" s="1"/>
      <c r="W101" s="1"/>
      <c r="X101" s="1"/>
      <c r="Y101" s="1"/>
      <c r="Z101" s="1"/>
    </row>
    <row r="102">
      <c r="A102" s="1"/>
      <c r="B102" s="32">
        <f>IFERROR(__xludf.DUMMYFUNCTION("""COMPUTED_VALUE"""),46066.0)</f>
        <v>46066</v>
      </c>
      <c r="C102" s="1" t="str">
        <f>IFERROR(__xludf.DUMMYFUNCTION("""COMPUTED_VALUE"""),"Raj Impex")</f>
        <v>Raj Impex</v>
      </c>
      <c r="D102" s="1"/>
      <c r="E102" s="1" t="str">
        <f>IFERROR(__xludf.DUMMYFUNCTION("""COMPUTED_VALUE"""),"Andheri")</f>
        <v>Andheri</v>
      </c>
      <c r="F102" s="1" t="str">
        <f>IFERROR(__xludf.DUMMYFUNCTION("""COMPUTED_VALUE"""),"Andheri ")</f>
        <v>Andheri </v>
      </c>
      <c r="G102" s="1" t="str">
        <f>IFERROR(__xludf.DUMMYFUNCTION("""COMPUTED_VALUE"""),"Shubham ")</f>
        <v>Shubham </v>
      </c>
      <c r="H102" s="32" t="str">
        <f>IFERROR(__xludf.DUMMYFUNCTION("""COMPUTED_VALUE"""),"Hold")</f>
        <v>Hold</v>
      </c>
      <c r="I102" s="1" t="str">
        <f>IFERROR(__xludf.DUMMYFUNCTION("""COMPUTED_VALUE"""),"04 March: Ringing, dropped a text he replied saying currently the requirement is on hold 27 Feb: Switched off, Dropped a Message 25 feb: He asked to whatsapp currently in a meeting 19 feb: Ringing Dropped a text. He recalled me and has a requirement of 1 "&amp;"seat I have shared the details over wp and pitched Sakinaka 17 Feb: Ringing, dropped a text 13 Feb: Ringing, dropped a text. ")</f>
        <v>04 March: Ringing, dropped a text he replied saying currently the requirement is on hold 27 Feb: Switched off, Dropped a Message 25 feb: He asked to whatsapp currently in a meeting 19 feb: Ringing Dropped a text. He recalled me and has a requirement of 1 seat I have shared the details over wp and pitched Sakinaka 17 Feb: Ringing, dropped a text 13 Feb: Ringing, dropped a text. </v>
      </c>
      <c r="J102" s="1"/>
      <c r="K102" s="1"/>
      <c r="L102" s="1"/>
      <c r="M102" s="1"/>
      <c r="N102" s="1"/>
      <c r="O102" s="1"/>
      <c r="P102" s="1"/>
      <c r="Q102" s="1"/>
      <c r="R102" s="1"/>
      <c r="S102" s="1"/>
      <c r="T102" s="1"/>
      <c r="U102" s="1"/>
      <c r="V102" s="1"/>
      <c r="W102" s="1"/>
      <c r="X102" s="1"/>
      <c r="Y102" s="1"/>
      <c r="Z102" s="1"/>
    </row>
    <row r="103">
      <c r="A103" s="1"/>
      <c r="B103" s="32">
        <f>IFERROR(__xludf.DUMMYFUNCTION("""COMPUTED_VALUE"""),46064.0)</f>
        <v>46064</v>
      </c>
      <c r="C103" s="1" t="str">
        <f>IFERROR(__xludf.DUMMYFUNCTION("""COMPUTED_VALUE"""),"Vikas Tarekar")</f>
        <v>Vikas Tarekar</v>
      </c>
      <c r="D103" s="1" t="str">
        <f>IFERROR(__xludf.DUMMYFUNCTION("""COMPUTED_VALUE"""),"Urban Corp Bank")</f>
        <v>Urban Corp Bank</v>
      </c>
      <c r="E103" s="1" t="str">
        <f>IFERROR(__xludf.DUMMYFUNCTION("""COMPUTED_VALUE"""),"Andheri")</f>
        <v>Andheri</v>
      </c>
      <c r="F103" s="1" t="str">
        <f>IFERROR(__xludf.DUMMYFUNCTION("""COMPUTED_VALUE"""),"Andheri ")</f>
        <v>Andheri </v>
      </c>
      <c r="G103" s="1" t="str">
        <f>IFERROR(__xludf.DUMMYFUNCTION("""COMPUTED_VALUE"""),"Shubham ")</f>
        <v>Shubham </v>
      </c>
      <c r="H103" s="32" t="str">
        <f>IFERROR(__xludf.DUMMYFUNCTION("""COMPUTED_VALUE"""),"Hold")</f>
        <v>Hold</v>
      </c>
      <c r="I103" s="1" t="str">
        <f>IFERROR(__xludf.DUMMYFUNCTION("""COMPUTED_VALUE"""),"09 March : As per Last discussion with Mehul sir they Might not be our client because they need their own office as per RBI Guidelines 07 March: Ringing, Dropped a message by Mehul Sir 05 March: Mehul Sir Tried calling him didn't Answer will call again 26"&amp;" Feb: Mehul sir spoke he said Will resume on 5th March  25 Feb: Followup mail Sent 9 Feb: Ringing, dropped a Text 16 Feb: Layout and commercial offer sent 12 Feb: Visit done, layout and commercials to be shared")</f>
        <v>09 March : As per Last discussion with Mehul sir they Might not be our client because they need their own office as per RBI Guidelines 07 March: Ringing, Dropped a message by Mehul Sir 05 March: Mehul Sir Tried calling him didn't Answer will call again 26 Feb: Mehul sir spoke he said Will resume on 5th March  25 Feb: Followup mail Sent 9 Feb: Ringing, dropped a Text 16 Feb: Layout and commercial offer sent 12 Feb: Visit done, layout and commercials to be shared</v>
      </c>
      <c r="J103" s="1"/>
      <c r="K103" s="1"/>
      <c r="L103" s="1"/>
      <c r="M103" s="1"/>
      <c r="N103" s="1"/>
      <c r="O103" s="1"/>
      <c r="P103" s="1"/>
      <c r="Q103" s="1"/>
      <c r="R103" s="1"/>
      <c r="S103" s="1"/>
      <c r="T103" s="1"/>
      <c r="U103" s="1"/>
      <c r="V103" s="1"/>
      <c r="W103" s="1"/>
      <c r="X103" s="1"/>
      <c r="Y103" s="1"/>
      <c r="Z103" s="1"/>
    </row>
    <row r="104">
      <c r="A104" s="1"/>
      <c r="B104" s="32">
        <f>IFERROR(__xludf.DUMMYFUNCTION("""COMPUTED_VALUE"""),46062.0)</f>
        <v>46062</v>
      </c>
      <c r="C104" s="1" t="str">
        <f>IFERROR(__xludf.DUMMYFUNCTION("""COMPUTED_VALUE"""),"Pradeep Sawant")</f>
        <v>Pradeep Sawant</v>
      </c>
      <c r="D104" s="1" t="str">
        <f>IFERROR(__xludf.DUMMYFUNCTION("""COMPUTED_VALUE"""),"Ginger Hotels")</f>
        <v>Ginger Hotels</v>
      </c>
      <c r="E104" s="1" t="str">
        <f>IFERROR(__xludf.DUMMYFUNCTION("""COMPUTED_VALUE"""),"Andheri")</f>
        <v>Andheri</v>
      </c>
      <c r="F104" s="1" t="str">
        <f>IFERROR(__xludf.DUMMYFUNCTION("""COMPUTED_VALUE"""),"Andheri ")</f>
        <v>Andheri </v>
      </c>
      <c r="G104" s="1" t="str">
        <f>IFERROR(__xludf.DUMMYFUNCTION("""COMPUTED_VALUE"""),"Shubham ")</f>
        <v>Shubham </v>
      </c>
      <c r="H104" s="32" t="str">
        <f>IFERROR(__xludf.DUMMYFUNCTION("""COMPUTED_VALUE"""),"Hold")</f>
        <v>Hold</v>
      </c>
      <c r="I104" s="1" t="str">
        <f>IFERROR(__xludf.DUMMYFUNCTION("""COMPUTED_VALUE"""),"27 Feb: Spoke. He said the requirment is hold due to System Migration and will resume in April connect then 25 Feb: Ringing, Dropped a Text 20 feb: Ringing, dropped a text He replied saying he is out for a seminar and will return on monday Reach out then."&amp;"19 Feb: Ringing Msg dropped. 17th Feb: Ringing, dropped a text 16 feb: Spoke. He said he is looking for 30 seats in Andheri and I have proposed the space of sakinaka over mail (Pushing for Visit) he said he will check and let us know by weekend becuase hi"&amp;"s boss is travelling 9 Feb: Called but no answer")</f>
        <v>27 Feb: Spoke. He said the requirment is hold due to System Migration and will resume in April connect then 25 Feb: Ringing, Dropped a Text 20 feb: Ringing, dropped a text He replied saying he is out for a seminar and will return on monday Reach out then.19 Feb: Ringing Msg dropped. 17th Feb: Ringing, dropped a text 16 feb: Spoke. He said he is looking for 30 seats in Andheri and I have proposed the space of sakinaka over mail (Pushing for Visit) he said he will check and let us know by weekend becuase his boss is travelling 9 Feb: Called but no answer</v>
      </c>
      <c r="J104" s="1"/>
      <c r="K104" s="1"/>
      <c r="L104" s="1"/>
      <c r="M104" s="1"/>
      <c r="N104" s="1"/>
      <c r="O104" s="1"/>
      <c r="P104" s="1"/>
      <c r="Q104" s="1"/>
      <c r="R104" s="1"/>
      <c r="S104" s="1"/>
      <c r="T104" s="1"/>
      <c r="U104" s="1"/>
      <c r="V104" s="1"/>
      <c r="W104" s="1"/>
      <c r="X104" s="1"/>
      <c r="Y104" s="1"/>
      <c r="Z104" s="1"/>
    </row>
    <row r="105">
      <c r="A105" s="1"/>
      <c r="B105" s="32">
        <f>IFERROR(__xludf.DUMMYFUNCTION("""COMPUTED_VALUE"""),46062.0)</f>
        <v>46062</v>
      </c>
      <c r="C105" s="1" t="str">
        <f>IFERROR(__xludf.DUMMYFUNCTION("""COMPUTED_VALUE"""),"Sagar Nazirkar")</f>
        <v>Sagar Nazirkar</v>
      </c>
      <c r="D105" s="1" t="str">
        <f>IFERROR(__xludf.DUMMYFUNCTION("""COMPUTED_VALUE"""),"SMAIPL")</f>
        <v>SMAIPL</v>
      </c>
      <c r="E105" s="1" t="str">
        <f>IFERROR(__xludf.DUMMYFUNCTION("""COMPUTED_VALUE"""),"Lower Parel")</f>
        <v>Lower Parel</v>
      </c>
      <c r="F105" s="1" t="str">
        <f>IFERROR(__xludf.DUMMYFUNCTION("""COMPUTED_VALUE"""),"Lower parel")</f>
        <v>Lower parel</v>
      </c>
      <c r="G105" s="1" t="str">
        <f>IFERROR(__xludf.DUMMYFUNCTION("""COMPUTED_VALUE"""),"Shravani")</f>
        <v>Shravani</v>
      </c>
      <c r="H105" s="32"/>
      <c r="I105" s="1" t="str">
        <f>IFERROR(__xludf.DUMMYFUNCTION("""COMPUTED_VALUE"""),"9 Feb: 25 seats in Pune, 2 cabin, 1 conference, 3 to 4 cubicles, 25 workstations. Baner, kothrud and other outer areas. client was not aware /  interested in MOS. Client has connected with a prospected property.")</f>
        <v>9 Feb: 25 seats in Pune, 2 cabin, 1 conference, 3 to 4 cubicles, 25 workstations. Baner, kothrud and other outer areas. client was not aware /  interested in MOS. Client has connected with a prospected property.</v>
      </c>
      <c r="J105" s="1"/>
      <c r="K105" s="1"/>
      <c r="L105" s="1"/>
      <c r="M105" s="1"/>
      <c r="N105" s="1"/>
      <c r="O105" s="1"/>
      <c r="P105" s="1"/>
      <c r="Q105" s="1"/>
      <c r="R105" s="1"/>
      <c r="S105" s="1"/>
      <c r="T105" s="1"/>
      <c r="U105" s="1"/>
      <c r="V105" s="1"/>
      <c r="W105" s="1"/>
      <c r="X105" s="1"/>
      <c r="Y105" s="1"/>
      <c r="Z105" s="1"/>
    </row>
    <row r="106">
      <c r="A106" s="1"/>
      <c r="B106" s="32">
        <f>IFERROR(__xludf.DUMMYFUNCTION("""COMPUTED_VALUE"""),46060.0)</f>
        <v>46060</v>
      </c>
      <c r="C106" s="1" t="str">
        <f>IFERROR(__xludf.DUMMYFUNCTION("""COMPUTED_VALUE"""),"Dhawal  Jain ")</f>
        <v>Dhawal  Jain </v>
      </c>
      <c r="D106" s="1" t="str">
        <f>IFERROR(__xludf.DUMMYFUNCTION("""COMPUTED_VALUE"""),"Nuvama Wealth ")</f>
        <v>Nuvama Wealth </v>
      </c>
      <c r="E106" s="1" t="str">
        <f>IFERROR(__xludf.DUMMYFUNCTION("""COMPUTED_VALUE"""),"Lower Parel")</f>
        <v>Lower Parel</v>
      </c>
      <c r="F106" s="1" t="str">
        <f>IFERROR(__xludf.DUMMYFUNCTION("""COMPUTED_VALUE"""),"Lower parel")</f>
        <v>Lower parel</v>
      </c>
      <c r="G106" s="1" t="str">
        <f>IFERROR(__xludf.DUMMYFUNCTION("""COMPUTED_VALUE"""),"Shubham ")</f>
        <v>Shubham </v>
      </c>
      <c r="H106" s="32" t="str">
        <f>IFERROR(__xludf.DUMMYFUNCTION("""COMPUTED_VALUE"""),"Hold")</f>
        <v>Hold</v>
      </c>
      <c r="I106" s="1" t="str">
        <f>IFERROR(__xludf.DUMMYFUNCTION("""COMPUTED_VALUE"""),"9 March: His requirement is on hold and will be back post April. 21 Feb: Ringing. 18  Feb: Ringing. 16 Feb: Ringing. 13 Feb: He will call me tomorrow as he is occupied with some work. 12 Feb: He is in a meeting will call me back. 7 Feb: Spoke. He said cur"&amp;"rently in meeting drop a text ")</f>
        <v>9 March: His requirement is on hold and will be back post April. 21 Feb: Ringing. 18  Feb: Ringing. 16 Feb: Ringing. 13 Feb: He will call me tomorrow as he is occupied with some work. 12 Feb: He is in a meeting will call me back. 7 Feb: Spoke. He said currently in meeting drop a text </v>
      </c>
      <c r="J106" s="1"/>
      <c r="K106" s="1"/>
      <c r="L106" s="1"/>
      <c r="M106" s="1"/>
      <c r="N106" s="1"/>
      <c r="O106" s="1"/>
      <c r="P106" s="1"/>
      <c r="Q106" s="1"/>
      <c r="R106" s="1"/>
      <c r="S106" s="1"/>
      <c r="T106" s="1"/>
      <c r="U106" s="1"/>
      <c r="V106" s="1"/>
      <c r="W106" s="1"/>
      <c r="X106" s="1"/>
      <c r="Y106" s="1"/>
      <c r="Z106" s="1"/>
    </row>
    <row r="107">
      <c r="A107" s="1"/>
      <c r="B107" s="32">
        <f>IFERROR(__xludf.DUMMYFUNCTION("""COMPUTED_VALUE"""),46057.0)</f>
        <v>46057</v>
      </c>
      <c r="C107" s="1" t="str">
        <f>IFERROR(__xludf.DUMMYFUNCTION("""COMPUTED_VALUE"""),"Farhan  Khan ")</f>
        <v>Farhan  Khan </v>
      </c>
      <c r="D107" s="1" t="str">
        <f>IFERROR(__xludf.DUMMYFUNCTION("""COMPUTED_VALUE"""),"Alchemist Talent &amp; marketing soltuions")</f>
        <v>Alchemist Talent &amp; marketing soltuions</v>
      </c>
      <c r="E107" s="1" t="str">
        <f>IFERROR(__xludf.DUMMYFUNCTION("""COMPUTED_VALUE"""),"Andheri")</f>
        <v>Andheri</v>
      </c>
      <c r="F107" s="1" t="str">
        <f>IFERROR(__xludf.DUMMYFUNCTION("""COMPUTED_VALUE"""),"Andheri ")</f>
        <v>Andheri </v>
      </c>
      <c r="G107" s="1" t="str">
        <f>IFERROR(__xludf.DUMMYFUNCTION("""COMPUTED_VALUE"""),"Shubham ")</f>
        <v>Shubham </v>
      </c>
      <c r="H107" s="32" t="str">
        <f>IFERROR(__xludf.DUMMYFUNCTION("""COMPUTED_VALUE"""),"Hold")</f>
        <v>Hold</v>
      </c>
      <c r="I107" s="1" t="str">
        <f>IFERROR(__xludf.DUMMYFUNCTION("""COMPUTED_VALUE"""),"10 March: Spoke he said the reuriement is still on hold 09th Feb: He said the requirment is currently on hold as per his management descision. I have recorded the same on mail 06th Feb: Tried calling him twice, didn't answer, dropped a Text 05th Feb: Trie"&amp;"d calling didn't answer dropped a Text 04th Feb: Spoke. He shared the requirement brief. I have proposed few options on call as well. Current office is in Kanakia zillion. Looking for options on in Andheri kurla Road. I have shared the introductory deck a"&amp;"nd the first cut inventory options over mail ")</f>
        <v>10 March: Spoke he said the reuriement is still on hold 09th Feb: He said the requirment is currently on hold as per his management descision. I have recorded the same on mail 06th Feb: Tried calling him twice, didn't answer, dropped a Text 05th Feb: Tried calling didn't answer dropped a Text 04th Feb: Spoke. He shared the requirement brief. I have proposed few options on call as well. Current office is in Kanakia zillion. Looking for options on in Andheri kurla Road. I have shared the introductory deck and the first cut inventory options over mail </v>
      </c>
      <c r="J107" s="1"/>
      <c r="K107" s="1"/>
      <c r="L107" s="1"/>
      <c r="M107" s="1"/>
      <c r="N107" s="1"/>
      <c r="O107" s="1"/>
      <c r="P107" s="1"/>
      <c r="Q107" s="1"/>
      <c r="R107" s="1"/>
      <c r="S107" s="1"/>
      <c r="T107" s="1"/>
      <c r="U107" s="1"/>
      <c r="V107" s="1"/>
      <c r="W107" s="1"/>
      <c r="X107" s="1"/>
      <c r="Y107" s="1"/>
      <c r="Z107" s="1"/>
    </row>
    <row r="108">
      <c r="A108" s="1"/>
      <c r="B108" s="32">
        <f>IFERROR(__xludf.DUMMYFUNCTION("""COMPUTED_VALUE"""),46057.0)</f>
        <v>46057</v>
      </c>
      <c r="C108" s="1" t="str">
        <f>IFERROR(__xludf.DUMMYFUNCTION("""COMPUTED_VALUE"""),"Nilima  Biswas")</f>
        <v>Nilima  Biswas</v>
      </c>
      <c r="D108" s="1" t="str">
        <f>IFERROR(__xludf.DUMMYFUNCTION("""COMPUTED_VALUE"""),"ICICI Bank")</f>
        <v>ICICI Bank</v>
      </c>
      <c r="E108" s="1" t="str">
        <f>IFERROR(__xludf.DUMMYFUNCTION("""COMPUTED_VALUE"""),"Lower Parel")</f>
        <v>Lower Parel</v>
      </c>
      <c r="F108" s="1" t="str">
        <f>IFERROR(__xludf.DUMMYFUNCTION("""COMPUTED_VALUE"""),"Lower parel")</f>
        <v>Lower parel</v>
      </c>
      <c r="G108" s="1" t="str">
        <f>IFERROR(__xludf.DUMMYFUNCTION("""COMPUTED_VALUE"""),"Shravani")</f>
        <v>Shravani</v>
      </c>
      <c r="H108" s="32" t="str">
        <f>IFERROR(__xludf.DUMMYFUNCTION("""COMPUTED_VALUE"""),"Hold")</f>
        <v>Hold</v>
      </c>
      <c r="I108" s="1" t="str">
        <f>IFERROR(__xludf.DUMMYFUNCTION("""COMPUTED_VALUE"""),"25 May: Ringing. 21 Feb: She is not looking for a  office currently. 16 Feb: Ringing. 5 Feb: She has asked me to share the details.")</f>
        <v>25 May: Ringing. 21 Feb: She is not looking for a  office currently. 16 Feb: Ringing. 5 Feb: She has asked me to share the details.</v>
      </c>
      <c r="J108" s="1"/>
      <c r="K108" s="1"/>
      <c r="L108" s="1"/>
      <c r="M108" s="1"/>
      <c r="N108" s="1"/>
      <c r="O108" s="1"/>
      <c r="P108" s="1"/>
      <c r="Q108" s="1"/>
      <c r="R108" s="1"/>
      <c r="S108" s="1"/>
      <c r="T108" s="1"/>
      <c r="U108" s="1"/>
      <c r="V108" s="1"/>
      <c r="W108" s="1"/>
      <c r="X108" s="1"/>
      <c r="Y108" s="1"/>
      <c r="Z108" s="1"/>
    </row>
    <row r="109">
      <c r="A109" s="1"/>
      <c r="B109" s="32">
        <f>IFERROR(__xludf.DUMMYFUNCTION("""COMPUTED_VALUE"""),46055.0)</f>
        <v>46055</v>
      </c>
      <c r="C109" s="1" t="str">
        <f>IFERROR(__xludf.DUMMYFUNCTION("""COMPUTED_VALUE"""),"Dipti  Chitale ")</f>
        <v>Dipti  Chitale </v>
      </c>
      <c r="D109" s="1" t="str">
        <f>IFERROR(__xludf.DUMMYFUNCTION("""COMPUTED_VALUE"""),"Mechlai Financial Solutions LTD ")</f>
        <v>Mechlai Financial Solutions LTD </v>
      </c>
      <c r="E109" s="1" t="str">
        <f>IFERROR(__xludf.DUMMYFUNCTION("""COMPUTED_VALUE"""),"Andheri")</f>
        <v>Andheri</v>
      </c>
      <c r="F109" s="1" t="str">
        <f>IFERROR(__xludf.DUMMYFUNCTION("""COMPUTED_VALUE"""),"Andheri ")</f>
        <v>Andheri </v>
      </c>
      <c r="G109" s="1" t="str">
        <f>IFERROR(__xludf.DUMMYFUNCTION("""COMPUTED_VALUE"""),"Shubham ")</f>
        <v>Shubham </v>
      </c>
      <c r="H109" s="32" t="str">
        <f>IFERROR(__xludf.DUMMYFUNCTION("""COMPUTED_VALUE"""),"Hold")</f>
        <v>Hold</v>
      </c>
      <c r="I109" s="1" t="str">
        <f>IFERROR(__xludf.DUMMYFUNCTION("""COMPUTED_VALUE"""),"25 Feb: Spoke to Hemant he said the requirement is currently on Hold and are continuing in Colaba itself also Tried reaching out to Dipti Ma'am she disconnected the call 20 Feb: Dipti disconnected my call and Hemant said will have to check with Dipti ma'a"&amp;"m, I have pitched for as is where is Sakinaka 19 Feb: Tried calling Hemant and Dipti Both didn't answer the call 17 Feb: Ringing, Dropped a text 16th Feb: Spoke to Hemant and dipti both they said their budget is max 3.5 lakhs which is the top that they ca"&amp;"n go upto as we shared the layout for landmark for their requirement as well, discuss this with the team 9th Feb: Shared the inventory on mail and asked Hemant ji to visit he said he is busy and will need the layout first 06th Feb: Spoke. The requirement "&amp;"doesn't fit in the Sakinaka space the option of Landmark over mail and asked team to create mock layout 04th Feb: Mr. Hemant from Admin team Visited the space of sakinaka. Liked the space we have to give mock layouts as per the rquirement brief 02nd Feb: "&amp;"Tried calling didn't answer the call, will call aain in sometime. Dropped a Text over Wp. Spoke she has asked me to share the details of Sakinaka and landmark. ")</f>
        <v>25 Feb: Spoke to Hemant he said the requirement is currently on Hold and are continuing in Colaba itself also Tried reaching out to Dipti Ma'am she disconnected the call 20 Feb: Dipti disconnected my call and Hemant said will have to check with Dipti ma'am, I have pitched for as is where is Sakinaka 19 Feb: Tried calling Hemant and Dipti Both didn't answer the call 17 Feb: Ringing, Dropped a text 16th Feb: Spoke to Hemant and dipti both they said their budget is max 3.5 lakhs which is the top that they can go upto as we shared the layout for landmark for their requirement as well, discuss this with the team 9th Feb: Shared the inventory on mail and asked Hemant ji to visit he said he is busy and will need the layout first 06th Feb: Spoke. The requirement doesn't fit in the Sakinaka space the option of Landmark over mail and asked team to create mock layout 04th Feb: Mr. Hemant from Admin team Visited the space of sakinaka. Liked the space we have to give mock layouts as per the rquirement brief 02nd Feb: Tried calling didn't answer the call, will call aain in sometime. Dropped a Text over Wp. Spoke she has asked me to share the details of Sakinaka and landmark. </v>
      </c>
      <c r="J109" s="1"/>
      <c r="K109" s="1"/>
      <c r="L109" s="1"/>
      <c r="M109" s="1"/>
      <c r="N109" s="1"/>
      <c r="O109" s="1"/>
      <c r="P109" s="1"/>
      <c r="Q109" s="1"/>
      <c r="R109" s="1"/>
      <c r="S109" s="1"/>
      <c r="T109" s="1"/>
      <c r="U109" s="1"/>
      <c r="V109" s="1"/>
      <c r="W109" s="1"/>
      <c r="X109" s="1"/>
      <c r="Y109" s="1"/>
      <c r="Z109" s="1"/>
    </row>
    <row r="110">
      <c r="A110" s="1"/>
      <c r="B110" s="32">
        <f>IFERROR(__xludf.DUMMYFUNCTION("""COMPUTED_VALUE"""),46055.0)</f>
        <v>46055</v>
      </c>
      <c r="C110" s="1" t="str">
        <f>IFERROR(__xludf.DUMMYFUNCTION("""COMPUTED_VALUE"""),"Sarth Aaradhye")</f>
        <v>Sarth Aaradhye</v>
      </c>
      <c r="D110" s="1" t="str">
        <f>IFERROR(__xludf.DUMMYFUNCTION("""COMPUTED_VALUE"""),"Aradhye Tech")</f>
        <v>Aradhye Tech</v>
      </c>
      <c r="E110" s="1" t="str">
        <f>IFERROR(__xludf.DUMMYFUNCTION("""COMPUTED_VALUE"""),"Lower Parel")</f>
        <v>Lower Parel</v>
      </c>
      <c r="F110" s="1" t="str">
        <f>IFERROR(__xludf.DUMMYFUNCTION("""COMPUTED_VALUE"""),"Lower parel")</f>
        <v>Lower parel</v>
      </c>
      <c r="G110" s="1" t="str">
        <f>IFERROR(__xludf.DUMMYFUNCTION("""COMPUTED_VALUE"""),"Shravani")</f>
        <v>Shravani</v>
      </c>
      <c r="H110" s="32" t="str">
        <f>IFERROR(__xludf.DUMMYFUNCTION("""COMPUTED_VALUE"""),"Hold")</f>
        <v>Hold</v>
      </c>
      <c r="I110" s="1" t="str">
        <f>IFERROR(__xludf.DUMMYFUNCTION("""COMPUTED_VALUE"""),"26 May: He will call me back later. 3 Feb: He said he will call me back when he need a office. 2 Feb: He is busy and will call me back after sometime.")</f>
        <v>26 May: He will call me back later. 3 Feb: He said he will call me back when he need a office. 2 Feb: He is busy and will call me back after sometime.</v>
      </c>
      <c r="J110" s="1"/>
      <c r="K110" s="1"/>
      <c r="L110" s="1"/>
      <c r="M110" s="1"/>
      <c r="N110" s="1"/>
      <c r="O110" s="1"/>
      <c r="P110" s="1"/>
      <c r="Q110" s="1"/>
      <c r="R110" s="1"/>
      <c r="S110" s="1"/>
      <c r="T110" s="1"/>
      <c r="U110" s="1"/>
      <c r="V110" s="1"/>
      <c r="W110" s="1"/>
      <c r="X110" s="1"/>
      <c r="Y110" s="1"/>
      <c r="Z110" s="1"/>
    </row>
    <row r="111">
      <c r="A111" s="1"/>
      <c r="B111" s="32">
        <f>IFERROR(__xludf.DUMMYFUNCTION("""COMPUTED_VALUE"""),46055.0)</f>
        <v>46055</v>
      </c>
      <c r="C111" s="1" t="str">
        <f>IFERROR(__xludf.DUMMYFUNCTION("""COMPUTED_VALUE"""),"Jawaharlal Panjabi")</f>
        <v>Jawaharlal Panjabi</v>
      </c>
      <c r="D111" s="1" t="str">
        <f>IFERROR(__xludf.DUMMYFUNCTION("""COMPUTED_VALUE"""),"Reliance International Holdings")</f>
        <v>Reliance International Holdings</v>
      </c>
      <c r="E111" s="1" t="str">
        <f>IFERROR(__xludf.DUMMYFUNCTION("""COMPUTED_VALUE"""),"Lower Parel")</f>
        <v>Lower Parel</v>
      </c>
      <c r="F111" s="1" t="str">
        <f>IFERROR(__xludf.DUMMYFUNCTION("""COMPUTED_VALUE"""),"Lower parel")</f>
        <v>Lower parel</v>
      </c>
      <c r="G111" s="1" t="str">
        <f>IFERROR(__xludf.DUMMYFUNCTION("""COMPUTED_VALUE"""),"Shravani")</f>
        <v>Shravani</v>
      </c>
      <c r="H111" s="32" t="str">
        <f>IFERROR(__xludf.DUMMYFUNCTION("""COMPUTED_VALUE"""),"Hold")</f>
        <v>Hold</v>
      </c>
      <c r="I111" s="1" t="str">
        <f>IFERROR(__xludf.DUMMYFUNCTION("""COMPUTED_VALUE"""),"26 May: Ringing. 16 Feb: Dropped his requirement. 3 Feb: Ringing. 2 Feb: Busy on call.")</f>
        <v>26 May: Ringing. 16 Feb: Dropped his requirement. 3 Feb: Ringing. 2 Feb: Busy on call.</v>
      </c>
      <c r="J111" s="1"/>
      <c r="K111" s="1"/>
      <c r="L111" s="1"/>
      <c r="M111" s="1"/>
      <c r="N111" s="1"/>
      <c r="O111" s="1"/>
      <c r="P111" s="1"/>
      <c r="Q111" s="1"/>
      <c r="R111" s="1"/>
      <c r="S111" s="1"/>
      <c r="T111" s="1"/>
      <c r="U111" s="1"/>
      <c r="V111" s="1"/>
      <c r="W111" s="1"/>
      <c r="X111" s="1"/>
      <c r="Y111" s="1"/>
      <c r="Z111" s="1"/>
    </row>
    <row r="112">
      <c r="A112" s="1"/>
      <c r="B112" s="32">
        <f>IFERROR(__xludf.DUMMYFUNCTION("""COMPUTED_VALUE"""),46052.0)</f>
        <v>46052</v>
      </c>
      <c r="C112" s="1" t="str">
        <f>IFERROR(__xludf.DUMMYFUNCTION("""COMPUTED_VALUE"""),"Dollarose  Vaz")</f>
        <v>Dollarose  Vaz</v>
      </c>
      <c r="D112" s="1" t="str">
        <f>IFERROR(__xludf.DUMMYFUNCTION("""COMPUTED_VALUE""")," Drip Capital")</f>
        <v> Drip Capital</v>
      </c>
      <c r="E112" s="1" t="str">
        <f>IFERROR(__xludf.DUMMYFUNCTION("""COMPUTED_VALUE"""),"Andheri")</f>
        <v>Andheri</v>
      </c>
      <c r="F112" s="1" t="str">
        <f>IFERROR(__xludf.DUMMYFUNCTION("""COMPUTED_VALUE"""),"Andheri ")</f>
        <v>Andheri </v>
      </c>
      <c r="G112" s="1" t="str">
        <f>IFERROR(__xludf.DUMMYFUNCTION("""COMPUTED_VALUE"""),"Shubham ")</f>
        <v>Shubham </v>
      </c>
      <c r="H112" s="32" t="str">
        <f>IFERROR(__xludf.DUMMYFUNCTION("""COMPUTED_VALUE"""),"Hold")</f>
        <v>Hold</v>
      </c>
      <c r="I112" s="1" t="str">
        <f>IFERROR(__xludf.DUMMYFUNCTION("""COMPUTED_VALUE"""),"Requirement on hold 13 MArch: I have replied to mail saying Rs. 18.750 per seat number 12 March: She has reverted with the mail saying her budget is 17-18k Per seat only for SCP Give commercials basis that 10 March: Mehul sir Spoke to her yesterday and ma"&amp;"de a few changes in the layout which will now be made by Diwakar 07 March: We shared the commercial deck with her over mail which she find to costly. 05 March: Met her team and shared the MOM we have to share all the commercials and 3D's and 2D's 02 March"&amp;": Meeting her on Thursday 12pm in their office to showcase our 3D 27 Feb: She Replied saying She will confirm the Meeting on Monday for Wednesday 26 Feb: We have sent Landmark and SCP Layout over mail and Asked for meeting for Monday 17th Feb: Ringing, Te"&amp;"xted her asking can we line up inspection for tomorrow. She Replied on Text saying we can do the site inspection on Friday at 3pm 16th Feb: Ringing, Dropped a text she repied saying need 1-2 days more as the Admin Has just joined back today and will plan "&amp;"visit in 1-2 days 09th Feb: Spoke. She said their Admin Manager is on leave and will return in Next week touch base then  08th Feb: Ringing, Dropped a Text 06th Feb: Ringing, Dropped a text 05th Feb: Sent the intorductory deck and share the options as wel"&amp;"l 04th Feb: She shared me a brief requirement and was caught up wit some work asked me to call tomorrow in the morning 02nd Feb: She said she is in a meeting and will call back in an hour 31st Jan: Tried Calling Didn't answer will drop a text 30th Jan: Sa"&amp;"niel Sir tried calling you but didn't answer")</f>
        <v>Requirement on hold 13 MArch: I have replied to mail saying Rs. 18.750 per seat number 12 March: She has reverted with the mail saying her budget is 17-18k Per seat only for SCP Give commercials basis that 10 March: Mehul sir Spoke to her yesterday and made a few changes in the layout which will now be made by Diwakar 07 March: We shared the commercial deck with her over mail which she find to costly. 05 March: Met her team and shared the MOM we have to share all the commercials and 3D's and 2D's 02 March: Meeting her on Thursday 12pm in their office to showcase our 3D 27 Feb: She Replied saying She will confirm the Meeting on Monday for Wednesday 26 Feb: We have sent Landmark and SCP Layout over mail and Asked for meeting for Monday 17th Feb: Ringing, Texted her asking can we line up inspection for tomorrow. She Replied on Text saying we can do the site inspection on Friday at 3pm 16th Feb: Ringing, Dropped a text she repied saying need 1-2 days more as the Admin Has just joined back today and will plan visit in 1-2 days 09th Feb: Spoke. She said their Admin Manager is on leave and will return in Next week touch base then  08th Feb: Ringing, Dropped a Text 06th Feb: Ringing, Dropped a text 05th Feb: Sent the intorductory deck and share the options as well 04th Feb: She shared me a brief requirement and was caught up wit some work asked me to call tomorrow in the morning 02nd Feb: She said she is in a meeting and will call back in an hour 31st Jan: Tried Calling Didn't answer will drop a text 30th Jan: Saniel Sir tried calling you but didn't answer</v>
      </c>
      <c r="J112" s="1"/>
      <c r="K112" s="1"/>
      <c r="L112" s="1"/>
      <c r="M112" s="1"/>
      <c r="N112" s="1"/>
      <c r="O112" s="1"/>
      <c r="P112" s="1"/>
      <c r="Q112" s="1"/>
      <c r="R112" s="1"/>
      <c r="S112" s="1"/>
      <c r="T112" s="1"/>
      <c r="U112" s="1"/>
      <c r="V112" s="1"/>
      <c r="W112" s="1"/>
      <c r="X112" s="1"/>
      <c r="Y112" s="1"/>
      <c r="Z112" s="1"/>
    </row>
    <row r="113">
      <c r="A113" s="1"/>
      <c r="B113" s="32">
        <f>IFERROR(__xludf.DUMMYFUNCTION("""COMPUTED_VALUE"""),46052.0)</f>
        <v>46052</v>
      </c>
      <c r="C113" s="1" t="str">
        <f>IFERROR(__xludf.DUMMYFUNCTION("""COMPUTED_VALUE"""),"Lahu  Angarkhe")</f>
        <v>Lahu  Angarkhe</v>
      </c>
      <c r="D113" s="1" t="str">
        <f>IFERROR(__xludf.DUMMYFUNCTION("""COMPUTED_VALUE"""),"Insurance")</f>
        <v>Insurance</v>
      </c>
      <c r="E113" s="1" t="str">
        <f>IFERROR(__xludf.DUMMYFUNCTION("""COMPUTED_VALUE"""),"Lower Parel")</f>
        <v>Lower Parel</v>
      </c>
      <c r="F113" s="1" t="str">
        <f>IFERROR(__xludf.DUMMYFUNCTION("""COMPUTED_VALUE"""),"Lower parel")</f>
        <v>Lower parel</v>
      </c>
      <c r="G113" s="1" t="str">
        <f>IFERROR(__xludf.DUMMYFUNCTION("""COMPUTED_VALUE"""),"Shravani")</f>
        <v>Shravani</v>
      </c>
      <c r="H113" s="32"/>
      <c r="I113" s="1" t="str">
        <f>IFERROR(__xludf.DUMMYFUNCTION("""COMPUTED_VALUE"""),"30 Jan: He needs a cabin space in Ghatkopar")</f>
        <v>30 Jan: He needs a cabin space in Ghatkopar</v>
      </c>
      <c r="J113" s="1"/>
      <c r="K113" s="1"/>
      <c r="L113" s="1"/>
      <c r="M113" s="1"/>
      <c r="N113" s="1"/>
      <c r="O113" s="1"/>
      <c r="P113" s="1"/>
      <c r="Q113" s="1"/>
      <c r="R113" s="1"/>
      <c r="S113" s="1"/>
      <c r="T113" s="1"/>
      <c r="U113" s="1"/>
      <c r="V113" s="1"/>
      <c r="W113" s="1"/>
      <c r="X113" s="1"/>
      <c r="Y113" s="1"/>
      <c r="Z113" s="1"/>
    </row>
    <row r="114">
      <c r="A114" s="1"/>
      <c r="B114" s="32">
        <f>IFERROR(__xludf.DUMMYFUNCTION("""COMPUTED_VALUE"""),46051.0)</f>
        <v>46051</v>
      </c>
      <c r="C114" s="1" t="str">
        <f>IFERROR(__xludf.DUMMYFUNCTION("""COMPUTED_VALUE"""),"Supriya  Rao ")</f>
        <v>Supriya  Rao </v>
      </c>
      <c r="D114" s="1" t="str">
        <f>IFERROR(__xludf.DUMMYFUNCTION("""COMPUTED_VALUE"""),"Fundly ")</f>
        <v>Fundly </v>
      </c>
      <c r="E114" s="1" t="str">
        <f>IFERROR(__xludf.DUMMYFUNCTION("""COMPUTED_VALUE"""),"Andheri")</f>
        <v>Andheri</v>
      </c>
      <c r="F114" s="1" t="str">
        <f>IFERROR(__xludf.DUMMYFUNCTION("""COMPUTED_VALUE"""),"Andheri ")</f>
        <v>Andheri </v>
      </c>
      <c r="G114" s="1" t="str">
        <f>IFERROR(__xludf.DUMMYFUNCTION("""COMPUTED_VALUE"""),"Shubham ")</f>
        <v>Shubham </v>
      </c>
      <c r="H114" s="32" t="str">
        <f>IFERROR(__xludf.DUMMYFUNCTION("""COMPUTED_VALUE"""),"Hold")</f>
        <v>Hold</v>
      </c>
      <c r="I114" s="1" t="str">
        <f>IFERROR(__xludf.DUMMYFUNCTION("""COMPUTED_VALUE"""),"15 March: They have hold the Requirement as of now because of War situation 13 March: She said she is in a meeting and the senior is not yet here in Mumbai 10 March: Spoke. She said the Senior Admin has not returned yet touch base on next week 06 March: B"&amp;"usy on another call dropped a text Spoke she said her senior admin is not in town and will be back on Next week touch base then 05 March : Ringing, dropped a text 04 March: Ringing, dropped a text I have sent a followup mail 02 March: Ringing, Dropped a t"&amp;"ext 27 Feb: Ringing, dropped a text. She called back and said the requirement is still live and I strongly Pitched Landmark, she is open to see the unit but their budget is 12k per seat. I have asked for a meeting and she mentioned Touch base on Wednesday"&amp;" 16th Feb: Ringing, dropped a Text 13th Feb: Ringing dropped a text 10th Feb: Ringing Dropped a Text. 06th Feb: Spoke. She said I had check that what will be the commercials for the same, I asked her to visit. She said she will try to visit on Monday 05th"&amp;" Feb: Ringing, dropped a text 04th Feb: Ringing, Didn't answer my call will call tomorrow again 02nd Feb: Spoke. She is occupied today asked me to call tomorow. 30th Jan: Shared the details of Landmark over mail 29th Jan: Spoke. They Need 45 w.s. 2 cabins"&amp;" and 10 seater conference room. I have pitched and shared the images of Landmark. They are currently at wework Marol and are paying Rs. 20,000 per seat and their lease expires on May 31.")</f>
        <v>15 March: They have hold the Requirement as of now because of War situation 13 March: She said she is in a meeting and the senior is not yet here in Mumbai 10 March: Spoke. She said the Senior Admin has not returned yet touch base on next week 06 March: Busy on another call dropped a text Spoke she said her senior admin is not in town and will be back on Next week touch base then 05 March : Ringing, dropped a text 04 March: Ringing, dropped a text I have sent a followup mail 02 March: Ringing, Dropped a text 27 Feb: Ringing, dropped a text. She called back and said the requirement is still live and I strongly Pitched Landmark, she is open to see the unit but their budget is 12k per seat. I have asked for a meeting and she mentioned Touch base on Wednesday 16th Feb: Ringing, dropped a Text 13th Feb: Ringing dropped a text 10th Feb: Ringing Dropped a Text. 06th Feb: Spoke. She said I had check that what will be the commercials for the same, I asked her to visit. She said she will try to visit on Monday 05th Feb: Ringing, dropped a text 04th Feb: Ringing, Didn't answer my call will call tomorrow again 02nd Feb: Spoke. She is occupied today asked me to call tomorow. 30th Jan: Shared the details of Landmark over mail 29th Jan: Spoke. They Need 45 w.s. 2 cabins and 10 seater conference room. I have pitched and shared the images of Landmark. They are currently at wework Marol and are paying Rs. 20,000 per seat and their lease expires on May 31.</v>
      </c>
      <c r="J114" s="1"/>
      <c r="K114" s="1"/>
      <c r="L114" s="1"/>
      <c r="M114" s="1"/>
      <c r="N114" s="1"/>
      <c r="O114" s="1"/>
      <c r="P114" s="1"/>
      <c r="Q114" s="1"/>
      <c r="R114" s="1"/>
      <c r="S114" s="1"/>
      <c r="T114" s="1"/>
      <c r="U114" s="1"/>
      <c r="V114" s="1"/>
      <c r="W114" s="1"/>
      <c r="X114" s="1"/>
      <c r="Y114" s="1"/>
      <c r="Z114" s="1"/>
    </row>
    <row r="115">
      <c r="A115" s="1"/>
      <c r="B115" s="32">
        <f>IFERROR(__xludf.DUMMYFUNCTION("""COMPUTED_VALUE"""),46051.0)</f>
        <v>46051</v>
      </c>
      <c r="C115" s="1" t="str">
        <f>IFERROR(__xludf.DUMMYFUNCTION("""COMPUTED_VALUE"""),"Aniket  Bagve")</f>
        <v>Aniket  Bagve</v>
      </c>
      <c r="D115" s="1" t="str">
        <f>IFERROR(__xludf.DUMMYFUNCTION("""COMPUTED_VALUE"""),"Edelwises capital NBFC")</f>
        <v>Edelwises capital NBFC</v>
      </c>
      <c r="E115" s="1" t="str">
        <f>IFERROR(__xludf.DUMMYFUNCTION("""COMPUTED_VALUE"""),"Andheri")</f>
        <v>Andheri</v>
      </c>
      <c r="F115" s="1" t="str">
        <f>IFERROR(__xludf.DUMMYFUNCTION("""COMPUTED_VALUE"""),"Andheri ")</f>
        <v>Andheri </v>
      </c>
      <c r="G115" s="1" t="str">
        <f>IFERROR(__xludf.DUMMYFUNCTION("""COMPUTED_VALUE"""),"Shubham ")</f>
        <v>Shubham </v>
      </c>
      <c r="H115" s="32" t="str">
        <f>IFERROR(__xludf.DUMMYFUNCTION("""COMPUTED_VALUE"""),"Hold")</f>
        <v>Hold</v>
      </c>
      <c r="I115" s="1" t="str">
        <f>IFERROR(__xludf.DUMMYFUNCTION("""COMPUTED_VALUE"""),"04th Feb: Tried calling him for a follow up, didn't answer dropped a text 02nd Feb: Spoke. Looking for a 4 seater cabin space, Pitced Sakinaka doesn't work for him. Pitched Landmark. Move in timeline 2 months 31st Jan: Tried Calling didn't Answer dropped "&amp;"a Text. 29th Jan: Ringing, Dropped a Voice note and a text over WP")</f>
        <v>04th Feb: Tried calling him for a follow up, didn't answer dropped a text 02nd Feb: Spoke. Looking for a 4 seater cabin space, Pitced Sakinaka doesn't work for him. Pitched Landmark. Move in timeline 2 months 31st Jan: Tried Calling didn't Answer dropped a Text. 29th Jan: Ringing, Dropped a Voice note and a text over WP</v>
      </c>
      <c r="J115" s="1"/>
      <c r="K115" s="1"/>
      <c r="L115" s="1"/>
      <c r="M115" s="1"/>
      <c r="N115" s="1"/>
      <c r="O115" s="1"/>
      <c r="P115" s="1"/>
      <c r="Q115" s="1"/>
      <c r="R115" s="1"/>
      <c r="S115" s="1"/>
      <c r="T115" s="1"/>
      <c r="U115" s="1"/>
      <c r="V115" s="1"/>
      <c r="W115" s="1"/>
      <c r="X115" s="1"/>
      <c r="Y115" s="1"/>
      <c r="Z115" s="1"/>
    </row>
    <row r="116">
      <c r="A116" s="1"/>
      <c r="B116" s="32">
        <f>IFERROR(__xludf.DUMMYFUNCTION("""COMPUTED_VALUE"""),46051.0)</f>
        <v>46051</v>
      </c>
      <c r="C116" s="1" t="str">
        <f>IFERROR(__xludf.DUMMYFUNCTION("""COMPUTED_VALUE"""),"Abhijeet  Morey ")</f>
        <v>Abhijeet  Morey </v>
      </c>
      <c r="D116" s="1" t="str">
        <f>IFERROR(__xludf.DUMMYFUNCTION("""COMPUTED_VALUE"""),"Voltas ")</f>
        <v>Voltas </v>
      </c>
      <c r="E116" s="1" t="str">
        <f>IFERROR(__xludf.DUMMYFUNCTION("""COMPUTED_VALUE"""),"Andheri")</f>
        <v>Andheri</v>
      </c>
      <c r="F116" s="1" t="str">
        <f>IFERROR(__xludf.DUMMYFUNCTION("""COMPUTED_VALUE"""),"Andheri ")</f>
        <v>Andheri </v>
      </c>
      <c r="G116" s="1" t="str">
        <f>IFERROR(__xludf.DUMMYFUNCTION("""COMPUTED_VALUE"""),"Shubham ")</f>
        <v>Shubham </v>
      </c>
      <c r="H116" s="32" t="str">
        <f>IFERROR(__xludf.DUMMYFUNCTION("""COMPUTED_VALUE"""),"Hold")</f>
        <v>Hold</v>
      </c>
      <c r="I116" s="1" t="str">
        <f>IFERROR(__xludf.DUMMYFUNCTION("""COMPUTED_VALUE"""),"10th March: Ringing, dropped a text 06th Feb: Spoke. He said currently the requirement is on hold 04th Feb: Ringing, Dropped a text 02nd Feb: Ringing. Dropped a Text  31st Jan: Ringing Dropped a Text 29th Jan: Busy on call. Dropped a Text")</f>
        <v>10th March: Ringing, dropped a text 06th Feb: Spoke. He said currently the requirement is on hold 04th Feb: Ringing, Dropped a text 02nd Feb: Ringing. Dropped a Text  31st Jan: Ringing Dropped a Text 29th Jan: Busy on call. Dropped a Text</v>
      </c>
      <c r="J116" s="1"/>
      <c r="K116" s="1"/>
      <c r="L116" s="1"/>
      <c r="M116" s="1"/>
      <c r="N116" s="1"/>
      <c r="O116" s="1"/>
      <c r="P116" s="1"/>
      <c r="Q116" s="1"/>
      <c r="R116" s="1"/>
      <c r="S116" s="1"/>
      <c r="T116" s="1"/>
      <c r="U116" s="1"/>
      <c r="V116" s="1"/>
      <c r="W116" s="1"/>
      <c r="X116" s="1"/>
      <c r="Y116" s="1"/>
      <c r="Z116" s="1"/>
    </row>
    <row r="117">
      <c r="A117" s="1"/>
      <c r="B117" s="32">
        <f>IFERROR(__xludf.DUMMYFUNCTION("""COMPUTED_VALUE"""),46051.0)</f>
        <v>46051</v>
      </c>
      <c r="C117" s="1" t="str">
        <f>IFERROR(__xludf.DUMMYFUNCTION("""COMPUTED_VALUE"""),"Shruti  Kainya")</f>
        <v>Shruti  Kainya</v>
      </c>
      <c r="D117" s="1" t="str">
        <f>IFERROR(__xludf.DUMMYFUNCTION("""COMPUTED_VALUE"""),"Nutryst")</f>
        <v>Nutryst</v>
      </c>
      <c r="E117" s="1" t="str">
        <f>IFERROR(__xludf.DUMMYFUNCTION("""COMPUTED_VALUE"""),"Lower Parel")</f>
        <v>Lower Parel</v>
      </c>
      <c r="F117" s="1" t="str">
        <f>IFERROR(__xludf.DUMMYFUNCTION("""COMPUTED_VALUE"""),"Lower parel")</f>
        <v>Lower parel</v>
      </c>
      <c r="G117" s="1" t="str">
        <f>IFERROR(__xludf.DUMMYFUNCTION("""COMPUTED_VALUE"""),"Shravani")</f>
        <v>Shravani</v>
      </c>
      <c r="H117" s="32"/>
      <c r="I117" s="1" t="str">
        <f>IFERROR(__xludf.DUMMYFUNCTION("""COMPUTED_VALUE"""),"3 Feb: She will get back to me after somedays as she is not sure about the location. 31 Jan: Dropped a text. 30 Jan: Dropped a text. 29 Jan: I have shared the image and video of Rajiv Sir's Cabin")</f>
        <v>3 Feb: She will get back to me after somedays as she is not sure about the location. 31 Jan: Dropped a text. 30 Jan: Dropped a text. 29 Jan: I have shared the image and video of Rajiv Sir's Cabin</v>
      </c>
      <c r="J117" s="1"/>
      <c r="K117" s="1"/>
      <c r="L117" s="1"/>
      <c r="M117" s="1"/>
      <c r="N117" s="1"/>
      <c r="O117" s="1"/>
      <c r="P117" s="1"/>
      <c r="Q117" s="1"/>
      <c r="R117" s="1"/>
      <c r="S117" s="1"/>
      <c r="T117" s="1"/>
      <c r="U117" s="1"/>
      <c r="V117" s="1"/>
      <c r="W117" s="1"/>
      <c r="X117" s="1"/>
      <c r="Y117" s="1"/>
      <c r="Z117" s="1"/>
    </row>
    <row r="118">
      <c r="A118" s="1"/>
      <c r="B118" s="32">
        <f>IFERROR(__xludf.DUMMYFUNCTION("""COMPUTED_VALUE"""),46051.0)</f>
        <v>46051</v>
      </c>
      <c r="C118" s="1" t="str">
        <f>IFERROR(__xludf.DUMMYFUNCTION("""COMPUTED_VALUE"""),"Ashish Prakash")</f>
        <v>Ashish Prakash</v>
      </c>
      <c r="D118" s="1" t="str">
        <f>IFERROR(__xludf.DUMMYFUNCTION("""COMPUTED_VALUE"""),"Cloud Tech")</f>
        <v>Cloud Tech</v>
      </c>
      <c r="E118" s="1" t="str">
        <f>IFERROR(__xludf.DUMMYFUNCTION("""COMPUTED_VALUE"""),"Lower Parel")</f>
        <v>Lower Parel</v>
      </c>
      <c r="F118" s="1" t="str">
        <f>IFERROR(__xludf.DUMMYFUNCTION("""COMPUTED_VALUE"""),"Lower parel")</f>
        <v>Lower parel</v>
      </c>
      <c r="G118" s="1" t="str">
        <f>IFERROR(__xludf.DUMMYFUNCTION("""COMPUTED_VALUE"""),"Shravani")</f>
        <v>Shravani</v>
      </c>
      <c r="H118" s="32"/>
      <c r="I118" s="1" t="str">
        <f>IFERROR(__xludf.DUMMYFUNCTION("""COMPUTED_VALUE"""),"3 Feb: He needs a office in Andheri, will share his requirement on whatsapp. 31 Jan: Dropped a text. 30 Jan: Ringing, dropped a text. 29 Jan: Ringing")</f>
        <v>3 Feb: He needs a office in Andheri, will share his requirement on whatsapp. 31 Jan: Dropped a text. 30 Jan: Ringing, dropped a text. 29 Jan: Ringing</v>
      </c>
      <c r="J118" s="1"/>
      <c r="K118" s="1"/>
      <c r="L118" s="1"/>
      <c r="M118" s="1"/>
      <c r="N118" s="1"/>
      <c r="O118" s="1"/>
      <c r="P118" s="1"/>
      <c r="Q118" s="1"/>
      <c r="R118" s="1"/>
      <c r="S118" s="1"/>
      <c r="T118" s="1"/>
      <c r="U118" s="1"/>
      <c r="V118" s="1"/>
      <c r="W118" s="1"/>
      <c r="X118" s="1"/>
      <c r="Y118" s="1"/>
      <c r="Z118" s="1"/>
    </row>
    <row r="119">
      <c r="A119" s="1"/>
      <c r="B119" s="32">
        <f>IFERROR(__xludf.DUMMYFUNCTION("""COMPUTED_VALUE"""),46050.0)</f>
        <v>46050</v>
      </c>
      <c r="C119" s="1" t="str">
        <f>IFERROR(__xludf.DUMMYFUNCTION("""COMPUTED_VALUE"""),"Ashish Swarnkar")</f>
        <v>Ashish Swarnkar</v>
      </c>
      <c r="D119" s="1" t="str">
        <f>IFERROR(__xludf.DUMMYFUNCTION("""COMPUTED_VALUE"""),"Entropy")</f>
        <v>Entropy</v>
      </c>
      <c r="E119" s="1" t="str">
        <f>IFERROR(__xludf.DUMMYFUNCTION("""COMPUTED_VALUE"""),"Lower Parel")</f>
        <v>Lower Parel</v>
      </c>
      <c r="F119" s="1" t="str">
        <f>IFERROR(__xludf.DUMMYFUNCTION("""COMPUTED_VALUE"""),"Lower parel")</f>
        <v>Lower parel</v>
      </c>
      <c r="G119" s="1" t="str">
        <f>IFERROR(__xludf.DUMMYFUNCTION("""COMPUTED_VALUE"""),"Shravani")</f>
        <v>Shravani</v>
      </c>
      <c r="H119" s="32"/>
      <c r="I119" s="1" t="str">
        <f>IFERROR(__xludf.DUMMYFUNCTION("""COMPUTED_VALUE"""),"30 Jan: He is not looking for any office space. 28 Jan: Ringing ")</f>
        <v>30 Jan: He is not looking for any office space. 28 Jan: Ringing </v>
      </c>
      <c r="J119" s="1"/>
      <c r="K119" s="1"/>
      <c r="L119" s="1"/>
      <c r="M119" s="1"/>
      <c r="N119" s="1"/>
      <c r="O119" s="1"/>
      <c r="P119" s="1"/>
      <c r="Q119" s="1"/>
      <c r="R119" s="1"/>
      <c r="S119" s="1"/>
      <c r="T119" s="1"/>
      <c r="U119" s="1"/>
      <c r="V119" s="1"/>
      <c r="W119" s="1"/>
      <c r="X119" s="1"/>
      <c r="Y119" s="1"/>
      <c r="Z119" s="1"/>
    </row>
    <row r="120">
      <c r="A120" s="1"/>
      <c r="B120" s="32">
        <f>IFERROR(__xludf.DUMMYFUNCTION("""COMPUTED_VALUE"""),46049.0)</f>
        <v>46049</v>
      </c>
      <c r="C120" s="1" t="str">
        <f>IFERROR(__xludf.DUMMYFUNCTION("""COMPUTED_VALUE"""),"Vishwannath  Reddy ")</f>
        <v>Vishwannath  Reddy </v>
      </c>
      <c r="D120" s="1" t="str">
        <f>IFERROR(__xludf.DUMMYFUNCTION("""COMPUTED_VALUE"""),"Shriram Automall ")</f>
        <v>Shriram Automall </v>
      </c>
      <c r="E120" s="1" t="str">
        <f>IFERROR(__xludf.DUMMYFUNCTION("""COMPUTED_VALUE"""),"Andheri")</f>
        <v>Andheri</v>
      </c>
      <c r="F120" s="1" t="str">
        <f>IFERROR(__xludf.DUMMYFUNCTION("""COMPUTED_VALUE"""),"Andheri ")</f>
        <v>Andheri </v>
      </c>
      <c r="G120" s="1" t="str">
        <f>IFERROR(__xludf.DUMMYFUNCTION("""COMPUTED_VALUE"""),"Shubham ")</f>
        <v>Shubham </v>
      </c>
      <c r="H120" s="32" t="str">
        <f>IFERROR(__xludf.DUMMYFUNCTION("""COMPUTED_VALUE"""),"Hold")</f>
        <v>Hold</v>
      </c>
      <c r="I120" s="1" t="str">
        <f>IFERROR(__xludf.DUMMYFUNCTION("""COMPUTED_VALUE"""),"16th Feb: Spoke. He said the requirement is not live for now and has gone on hold, I have recorded that on mail 06th Feb: Spoke. I aksed for a meeting as the options are already shared but he said he is not in Mumbai and will come in next week 05th Feb: R"&amp;"inging, Dropped a text message 04th Feb: He has asked me to call tomorrow 02nd Feb: Tried calling him twice no he has not answered. I have dropped a text 31th Jan: We have shared the options 29th Jan: We have to share the options. 28th Jan: Spoke they hav"&amp;"e the requirement as specified location preferred is Kurla to Andheri, Sent introductory deck also have to share the options ")</f>
        <v>16th Feb: Spoke. He said the requirement is not live for now and has gone on hold, I have recorded that on mail 06th Feb: Spoke. I aksed for a meeting as the options are already shared but he said he is not in Mumbai and will come in next week 05th Feb: Ringing, Dropped a text message 04th Feb: He has asked me to call tomorrow 02nd Feb: Tried calling him twice no he has not answered. I have dropped a text 31th Jan: We have shared the options 29th Jan: We have to share the options. 28th Jan: Spoke they have the requirement as specified location preferred is Kurla to Andheri, Sent introductory deck also have to share the options </v>
      </c>
      <c r="J120" s="1"/>
      <c r="K120" s="1"/>
      <c r="L120" s="1"/>
      <c r="M120" s="1"/>
      <c r="N120" s="1"/>
      <c r="O120" s="1"/>
      <c r="P120" s="1"/>
      <c r="Q120" s="1"/>
      <c r="R120" s="1"/>
      <c r="S120" s="1"/>
      <c r="T120" s="1"/>
      <c r="U120" s="1"/>
      <c r="V120" s="1"/>
      <c r="W120" s="1"/>
      <c r="X120" s="1"/>
      <c r="Y120" s="1"/>
      <c r="Z120" s="1"/>
    </row>
    <row r="121">
      <c r="A121" s="1"/>
      <c r="B121" s="32">
        <f>IFERROR(__xludf.DUMMYFUNCTION("""COMPUTED_VALUE"""),46049.0)</f>
        <v>46049</v>
      </c>
      <c r="C121" s="1" t="str">
        <f>IFERROR(__xludf.DUMMYFUNCTION("""COMPUTED_VALUE"""),"Pravin  Rohra ")</f>
        <v>Pravin  Rohra </v>
      </c>
      <c r="D121" s="1"/>
      <c r="E121" s="1" t="str">
        <f>IFERROR(__xludf.DUMMYFUNCTION("""COMPUTED_VALUE"""),"Andheri")</f>
        <v>Andheri</v>
      </c>
      <c r="F121" s="1" t="str">
        <f>IFERROR(__xludf.DUMMYFUNCTION("""COMPUTED_VALUE"""),"Andheri ")</f>
        <v>Andheri </v>
      </c>
      <c r="G121" s="1" t="str">
        <f>IFERROR(__xludf.DUMMYFUNCTION("""COMPUTED_VALUE"""),"Shubham ")</f>
        <v>Shubham </v>
      </c>
      <c r="H121" s="32" t="str">
        <f>IFERROR(__xludf.DUMMYFUNCTION("""COMPUTED_VALUE"""),"Hold")</f>
        <v>Hold</v>
      </c>
      <c r="I121" s="1" t="str">
        <f>IFERROR(__xludf.DUMMYFUNCTION("""COMPUTED_VALUE"""),"08th Feb: As discussed with Geeta ji the requirement is currently on hold as per thier Managements call 06th Feb: Spoke to Mukesh ji, he said he will check with his management and let us know by Monday 06th Feb: Shared the First cut layout to mukesh ji &amp; "&amp;"geeta ji on mail 03rd Feb: Mr. Mukesh visited the space and the next steps are to give the mock layout following with commercials and the requirement is 12 w.s (3*2) + 2 cabins on the facade and 1 conference room 02nd Feb: Tried calling both didn't answer"&amp;", dropped a text. Geeta ji replied saying her collegue Mr. Mukesh will mostly visit the sakinaka space tomorrow.  29th Jan: Spoke. Pravin ji gave the call to Geeta ji, I have pitched Sakinaka, sent an introducion mail with the space details and images. 28"&amp;"th Jan: Ringing, dropped a text")</f>
        <v>08th Feb: As discussed with Geeta ji the requirement is currently on hold as per thier Managements call 06th Feb: Spoke to Mukesh ji, he said he will check with his management and let us know by Monday 06th Feb: Shared the First cut layout to mukesh ji &amp; geeta ji on mail 03rd Feb: Mr. Mukesh visited the space and the next steps are to give the mock layout following with commercials and the requirement is 12 w.s (3*2) + 2 cabins on the facade and 1 conference room 02nd Feb: Tried calling both didn't answer, dropped a text. Geeta ji replied saying her collegue Mr. Mukesh will mostly visit the sakinaka space tomorrow.  29th Jan: Spoke. Pravin ji gave the call to Geeta ji, I have pitched Sakinaka, sent an introducion mail with the space details and images. 28th Jan: Ringing, dropped a text</v>
      </c>
      <c r="J121" s="1"/>
      <c r="K121" s="1"/>
      <c r="L121" s="1"/>
      <c r="M121" s="1"/>
      <c r="N121" s="1"/>
      <c r="O121" s="1"/>
      <c r="P121" s="1"/>
      <c r="Q121" s="1"/>
      <c r="R121" s="1"/>
      <c r="S121" s="1"/>
      <c r="T121" s="1"/>
      <c r="U121" s="1"/>
      <c r="V121" s="1"/>
      <c r="W121" s="1"/>
      <c r="X121" s="1"/>
      <c r="Y121" s="1"/>
      <c r="Z121" s="1"/>
    </row>
    <row r="122">
      <c r="A122" s="1"/>
      <c r="B122" s="32">
        <f>IFERROR(__xludf.DUMMYFUNCTION("""COMPUTED_VALUE"""),46049.0)</f>
        <v>46049</v>
      </c>
      <c r="C122" s="1" t="str">
        <f>IFERROR(__xludf.DUMMYFUNCTION("""COMPUTED_VALUE"""),"Devidayal Jedhiya")</f>
        <v>Devidayal Jedhiya</v>
      </c>
      <c r="D122" s="1" t="str">
        <f>IFERROR(__xludf.DUMMYFUNCTION("""COMPUTED_VALUE"""),"Marine Engineering Resourcing &amp; Consulting Services")</f>
        <v>Marine Engineering Resourcing &amp; Consulting Services</v>
      </c>
      <c r="E122" s="1" t="str">
        <f>IFERROR(__xludf.DUMMYFUNCTION("""COMPUTED_VALUE"""),"Lower Parel")</f>
        <v>Lower Parel</v>
      </c>
      <c r="F122" s="1" t="str">
        <f>IFERROR(__xludf.DUMMYFUNCTION("""COMPUTED_VALUE"""),"Lower parel")</f>
        <v>Lower parel</v>
      </c>
      <c r="G122" s="1" t="str">
        <f>IFERROR(__xludf.DUMMYFUNCTION("""COMPUTED_VALUE"""),"Shravani")</f>
        <v>Shravani</v>
      </c>
      <c r="H122" s="32"/>
      <c r="I122" s="1" t="str">
        <f>IFERROR(__xludf.DUMMYFUNCTION("""COMPUTED_VALUE"""),"27 Jan: Client is looking for a cabin space. I shared the images and video of Rajiv Sir’s cabin; however, he felt the ₹60,000 rent is on the higher side. He mentioned he will get back to us by 15th Feb.")</f>
        <v>27 Jan: Client is looking for a cabin space. I shared the images and video of Rajiv Sir’s cabin; however, he felt the ₹60,000 rent is on the higher side. He mentioned he will get back to us by 15th Feb.</v>
      </c>
      <c r="J122" s="1"/>
      <c r="K122" s="1"/>
      <c r="L122" s="1"/>
      <c r="M122" s="1"/>
      <c r="N122" s="1"/>
      <c r="O122" s="1"/>
      <c r="P122" s="1"/>
      <c r="Q122" s="1"/>
      <c r="R122" s="1"/>
      <c r="S122" s="1"/>
      <c r="T122" s="1"/>
      <c r="U122" s="1"/>
      <c r="V122" s="1"/>
      <c r="W122" s="1"/>
      <c r="X122" s="1"/>
      <c r="Y122" s="1"/>
      <c r="Z122" s="1"/>
    </row>
    <row r="123">
      <c r="A123" s="1"/>
      <c r="B123" s="32">
        <f>IFERROR(__xludf.DUMMYFUNCTION("""COMPUTED_VALUE"""),46049.0)</f>
        <v>46049</v>
      </c>
      <c r="C123" s="1" t="str">
        <f>IFERROR(__xludf.DUMMYFUNCTION("""COMPUTED_VALUE"""),"Abhishek  Asthana")</f>
        <v>Abhishek  Asthana</v>
      </c>
      <c r="D123" s="1" t="str">
        <f>IFERROR(__xludf.DUMMYFUNCTION("""COMPUTED_VALUE"""),"AY Task Consulting Lop")</f>
        <v>AY Task Consulting Lop</v>
      </c>
      <c r="E123" s="1" t="str">
        <f>IFERROR(__xludf.DUMMYFUNCTION("""COMPUTED_VALUE"""),"Lower Parel")</f>
        <v>Lower Parel</v>
      </c>
      <c r="F123" s="1" t="str">
        <f>IFERROR(__xludf.DUMMYFUNCTION("""COMPUTED_VALUE"""),"Lower parel")</f>
        <v>Lower parel</v>
      </c>
      <c r="G123" s="1" t="str">
        <f>IFERROR(__xludf.DUMMYFUNCTION("""COMPUTED_VALUE"""),"Shravani")</f>
        <v>Shravani</v>
      </c>
      <c r="H123" s="32"/>
      <c r="I123" s="1" t="str">
        <f>IFERROR(__xludf.DUMMYFUNCTION("""COMPUTED_VALUE"""),"3 Feb: Declined the call. 31 Jan: Dropped a text. 30 Jan: Dropped a text. 28 Jan: He will get back to me in sometime. 27 Jan: Single Cabin")</f>
        <v>3 Feb: Declined the call. 31 Jan: Dropped a text. 30 Jan: Dropped a text. 28 Jan: He will get back to me in sometime. 27 Jan: Single Cabin</v>
      </c>
      <c r="J123" s="1"/>
      <c r="K123" s="1"/>
      <c r="L123" s="1"/>
      <c r="M123" s="1"/>
      <c r="N123" s="1"/>
      <c r="O123" s="1"/>
      <c r="P123" s="1"/>
      <c r="Q123" s="1"/>
      <c r="R123" s="1"/>
      <c r="S123" s="1"/>
      <c r="T123" s="1"/>
      <c r="U123" s="1"/>
      <c r="V123" s="1"/>
      <c r="W123" s="1"/>
      <c r="X123" s="1"/>
      <c r="Y123" s="1"/>
      <c r="Z123" s="1"/>
    </row>
    <row r="124">
      <c r="A124" s="1"/>
      <c r="B124" s="32">
        <f>IFERROR(__xludf.DUMMYFUNCTION("""COMPUTED_VALUE"""),46049.0)</f>
        <v>46049</v>
      </c>
      <c r="C124" s="1" t="str">
        <f>IFERROR(__xludf.DUMMYFUNCTION("""COMPUTED_VALUE"""),"Mitesh  Diora")</f>
        <v>Mitesh  Diora</v>
      </c>
      <c r="D124" s="1" t="str">
        <f>IFERROR(__xludf.DUMMYFUNCTION("""COMPUTED_VALUE"""),"Swastik Group")</f>
        <v>Swastik Group</v>
      </c>
      <c r="E124" s="1" t="str">
        <f>IFERROR(__xludf.DUMMYFUNCTION("""COMPUTED_VALUE"""),"Lower Parel")</f>
        <v>Lower Parel</v>
      </c>
      <c r="F124" s="1" t="str">
        <f>IFERROR(__xludf.DUMMYFUNCTION("""COMPUTED_VALUE"""),"Lower parel")</f>
        <v>Lower parel</v>
      </c>
      <c r="G124" s="1" t="str">
        <f>IFERROR(__xludf.DUMMYFUNCTION("""COMPUTED_VALUE"""),"Shravani")</f>
        <v>Shravani</v>
      </c>
      <c r="H124" s="32"/>
      <c r="I124" s="1" t="str">
        <f>IFERROR(__xludf.DUMMYFUNCTION("""COMPUTED_VALUE"""),"3 Feb: He wants me to shared the details on whatsapp.28 Jan: He has asked me to call in next week.  27 Jan: He will call me after sometime")</f>
        <v>3 Feb: He wants me to shared the details on whatsapp.28 Jan: He has asked me to call in next week.  27 Jan: He will call me after sometime</v>
      </c>
      <c r="J124" s="1"/>
      <c r="K124" s="1"/>
      <c r="L124" s="1"/>
      <c r="M124" s="1"/>
      <c r="N124" s="1"/>
      <c r="O124" s="1"/>
      <c r="P124" s="1"/>
      <c r="Q124" s="1"/>
      <c r="R124" s="1"/>
      <c r="S124" s="1"/>
      <c r="T124" s="1"/>
      <c r="U124" s="1"/>
      <c r="V124" s="1"/>
      <c r="W124" s="1"/>
      <c r="X124" s="1"/>
      <c r="Y124" s="1"/>
      <c r="Z124" s="1"/>
    </row>
    <row r="125">
      <c r="A125" s="1"/>
      <c r="B125" s="32">
        <f>IFERROR(__xludf.DUMMYFUNCTION("""COMPUTED_VALUE"""),46049.0)</f>
        <v>46049</v>
      </c>
      <c r="C125" s="1" t="str">
        <f>IFERROR(__xludf.DUMMYFUNCTION("""COMPUTED_VALUE"""),"Indrajeet Neversay")</f>
        <v>Indrajeet Neversay</v>
      </c>
      <c r="D125" s="1" t="str">
        <f>IFERROR(__xludf.DUMMYFUNCTION("""COMPUTED_VALUE"""),"Prinseps")</f>
        <v>Prinseps</v>
      </c>
      <c r="E125" s="1" t="str">
        <f>IFERROR(__xludf.DUMMYFUNCTION("""COMPUTED_VALUE"""),"Lower Parel")</f>
        <v>Lower Parel</v>
      </c>
      <c r="F125" s="1" t="str">
        <f>IFERROR(__xludf.DUMMYFUNCTION("""COMPUTED_VALUE"""),"Lower parel")</f>
        <v>Lower parel</v>
      </c>
      <c r="G125" s="1" t="str">
        <f>IFERROR(__xludf.DUMMYFUNCTION("""COMPUTED_VALUE"""),"Shravani")</f>
        <v>Shravani</v>
      </c>
      <c r="H125" s="32"/>
      <c r="I125" s="1" t="str">
        <f>IFERROR(__xludf.DUMMYFUNCTION("""COMPUTED_VALUE"""),"2 Feb: He will need some time because they are busy with some exhibition. 29 Jan: He will discuss with his team and update me. 28 Jan: Visit is done and shared the commercials on mail. 27 Jan: He did not mention any specific requirements; he only requeste"&amp;"d images and videos of the space.")</f>
        <v>2 Feb: He will need some time because they are busy with some exhibition. 29 Jan: He will discuss with his team and update me. 28 Jan: Visit is done and shared the commercials on mail. 27 Jan: He did not mention any specific requirements; he only requested images and videos of the space.</v>
      </c>
      <c r="J125" s="1"/>
      <c r="K125" s="1"/>
      <c r="L125" s="1"/>
      <c r="M125" s="1"/>
      <c r="N125" s="1"/>
      <c r="O125" s="1"/>
      <c r="P125" s="1"/>
      <c r="Q125" s="1"/>
      <c r="R125" s="1"/>
      <c r="S125" s="1"/>
      <c r="T125" s="1"/>
      <c r="U125" s="1"/>
      <c r="V125" s="1"/>
      <c r="W125" s="1"/>
      <c r="X125" s="1"/>
      <c r="Y125" s="1"/>
      <c r="Z125" s="1"/>
    </row>
    <row r="126">
      <c r="A126" s="1"/>
      <c r="B126" s="32">
        <f>IFERROR(__xludf.DUMMYFUNCTION("""COMPUTED_VALUE"""),46049.0)</f>
        <v>46049</v>
      </c>
      <c r="C126" s="1" t="str">
        <f>IFERROR(__xludf.DUMMYFUNCTION("""COMPUTED_VALUE"""),"Cheetan Gaikwad")</f>
        <v>Cheetan Gaikwad</v>
      </c>
      <c r="D126" s="1"/>
      <c r="E126" s="1" t="str">
        <f>IFERROR(__xludf.DUMMYFUNCTION("""COMPUTED_VALUE"""),"Lower Parel")</f>
        <v>Lower Parel</v>
      </c>
      <c r="F126" s="1" t="str">
        <f>IFERROR(__xludf.DUMMYFUNCTION("""COMPUTED_VALUE"""),"Lower parel")</f>
        <v>Lower parel</v>
      </c>
      <c r="G126" s="1" t="str">
        <f>IFERROR(__xludf.DUMMYFUNCTION("""COMPUTED_VALUE"""),"Shravani")</f>
        <v>Shravani</v>
      </c>
      <c r="H126" s="32"/>
      <c r="I126" s="1" t="str">
        <f>IFERROR(__xludf.DUMMYFUNCTION("""COMPUTED_VALUE"""),"27 Jan: His current office is in Andheri. He needs 4 seater cabin but his budget is too low.")</f>
        <v>27 Jan: His current office is in Andheri. He needs 4 seater cabin but his budget is too low.</v>
      </c>
      <c r="J126" s="1"/>
      <c r="K126" s="1"/>
      <c r="L126" s="1"/>
      <c r="M126" s="1"/>
      <c r="N126" s="1"/>
      <c r="O126" s="1"/>
      <c r="P126" s="1"/>
      <c r="Q126" s="1"/>
      <c r="R126" s="1"/>
      <c r="S126" s="1"/>
      <c r="T126" s="1"/>
      <c r="U126" s="1"/>
      <c r="V126" s="1"/>
      <c r="W126" s="1"/>
      <c r="X126" s="1"/>
      <c r="Y126" s="1"/>
      <c r="Z126" s="1"/>
    </row>
    <row r="127">
      <c r="A127" s="1"/>
      <c r="B127" s="32">
        <f>IFERROR(__xludf.DUMMYFUNCTION("""COMPUTED_VALUE"""),46046.0)</f>
        <v>46046</v>
      </c>
      <c r="C127" s="1" t="str">
        <f>IFERROR(__xludf.DUMMYFUNCTION("""COMPUTED_VALUE"""),"Nishant Sharma")</f>
        <v>Nishant Sharma</v>
      </c>
      <c r="D127" s="1" t="str">
        <f>IFERROR(__xludf.DUMMYFUNCTION("""COMPUTED_VALUE"""),"Jainam Broking Ltd")</f>
        <v>Jainam Broking Ltd</v>
      </c>
      <c r="E127" s="1" t="str">
        <f>IFERROR(__xludf.DUMMYFUNCTION("""COMPUTED_VALUE"""),"Lower Parel")</f>
        <v>Lower Parel</v>
      </c>
      <c r="F127" s="1" t="str">
        <f>IFERROR(__xludf.DUMMYFUNCTION("""COMPUTED_VALUE"""),"Lower parel")</f>
        <v>Lower parel</v>
      </c>
      <c r="G127" s="1" t="str">
        <f>IFERROR(__xludf.DUMMYFUNCTION("""COMPUTED_VALUE"""),"Shravani &amp; Shubham")</f>
        <v>Shravani &amp; Shubham</v>
      </c>
      <c r="H127" s="32"/>
      <c r="I127" s="1" t="str">
        <f>IFERROR(__xludf.DUMMYFUNCTION("""COMPUTED_VALUE"""),"28 Jan: He needs a office in Marol, Shubham is already in contact with him.")</f>
        <v>28 Jan: He needs a office in Marol, Shubham is already in contact with him.</v>
      </c>
      <c r="J127" s="1"/>
      <c r="K127" s="1"/>
      <c r="L127" s="1"/>
      <c r="M127" s="1"/>
      <c r="N127" s="1"/>
      <c r="O127" s="1"/>
      <c r="P127" s="1"/>
      <c r="Q127" s="1"/>
      <c r="R127" s="1"/>
      <c r="S127" s="1"/>
      <c r="T127" s="1"/>
      <c r="U127" s="1"/>
      <c r="V127" s="1"/>
      <c r="W127" s="1"/>
      <c r="X127" s="1"/>
      <c r="Y127" s="1"/>
      <c r="Z127" s="1"/>
    </row>
    <row r="128">
      <c r="A128" s="1"/>
      <c r="B128" s="32">
        <f>IFERROR(__xludf.DUMMYFUNCTION("""COMPUTED_VALUE"""),46046.0)</f>
        <v>46046</v>
      </c>
      <c r="C128" s="1" t="str">
        <f>IFERROR(__xludf.DUMMYFUNCTION("""COMPUTED_VALUE"""),"Aalim Raeen")</f>
        <v>Aalim Raeen</v>
      </c>
      <c r="D128" s="1" t="str">
        <f>IFERROR(__xludf.DUMMYFUNCTION("""COMPUTED_VALUE"""),"Raeen Interiors")</f>
        <v>Raeen Interiors</v>
      </c>
      <c r="E128" s="1" t="str">
        <f>IFERROR(__xludf.DUMMYFUNCTION("""COMPUTED_VALUE"""),"Lower Parel")</f>
        <v>Lower Parel</v>
      </c>
      <c r="F128" s="1" t="str">
        <f>IFERROR(__xludf.DUMMYFUNCTION("""COMPUTED_VALUE"""),"Lower parel")</f>
        <v>Lower parel</v>
      </c>
      <c r="G128" s="1" t="str">
        <f>IFERROR(__xludf.DUMMYFUNCTION("""COMPUTED_VALUE"""),"Shravani")</f>
        <v>Shravani</v>
      </c>
      <c r="H128" s="32"/>
      <c r="I128" s="1" t="str">
        <f>IFERROR(__xludf.DUMMYFUNCTION("""COMPUTED_VALUE"""),"3 Feb: Ringing. 31 Jan: Dropped a text. 30 Jan: Ringing. 28 Jan: He needs sometime to discuss with his team. 27 Jan: Ringing. 24 Jan: Shared all the details on Whatsapp")</f>
        <v>3 Feb: Ringing. 31 Jan: Dropped a text. 30 Jan: Ringing. 28 Jan: He needs sometime to discuss with his team. 27 Jan: Ringing. 24 Jan: Shared all the details on Whatsapp</v>
      </c>
      <c r="J128" s="1"/>
      <c r="K128" s="1"/>
      <c r="L128" s="1"/>
      <c r="M128" s="1"/>
      <c r="N128" s="1"/>
      <c r="O128" s="1"/>
      <c r="P128" s="1"/>
      <c r="Q128" s="1"/>
      <c r="R128" s="1"/>
      <c r="S128" s="1"/>
      <c r="T128" s="1"/>
      <c r="U128" s="1"/>
      <c r="V128" s="1"/>
      <c r="W128" s="1"/>
      <c r="X128" s="1"/>
      <c r="Y128" s="1"/>
      <c r="Z128" s="1"/>
    </row>
    <row r="129">
      <c r="A129" s="1"/>
      <c r="B129" s="32">
        <f>IFERROR(__xludf.DUMMYFUNCTION("""COMPUTED_VALUE"""),46045.0)</f>
        <v>46045</v>
      </c>
      <c r="C129" s="1" t="str">
        <f>IFERROR(__xludf.DUMMYFUNCTION("""COMPUTED_VALUE"""),"Ramakrishnan ")</f>
        <v>Ramakrishnan </v>
      </c>
      <c r="D129" s="1" t="str">
        <f>IFERROR(__xludf.DUMMYFUNCTION("""COMPUTED_VALUE"""),"20Cube Logistics")</f>
        <v>20Cube Logistics</v>
      </c>
      <c r="E129" s="1" t="str">
        <f>IFERROR(__xludf.DUMMYFUNCTION("""COMPUTED_VALUE"""),"Andheri")</f>
        <v>Andheri</v>
      </c>
      <c r="F129" s="1" t="str">
        <f>IFERROR(__xludf.DUMMYFUNCTION("""COMPUTED_VALUE"""),"Andheri ")</f>
        <v>Andheri </v>
      </c>
      <c r="G129" s="1" t="str">
        <f>IFERROR(__xludf.DUMMYFUNCTION("""COMPUTED_VALUE"""),"Shubham ")</f>
        <v>Shubham </v>
      </c>
      <c r="H129" s="32" t="str">
        <f>IFERROR(__xludf.DUMMYFUNCTION("""COMPUTED_VALUE"""),"Hold")</f>
        <v>Hold</v>
      </c>
      <c r="I129" s="1" t="str">
        <f>IFERROR(__xludf.DUMMYFUNCTION("""COMPUTED_VALUE"""),"10 march: Spoke he said the requirement is still on hold 16th Feb: He didn't answer calls so I have dropped a follow up mail he replied saying currently the reqirement is on hold  06th Feb: We had shared the first cut layout for the same. Spoke to Vishnu "&amp;"prasad ji, he said he will check  03rd Feb: His admin guy visited the space. Next steps they want commercials and is looking for 10 seats + 2 meeting room of 5 seats each 02nd Feb: His admin guy Mr. Vishnu Reached out to me and will visit tomorrow in Andh"&amp;"eri Sakinaka 29th Jan: Spoke. He put me on hold and connect the HR/Admin guy he took my number and said will call back in 30 mins. 27th Jan: He didn't answer, dropped a text.  24 Jan: He disconnect my call, I have dropped a text, he replied saying lets co"&amp;"nnect on tuesday  23 Jan: Disconected the call")</f>
        <v>10 march: Spoke he said the requirement is still on hold 16th Feb: He didn't answer calls so I have dropped a follow up mail he replied saying currently the reqirement is on hold  06th Feb: We had shared the first cut layout for the same. Spoke to Vishnu prasad ji, he said he will check  03rd Feb: His admin guy visited the space. Next steps they want commercials and is looking for 10 seats + 2 meeting room of 5 seats each 02nd Feb: His admin guy Mr. Vishnu Reached out to me and will visit tomorrow in Andheri Sakinaka 29th Jan: Spoke. He put me on hold and connect the HR/Admin guy he took my number and said will call back in 30 mins. 27th Jan: He didn't answer, dropped a text.  24 Jan: He disconnect my call, I have dropped a text, he replied saying lets connect on tuesday  23 Jan: Disconected the call</v>
      </c>
      <c r="J129" s="1"/>
      <c r="K129" s="1"/>
      <c r="L129" s="1"/>
      <c r="M129" s="1"/>
      <c r="N129" s="1"/>
      <c r="O129" s="1"/>
      <c r="P129" s="1"/>
      <c r="Q129" s="1"/>
      <c r="R129" s="1"/>
      <c r="S129" s="1"/>
      <c r="T129" s="1"/>
      <c r="U129" s="1"/>
      <c r="V129" s="1"/>
      <c r="W129" s="1"/>
      <c r="X129" s="1"/>
      <c r="Y129" s="1"/>
      <c r="Z129" s="1"/>
    </row>
    <row r="130">
      <c r="A130" s="1"/>
      <c r="B130" s="32">
        <f>IFERROR(__xludf.DUMMYFUNCTION("""COMPUTED_VALUE"""),46045.0)</f>
        <v>46045</v>
      </c>
      <c r="C130" s="1" t="str">
        <f>IFERROR(__xludf.DUMMYFUNCTION("""COMPUTED_VALUE"""),"Prem Ahuja")</f>
        <v>Prem Ahuja</v>
      </c>
      <c r="D130" s="1" t="str">
        <f>IFERROR(__xludf.DUMMYFUNCTION("""COMPUTED_VALUE"""),"equiflex Private Limited")</f>
        <v>equiflex Private Limited</v>
      </c>
      <c r="E130" s="1" t="str">
        <f>IFERROR(__xludf.DUMMYFUNCTION("""COMPUTED_VALUE"""),"Andheri")</f>
        <v>Andheri</v>
      </c>
      <c r="F130" s="1" t="str">
        <f>IFERROR(__xludf.DUMMYFUNCTION("""COMPUTED_VALUE"""),"Andheri ")</f>
        <v>Andheri </v>
      </c>
      <c r="G130" s="1" t="str">
        <f>IFERROR(__xludf.DUMMYFUNCTION("""COMPUTED_VALUE"""),"Shubham ")</f>
        <v>Shubham </v>
      </c>
      <c r="H130" s="32" t="str">
        <f>IFERROR(__xludf.DUMMYFUNCTION("""COMPUTED_VALUE"""),"Hold")</f>
        <v>Hold</v>
      </c>
      <c r="I130" s="1" t="str">
        <f>IFERROR(__xludf.DUMMYFUNCTION("""COMPUTED_VALUE"""),"02 March: Prem ji said The requirement is on hold for now due to March ending I have recorded the same over mail 27 Feb: I have sent the available inventories details of Lotus corporate park to the client over mail and asked for a virtual cal to shortlist"&amp;" options 26 Feb: Mehul Sir Spoke to Prem ahuja he said he is travelling and will try to arrange a call to discuss the options  25 Feb: Put a follow up Mail no reply yet 23 Feb: We have shared the 2nd cut inventores form Bandra to Goregoan 17 Feb: As Discu"&amp;"ssed with the team they are now looking for options from Bandra to goregoan near highway, source property for the same and spoke to vinamra he said he is busy and will call back 16th Feb: Mehul sir Met the client he got the updates 06th Feb: We have share"&amp;"d the layout spoke with Prem ji, He said very nice layout you made exactly what wanted but their promoter is not there today and will come on Monday. They will discuss this internally and get back to us on monday 03rd Feb: The Team visited and want to mai"&amp;"ntain the cubical style rquirement shared with the team waiting for Mock Layout 02nd Feb : Revisiting tomorrow with seniority 29th Jan: Yesterday I shared the requirement with Ankit sir, he said no bandwith and can get the layout tomorrow 28th Jan: Visit "&amp;"done. Showcased the property of landmark, Share the mock layout at the earliest 27th Jan: Spoke. Vinamra has proposed Landmark, conduct a visit tomorrow 23 Jan: Need to share him a introductry deck and some options available in andheri that fit his requir"&amp;"ement.28th ")</f>
        <v>02 March: Prem ji said The requirement is on hold for now due to March ending I have recorded the same over mail 27 Feb: I have sent the available inventories details of Lotus corporate park to the client over mail and asked for a virtual cal to shortlist options 26 Feb: Mehul Sir Spoke to Prem ahuja he said he is travelling and will try to arrange a call to discuss the options  25 Feb: Put a follow up Mail no reply yet 23 Feb: We have shared the 2nd cut inventores form Bandra to Goregoan 17 Feb: As Discussed with the team they are now looking for options from Bandra to goregoan near highway, source property for the same and spoke to vinamra he said he is busy and will call back 16th Feb: Mehul sir Met the client he got the updates 06th Feb: We have shared the layout spoke with Prem ji, He said very nice layout you made exactly what wanted but their promoter is not there today and will come on Monday. They will discuss this internally and get back to us on monday 03rd Feb: The Team visited and want to maintain the cubical style rquirement shared with the team waiting for Mock Layout 02nd Feb : Revisiting tomorrow with seniority 29th Jan: Yesterday I shared the requirement with Ankit sir, he said no bandwith and can get the layout tomorrow 28th Jan: Visit done. Showcased the property of landmark, Share the mock layout at the earliest 27th Jan: Spoke. Vinamra has proposed Landmark, conduct a visit tomorrow 23 Jan: Need to share him a introductry deck and some options available in andheri that fit his requirement.28th </v>
      </c>
      <c r="J130" s="1"/>
      <c r="K130" s="1"/>
      <c r="L130" s="1"/>
      <c r="M130" s="1"/>
      <c r="N130" s="1"/>
      <c r="O130" s="1"/>
      <c r="P130" s="1"/>
      <c r="Q130" s="1"/>
      <c r="R130" s="1"/>
      <c r="S130" s="1"/>
      <c r="T130" s="1"/>
      <c r="U130" s="1"/>
      <c r="V130" s="1"/>
      <c r="W130" s="1"/>
      <c r="X130" s="1"/>
      <c r="Y130" s="1"/>
      <c r="Z130" s="1"/>
    </row>
    <row r="131">
      <c r="A131" s="1"/>
      <c r="B131" s="32">
        <f>IFERROR(__xludf.DUMMYFUNCTION("""COMPUTED_VALUE"""),46045.0)</f>
        <v>46045</v>
      </c>
      <c r="C131" s="1" t="str">
        <f>IFERROR(__xludf.DUMMYFUNCTION("""COMPUTED_VALUE"""),"Ruta Karve Misra")</f>
        <v>Ruta Karve Misra</v>
      </c>
      <c r="D131" s="1" t="str">
        <f>IFERROR(__xludf.DUMMYFUNCTION("""COMPUTED_VALUE"""),"Intoitcare private limited")</f>
        <v>Intoitcare private limited</v>
      </c>
      <c r="E131" s="1" t="str">
        <f>IFERROR(__xludf.DUMMYFUNCTION("""COMPUTED_VALUE"""),"Lower Parel")</f>
        <v>Lower Parel</v>
      </c>
      <c r="F131" s="1" t="str">
        <f>IFERROR(__xludf.DUMMYFUNCTION("""COMPUTED_VALUE"""),"Lower parel")</f>
        <v>Lower parel</v>
      </c>
      <c r="G131" s="1" t="str">
        <f>IFERROR(__xludf.DUMMYFUNCTION("""COMPUTED_VALUE"""),"Shravani")</f>
        <v>Shravani</v>
      </c>
      <c r="H131" s="32"/>
      <c r="I131" s="1" t="str">
        <f>IFERROR(__xludf.DUMMYFUNCTION("""COMPUTED_VALUE"""),"3 Feb: She will discuss the same with her management and will update me. 27 Jan: She is travelling and will connect with me in the next week. 24 Jan: Ringing, dropprd a text. 23 Jan: She needs 4 to 5 Workstations.")</f>
        <v>3 Feb: She will discuss the same with her management and will update me. 27 Jan: She is travelling and will connect with me in the next week. 24 Jan: Ringing, dropprd a text. 23 Jan: She needs 4 to 5 Workstations.</v>
      </c>
      <c r="J131" s="1"/>
      <c r="K131" s="1"/>
      <c r="L131" s="1"/>
      <c r="M131" s="1"/>
      <c r="N131" s="1"/>
      <c r="O131" s="1"/>
      <c r="P131" s="1"/>
      <c r="Q131" s="1"/>
      <c r="R131" s="1"/>
      <c r="S131" s="1"/>
      <c r="T131" s="1"/>
      <c r="U131" s="1"/>
      <c r="V131" s="1"/>
      <c r="W131" s="1"/>
      <c r="X131" s="1"/>
      <c r="Y131" s="1"/>
      <c r="Z131" s="1"/>
    </row>
    <row r="132">
      <c r="A132" s="1"/>
      <c r="B132" s="32">
        <f>IFERROR(__xludf.DUMMYFUNCTION("""COMPUTED_VALUE"""),46045.0)</f>
        <v>46045</v>
      </c>
      <c r="C132" s="1" t="str">
        <f>IFERROR(__xludf.DUMMYFUNCTION("""COMPUTED_VALUE"""),"Samiir Halady")</f>
        <v>Samiir Halady</v>
      </c>
      <c r="D132" s="1" t="str">
        <f>IFERROR(__xludf.DUMMYFUNCTION("""COMPUTED_VALUE"""),"Samiir Halady Consulting")</f>
        <v>Samiir Halady Consulting</v>
      </c>
      <c r="E132" s="1" t="str">
        <f>IFERROR(__xludf.DUMMYFUNCTION("""COMPUTED_VALUE"""),"Lower Parel")</f>
        <v>Lower Parel</v>
      </c>
      <c r="F132" s="1" t="str">
        <f>IFERROR(__xludf.DUMMYFUNCTION("""COMPUTED_VALUE"""),"Lower parel")</f>
        <v>Lower parel</v>
      </c>
      <c r="G132" s="1" t="str">
        <f>IFERROR(__xludf.DUMMYFUNCTION("""COMPUTED_VALUE"""),"Shravani")</f>
        <v>Shravani</v>
      </c>
      <c r="H132" s="32"/>
      <c r="I132" s="1" t="str">
        <f>IFERROR(__xludf.DUMMYFUNCTION("""COMPUTED_VALUE"""),"3 Feb: Os 29 Jan: OS 27 Jan: He has asked me to call on 29 Jan. 23 Jan: OS")</f>
        <v>3 Feb: Os 29 Jan: OS 27 Jan: He has asked me to call on 29 Jan. 23 Jan: OS</v>
      </c>
      <c r="J132" s="1"/>
      <c r="K132" s="1"/>
      <c r="L132" s="1"/>
      <c r="M132" s="1"/>
      <c r="N132" s="1"/>
      <c r="O132" s="1"/>
      <c r="P132" s="1"/>
      <c r="Q132" s="1"/>
      <c r="R132" s="1"/>
      <c r="S132" s="1"/>
      <c r="T132" s="1"/>
      <c r="U132" s="1"/>
      <c r="V132" s="1"/>
      <c r="W132" s="1"/>
      <c r="X132" s="1"/>
      <c r="Y132" s="1"/>
      <c r="Z132" s="1"/>
    </row>
    <row r="133">
      <c r="A133" s="1"/>
      <c r="B133" s="32">
        <f>IFERROR(__xludf.DUMMYFUNCTION("""COMPUTED_VALUE"""),46045.0)</f>
        <v>46045</v>
      </c>
      <c r="C133" s="1" t="str">
        <f>IFERROR(__xludf.DUMMYFUNCTION("""COMPUTED_VALUE"""),"Pratik Parekh")</f>
        <v>Pratik Parekh</v>
      </c>
      <c r="D133" s="1" t="str">
        <f>IFERROR(__xludf.DUMMYFUNCTION("""COMPUTED_VALUE"""),"PPL")</f>
        <v>PPL</v>
      </c>
      <c r="E133" s="1" t="str">
        <f>IFERROR(__xludf.DUMMYFUNCTION("""COMPUTED_VALUE"""),"Lower Parel")</f>
        <v>Lower Parel</v>
      </c>
      <c r="F133" s="1" t="str">
        <f>IFERROR(__xludf.DUMMYFUNCTION("""COMPUTED_VALUE"""),"Lower parel")</f>
        <v>Lower parel</v>
      </c>
      <c r="G133" s="1" t="str">
        <f>IFERROR(__xludf.DUMMYFUNCTION("""COMPUTED_VALUE"""),"Shravani")</f>
        <v>Shravani</v>
      </c>
      <c r="H133" s="32"/>
      <c r="I133" s="1" t="str">
        <f>IFERROR(__xludf.DUMMYFUNCTION("""COMPUTED_VALUE"""),"23 Jan: He is not looking for an office. He wants to do interiors of his existing office in Andheri which is around 2000 sq.ft carpet. I'll ask Shabbir to take this up. Company Name: Prima Plastic Ltd.")</f>
        <v>23 Jan: He is not looking for an office. He wants to do interiors of his existing office in Andheri which is around 2000 sq.ft carpet. I'll ask Shabbir to take this up. Company Name: Prima Plastic Ltd.</v>
      </c>
      <c r="J133" s="1"/>
      <c r="K133" s="1"/>
      <c r="L133" s="1"/>
      <c r="M133" s="1"/>
      <c r="N133" s="1"/>
      <c r="O133" s="1"/>
      <c r="P133" s="1"/>
      <c r="Q133" s="1"/>
      <c r="R133" s="1"/>
      <c r="S133" s="1"/>
      <c r="T133" s="1"/>
      <c r="U133" s="1"/>
      <c r="V133" s="1"/>
      <c r="W133" s="1"/>
      <c r="X133" s="1"/>
      <c r="Y133" s="1"/>
      <c r="Z133" s="1"/>
    </row>
    <row r="134">
      <c r="A134" s="1"/>
      <c r="B134" s="32">
        <f>IFERROR(__xludf.DUMMYFUNCTION("""COMPUTED_VALUE"""),46043.0)</f>
        <v>46043</v>
      </c>
      <c r="C134" s="1" t="str">
        <f>IFERROR(__xludf.DUMMYFUNCTION("""COMPUTED_VALUE"""),"Hamavvand Chwda")</f>
        <v>Hamavvand Chwda</v>
      </c>
      <c r="D134" s="1" t="str">
        <f>IFERROR(__xludf.DUMMYFUNCTION("""COMPUTED_VALUE"""),"Balaji Telefilms")</f>
        <v>Balaji Telefilms</v>
      </c>
      <c r="E134" s="1" t="str">
        <f>IFERROR(__xludf.DUMMYFUNCTION("""COMPUTED_VALUE"""),"Andheri")</f>
        <v>Andheri</v>
      </c>
      <c r="F134" s="1" t="str">
        <f>IFERROR(__xludf.DUMMYFUNCTION("""COMPUTED_VALUE"""),"Andheri ")</f>
        <v>Andheri </v>
      </c>
      <c r="G134" s="1" t="str">
        <f>IFERROR(__xludf.DUMMYFUNCTION("""COMPUTED_VALUE"""),"Shubham ")</f>
        <v>Shubham </v>
      </c>
      <c r="H134" s="32" t="str">
        <f>IFERROR(__xludf.DUMMYFUNCTION("""COMPUTED_VALUE"""),"Hold")</f>
        <v>Hold</v>
      </c>
      <c r="I134" s="1" t="str">
        <f>IFERROR(__xludf.DUMMYFUNCTION("""COMPUTED_VALUE"""),"06 March: Ringing message dropped 16 Feb: Ringing, Dropped a text 29th Jan: Tried calling him didn't aswer text and calls, I will Andy to speak because he spoke initally. He replied saying the project is delayed and will get in touch when resumed.  28th J"&amp;"an: Tried calling him today as well he is not answering calls, I have texted him 27th Jan: Ringing didn't answer. 24th Jan: Tried calling he is not answering and nor replying to text 22nd Jan: Tried calling him didn't Answer will, dropped a text. 21st Jan"&amp;": Tried calling him didn't Answer will, dropped a text")</f>
        <v>06 March: Ringing message dropped 16 Feb: Ringing, Dropped a text 29th Jan: Tried calling him didn't aswer text and calls, I will Andy to speak because he spoke initally. He replied saying the project is delayed and will get in touch when resumed.  28th Jan: Tried calling him today as well he is not answering calls, I have texted him 27th Jan: Ringing didn't answer. 24th Jan: Tried calling he is not answering and nor replying to text 22nd Jan: Tried calling him didn't Answer will, dropped a text. 21st Jan: Tried calling him didn't Answer will, dropped a text</v>
      </c>
      <c r="J134" s="1"/>
      <c r="K134" s="1"/>
      <c r="L134" s="1"/>
      <c r="M134" s="1"/>
      <c r="N134" s="1"/>
      <c r="O134" s="1"/>
      <c r="P134" s="1"/>
      <c r="Q134" s="1"/>
      <c r="R134" s="1"/>
      <c r="S134" s="1"/>
      <c r="T134" s="1"/>
      <c r="U134" s="1"/>
      <c r="V134" s="1"/>
      <c r="W134" s="1"/>
      <c r="X134" s="1"/>
      <c r="Y134" s="1"/>
      <c r="Z134" s="1"/>
    </row>
    <row r="135">
      <c r="A135" s="1"/>
      <c r="B135" s="32">
        <f>IFERROR(__xludf.DUMMYFUNCTION("""COMPUTED_VALUE"""),46043.0)</f>
        <v>46043</v>
      </c>
      <c r="C135" s="1" t="str">
        <f>IFERROR(__xludf.DUMMYFUNCTION("""COMPUTED_VALUE"""),"Medha Sahasrabuddhe")</f>
        <v>Medha Sahasrabuddhe</v>
      </c>
      <c r="D135" s="1" t="str">
        <f>IFERROR(__xludf.DUMMYFUNCTION("""COMPUTED_VALUE"""),"Sticky Media")</f>
        <v>Sticky Media</v>
      </c>
      <c r="E135" s="1" t="str">
        <f>IFERROR(__xludf.DUMMYFUNCTION("""COMPUTED_VALUE"""),"Lower Parel")</f>
        <v>Lower Parel</v>
      </c>
      <c r="F135" s="1" t="str">
        <f>IFERROR(__xludf.DUMMYFUNCTION("""COMPUTED_VALUE"""),"Lower parel")</f>
        <v>Lower parel</v>
      </c>
      <c r="G135" s="1" t="str">
        <f>IFERROR(__xludf.DUMMYFUNCTION("""COMPUTED_VALUE"""),"Shravani")</f>
        <v>Shravani</v>
      </c>
      <c r="H135" s="32"/>
      <c r="I135" s="1" t="str">
        <f>IFERROR(__xludf.DUMMYFUNCTION("""COMPUTED_VALUE"""),"29 Jan: She said I'll call you back if I need any office. 28 Jan: Ringing. 27 Jan: Ringing. 24 Jan: Ringing. 22 Jan: Ringing. 21 Jan: Ringing ")</f>
        <v>29 Jan: She said I'll call you back if I need any office. 28 Jan: Ringing. 27 Jan: Ringing. 24 Jan: Ringing. 22 Jan: Ringing. 21 Jan: Ringing </v>
      </c>
      <c r="J135" s="1"/>
      <c r="K135" s="1"/>
      <c r="L135" s="1"/>
      <c r="M135" s="1"/>
      <c r="N135" s="1"/>
      <c r="O135" s="1"/>
      <c r="P135" s="1"/>
      <c r="Q135" s="1"/>
      <c r="R135" s="1"/>
      <c r="S135" s="1"/>
      <c r="T135" s="1"/>
      <c r="U135" s="1"/>
      <c r="V135" s="1"/>
      <c r="W135" s="1"/>
      <c r="X135" s="1"/>
      <c r="Y135" s="1"/>
      <c r="Z135" s="1"/>
    </row>
    <row r="136">
      <c r="A136" s="1"/>
      <c r="B136" s="32">
        <f>IFERROR(__xludf.DUMMYFUNCTION("""COMPUTED_VALUE"""),46043.0)</f>
        <v>46043</v>
      </c>
      <c r="C136" s="1" t="str">
        <f>IFERROR(__xludf.DUMMYFUNCTION("""COMPUTED_VALUE"""),"Charuhas K")</f>
        <v>Charuhas K</v>
      </c>
      <c r="D136" s="1" t="str">
        <f>IFERROR(__xludf.DUMMYFUNCTION("""COMPUTED_VALUE"""),"Bluemont ent.")</f>
        <v>Bluemont ent.</v>
      </c>
      <c r="E136" s="1" t="str">
        <f>IFERROR(__xludf.DUMMYFUNCTION("""COMPUTED_VALUE"""),"Lower Parel")</f>
        <v>Lower Parel</v>
      </c>
      <c r="F136" s="1" t="str">
        <f>IFERROR(__xludf.DUMMYFUNCTION("""COMPUTED_VALUE"""),"Lower parel")</f>
        <v>Lower parel</v>
      </c>
      <c r="G136" s="1" t="str">
        <f>IFERROR(__xludf.DUMMYFUNCTION("""COMPUTED_VALUE"""),"Shravani")</f>
        <v>Shravani</v>
      </c>
      <c r="H136" s="32"/>
      <c r="I136" s="1" t="str">
        <f>IFERROR(__xludf.DUMMYFUNCTION("""COMPUTED_VALUE"""),"21 Jan: He is not looking for any office option.")</f>
        <v>21 Jan: He is not looking for any office option.</v>
      </c>
      <c r="J136" s="1"/>
      <c r="K136" s="1"/>
      <c r="L136" s="1"/>
      <c r="M136" s="1"/>
      <c r="N136" s="1"/>
      <c r="O136" s="1"/>
      <c r="P136" s="1"/>
      <c r="Q136" s="1"/>
      <c r="R136" s="1"/>
      <c r="S136" s="1"/>
      <c r="T136" s="1"/>
      <c r="U136" s="1"/>
      <c r="V136" s="1"/>
      <c r="W136" s="1"/>
      <c r="X136" s="1"/>
      <c r="Y136" s="1"/>
      <c r="Z136" s="1"/>
    </row>
    <row r="137">
      <c r="A137" s="1"/>
      <c r="B137" s="32">
        <f>IFERROR(__xludf.DUMMYFUNCTION("""COMPUTED_VALUE"""),46042.0)</f>
        <v>46042</v>
      </c>
      <c r="C137" s="1" t="str">
        <f>IFERROR(__xludf.DUMMYFUNCTION("""COMPUTED_VALUE"""),"Rahul Maroo")</f>
        <v>Rahul Maroo</v>
      </c>
      <c r="D137" s="1" t="str">
        <f>IFERROR(__xludf.DUMMYFUNCTION("""COMPUTED_VALUE"""),"Bombay Travel Bazaar")</f>
        <v>Bombay Travel Bazaar</v>
      </c>
      <c r="E137" s="1" t="str">
        <f>IFERROR(__xludf.DUMMYFUNCTION("""COMPUTED_VALUE"""),"Lower Parel")</f>
        <v>Lower Parel</v>
      </c>
      <c r="F137" s="1" t="str">
        <f>IFERROR(__xludf.DUMMYFUNCTION("""COMPUTED_VALUE"""),"Lower parel")</f>
        <v>Lower parel</v>
      </c>
      <c r="G137" s="1" t="str">
        <f>IFERROR(__xludf.DUMMYFUNCTION("""COMPUTED_VALUE"""),"Shravani")</f>
        <v>Shravani</v>
      </c>
      <c r="H137" s="32"/>
      <c r="I137" s="1" t="str">
        <f>IFERROR(__xludf.DUMMYFUNCTION("""COMPUTED_VALUE"""),"3 Feb: Droped the plan to shift into a new office. 31 Jan: Dropped a text. 30 Jan: Ringing, dropped a text. 29 Jan: Need to share a commercial deck. 28 Jan: Vicky from his team mentioned that he will be visiting at 6:30pm. 27 Jan: Ringing. 24 Jan: Ringing"&amp;", dropped a text. 23 Jan: Dropped a text. 22 Jan: He will confirm the timings for visit by 2 PM. 21 Jan: Vickey from Rahul's team said he will visit tomorrow. 20 Jan: Shared with him the images and details. ")</f>
        <v>3 Feb: Droped the plan to shift into a new office. 31 Jan: Dropped a text. 30 Jan: Ringing, dropped a text. 29 Jan: Need to share a commercial deck. 28 Jan: Vicky from his team mentioned that he will be visiting at 6:30pm. 27 Jan: Ringing. 24 Jan: Ringing, dropped a text. 23 Jan: Dropped a text. 22 Jan: He will confirm the timings for visit by 2 PM. 21 Jan: Vickey from Rahul's team said he will visit tomorrow. 20 Jan: Shared with him the images and details. </v>
      </c>
      <c r="J137" s="1"/>
      <c r="K137" s="1"/>
      <c r="L137" s="1"/>
      <c r="M137" s="1"/>
      <c r="N137" s="1"/>
      <c r="O137" s="1"/>
      <c r="P137" s="1"/>
      <c r="Q137" s="1"/>
      <c r="R137" s="1"/>
      <c r="S137" s="1"/>
      <c r="T137" s="1"/>
      <c r="U137" s="1"/>
      <c r="V137" s="1"/>
      <c r="W137" s="1"/>
      <c r="X137" s="1"/>
      <c r="Y137" s="1"/>
      <c r="Z137" s="1"/>
    </row>
    <row r="138">
      <c r="A138" s="1"/>
      <c r="B138" s="32">
        <f>IFERROR(__xludf.DUMMYFUNCTION("""COMPUTED_VALUE"""),46041.0)</f>
        <v>46041</v>
      </c>
      <c r="C138" s="1" t="str">
        <f>IFERROR(__xludf.DUMMYFUNCTION("""COMPUTED_VALUE"""),"Bidesh MC")</f>
        <v>Bidesh MC</v>
      </c>
      <c r="D138" s="1" t="str">
        <f>IFERROR(__xludf.DUMMYFUNCTION("""COMPUTED_VALUE"""),"NSDL - National Securities Depository Limited")</f>
        <v>NSDL - National Securities Depository Limited</v>
      </c>
      <c r="E138" s="1" t="str">
        <f>IFERROR(__xludf.DUMMYFUNCTION("""COMPUTED_VALUE"""),"Lower Parel")</f>
        <v>Lower Parel</v>
      </c>
      <c r="F138" s="1" t="str">
        <f>IFERROR(__xludf.DUMMYFUNCTION("""COMPUTED_VALUE"""),"Lower Parel")</f>
        <v>Lower Parel</v>
      </c>
      <c r="G138" s="1" t="str">
        <f>IFERROR(__xludf.DUMMYFUNCTION("""COMPUTED_VALUE"""),"Shravani")</f>
        <v>Shravani</v>
      </c>
      <c r="H138" s="32"/>
      <c r="I138" s="1" t="str">
        <f>IFERROR(__xludf.DUMMYFUNCTION("""COMPUTED_VALUE"""),"30 Jan: The requirement is on hold. 30 Jan: Dropped a text. 29 Jan: Ringing. 28 Jan: Ringing. 27 Jan: Ringing, dropped a text. 24 Jan: Ringing, dropped a text. 22 Jan: He will let me know about the visit soon. 21 Jan: He has ask me to share a mail. 20 Jan"&amp;": Ringing, Dropped a text. 19 Jan: 20 Seater Cabin")</f>
        <v>30 Jan: The requirement is on hold. 30 Jan: Dropped a text. 29 Jan: Ringing. 28 Jan: Ringing. 27 Jan: Ringing, dropped a text. 24 Jan: Ringing, dropped a text. 22 Jan: He will let me know about the visit soon. 21 Jan: He has ask me to share a mail. 20 Jan: Ringing, Dropped a text. 19 Jan: 20 Seater Cabin</v>
      </c>
      <c r="J138" s="1"/>
      <c r="K138" s="1"/>
      <c r="L138" s="1"/>
      <c r="M138" s="1"/>
      <c r="N138" s="1"/>
      <c r="O138" s="1"/>
      <c r="P138" s="1"/>
      <c r="Q138" s="1"/>
      <c r="R138" s="1"/>
      <c r="S138" s="1"/>
      <c r="T138" s="1"/>
      <c r="U138" s="1"/>
      <c r="V138" s="1"/>
      <c r="W138" s="1"/>
      <c r="X138" s="1"/>
      <c r="Y138" s="1"/>
      <c r="Z138" s="1"/>
    </row>
    <row r="139">
      <c r="A139" s="1"/>
      <c r="B139" s="32">
        <f>IFERROR(__xludf.DUMMYFUNCTION("""COMPUTED_VALUE"""),46041.0)</f>
        <v>46041</v>
      </c>
      <c r="C139" s="1" t="str">
        <f>IFERROR(__xludf.DUMMYFUNCTION("""COMPUTED_VALUE"""),"Gurjeet Singh Bassan")</f>
        <v>Gurjeet Singh Bassan</v>
      </c>
      <c r="D139" s="1" t="str">
        <f>IFERROR(__xludf.DUMMYFUNCTION("""COMPUTED_VALUE"""),"Business")</f>
        <v>Business</v>
      </c>
      <c r="E139" s="1" t="str">
        <f>IFERROR(__xludf.DUMMYFUNCTION("""COMPUTED_VALUE"""),"Lower Parel")</f>
        <v>Lower Parel</v>
      </c>
      <c r="F139" s="1" t="str">
        <f>IFERROR(__xludf.DUMMYFUNCTION("""COMPUTED_VALUE"""),"Lower Parel")</f>
        <v>Lower Parel</v>
      </c>
      <c r="G139" s="1" t="str">
        <f>IFERROR(__xludf.DUMMYFUNCTION("""COMPUTED_VALUE"""),"Shravani")</f>
        <v>Shravani</v>
      </c>
      <c r="H139" s="32"/>
      <c r="I139" s="1" t="str">
        <f>IFERROR(__xludf.DUMMYFUNCTION("""COMPUTED_VALUE"""),"3 Feb: Ringing. 31 Jan: Dropped a text. 30 Jan: Diclined the call. 29 Jan: Ringing. 28 Jan: Ringing. 27 Jan: Ringing. 22 Jan: Ringing. 21 Jan: Ringing, dropped a text. 20 Jan: Disconnected my call. 19 Jan: He is busy rightnow.")</f>
        <v>3 Feb: Ringing. 31 Jan: Dropped a text. 30 Jan: Diclined the call. 29 Jan: Ringing. 28 Jan: Ringing. 27 Jan: Ringing. 22 Jan: Ringing. 21 Jan: Ringing, dropped a text. 20 Jan: Disconnected my call. 19 Jan: He is busy rightnow.</v>
      </c>
      <c r="J139" s="1"/>
      <c r="K139" s="1"/>
      <c r="L139" s="1"/>
      <c r="M139" s="1"/>
      <c r="N139" s="1"/>
      <c r="O139" s="1"/>
      <c r="P139" s="1"/>
      <c r="Q139" s="1"/>
      <c r="R139" s="1"/>
      <c r="S139" s="1"/>
      <c r="T139" s="1"/>
      <c r="U139" s="1"/>
      <c r="V139" s="1"/>
      <c r="W139" s="1"/>
      <c r="X139" s="1"/>
      <c r="Y139" s="1"/>
      <c r="Z139" s="1"/>
    </row>
    <row r="140">
      <c r="A140" s="1"/>
      <c r="B140" s="32">
        <f>IFERROR(__xludf.DUMMYFUNCTION("""COMPUTED_VALUE"""),46041.0)</f>
        <v>46041</v>
      </c>
      <c r="C140" s="1" t="str">
        <f>IFERROR(__xludf.DUMMYFUNCTION("""COMPUTED_VALUE"""),"Dinesh Mhaskar")</f>
        <v>Dinesh Mhaskar</v>
      </c>
      <c r="D140" s="1" t="str">
        <f>IFERROR(__xludf.DUMMYFUNCTION("""COMPUTED_VALUE"""),"Dsense Digital")</f>
        <v>Dsense Digital</v>
      </c>
      <c r="E140" s="1" t="str">
        <f>IFERROR(__xludf.DUMMYFUNCTION("""COMPUTED_VALUE"""),"Lower Parel")</f>
        <v>Lower Parel</v>
      </c>
      <c r="F140" s="1" t="str">
        <f>IFERROR(__xludf.DUMMYFUNCTION("""COMPUTED_VALUE"""),"Lower Parel")</f>
        <v>Lower Parel</v>
      </c>
      <c r="G140" s="1" t="str">
        <f>IFERROR(__xludf.DUMMYFUNCTION("""COMPUTED_VALUE"""),"Shravani")</f>
        <v>Shravani</v>
      </c>
      <c r="H140" s="32"/>
      <c r="I140" s="1" t="str">
        <f>IFERROR(__xludf.DUMMYFUNCTION("""COMPUTED_VALUE"""),"3 Feb: Ringing. 31 Jan: Dropped a text. 30 Jan: Ringing. 29 Jan: Ringing. 28 Jan: Ringing, dropped a text. 27 Jan: Ringing, dropped a text. 24 Jan: He will try to visit next week. 22 Jan: Ringing. 21 Jan: Ringing, dropped a text. 20 Jan: Ringing. 19 Jan: "&amp;"Ringing")</f>
        <v>3 Feb: Ringing. 31 Jan: Dropped a text. 30 Jan: Ringing. 29 Jan: Ringing. 28 Jan: Ringing, dropped a text. 27 Jan: Ringing, dropped a text. 24 Jan: He will try to visit next week. 22 Jan: Ringing. 21 Jan: Ringing, dropped a text. 20 Jan: Ringing. 19 Jan: Ringing</v>
      </c>
      <c r="J140" s="1"/>
      <c r="K140" s="1"/>
      <c r="L140" s="1"/>
      <c r="M140" s="1"/>
      <c r="N140" s="1"/>
      <c r="O140" s="1"/>
      <c r="P140" s="1"/>
      <c r="Q140" s="1"/>
      <c r="R140" s="1"/>
      <c r="S140" s="1"/>
      <c r="T140" s="1"/>
      <c r="U140" s="1"/>
      <c r="V140" s="1"/>
      <c r="W140" s="1"/>
      <c r="X140" s="1"/>
      <c r="Y140" s="1"/>
      <c r="Z140" s="1"/>
    </row>
    <row r="141">
      <c r="A141" s="1"/>
      <c r="B141" s="32">
        <f>IFERROR(__xludf.DUMMYFUNCTION("""COMPUTED_VALUE"""),46041.0)</f>
        <v>46041</v>
      </c>
      <c r="C141" s="1" t="str">
        <f>IFERROR(__xludf.DUMMYFUNCTION("""COMPUTED_VALUE"""),"Yogesh More")</f>
        <v>Yogesh More</v>
      </c>
      <c r="D141" s="1" t="str">
        <f>IFERROR(__xludf.DUMMYFUNCTION("""COMPUTED_VALUE"""),"Self Employed")</f>
        <v>Self Employed</v>
      </c>
      <c r="E141" s="1" t="str">
        <f>IFERROR(__xludf.DUMMYFUNCTION("""COMPUTED_VALUE"""),"Lower Parel")</f>
        <v>Lower Parel</v>
      </c>
      <c r="F141" s="1" t="str">
        <f>IFERROR(__xludf.DUMMYFUNCTION("""COMPUTED_VALUE"""),"Lower Parel")</f>
        <v>Lower Parel</v>
      </c>
      <c r="G141" s="1" t="str">
        <f>IFERROR(__xludf.DUMMYFUNCTION("""COMPUTED_VALUE"""),"Shravani")</f>
        <v>Shravani</v>
      </c>
      <c r="H141" s="32"/>
      <c r="I141" s="1" t="str">
        <f>IFERROR(__xludf.DUMMYFUNCTION("""COMPUTED_VALUE"""),"3 Feb: Declined the call. 31 Jan: Dropped a text. 30 Jan: He wants to move in from April. He is currently out of station and will get back to me once he is back. 24 Jan: He said call me after somedays as he is busy with some personal commitments. 22 Jan: "&amp;"Switched Off. 21 Jan: OS, dropped him a text. 20 Jan: Disconnected my call. 19 Jan: Ringing")</f>
        <v>3 Feb: Declined the call. 31 Jan: Dropped a text. 30 Jan: He wants to move in from April. He is currently out of station and will get back to me once he is back. 24 Jan: He said call me after somedays as he is busy with some personal commitments. 22 Jan: Switched Off. 21 Jan: OS, dropped him a text. 20 Jan: Disconnected my call. 19 Jan: Ringing</v>
      </c>
      <c r="J141" s="1"/>
      <c r="K141" s="1"/>
      <c r="L141" s="1"/>
      <c r="M141" s="1"/>
      <c r="N141" s="1"/>
      <c r="O141" s="1"/>
      <c r="P141" s="1"/>
      <c r="Q141" s="1"/>
      <c r="R141" s="1"/>
      <c r="S141" s="1"/>
      <c r="T141" s="1"/>
      <c r="U141" s="1"/>
      <c r="V141" s="1"/>
      <c r="W141" s="1"/>
      <c r="X141" s="1"/>
      <c r="Y141" s="1"/>
      <c r="Z141" s="1"/>
    </row>
    <row r="142">
      <c r="A142" s="1"/>
      <c r="B142" s="32">
        <f>IFERROR(__xludf.DUMMYFUNCTION("""COMPUTED_VALUE"""),46041.0)</f>
        <v>46041</v>
      </c>
      <c r="C142" s="1" t="str">
        <f>IFERROR(__xludf.DUMMYFUNCTION("""COMPUTED_VALUE"""),"Bharat  Vora")</f>
        <v>Bharat  Vora</v>
      </c>
      <c r="D142" s="1" t="str">
        <f>IFERROR(__xludf.DUMMYFUNCTION("""COMPUTED_VALUE"""),"Self-employed")</f>
        <v>Self-employed</v>
      </c>
      <c r="E142" s="1" t="str">
        <f>IFERROR(__xludf.DUMMYFUNCTION("""COMPUTED_VALUE"""),"Lower Parel")</f>
        <v>Lower Parel</v>
      </c>
      <c r="F142" s="1" t="str">
        <f>IFERROR(__xludf.DUMMYFUNCTION("""COMPUTED_VALUE"""),"Lower parel")</f>
        <v>Lower parel</v>
      </c>
      <c r="G142" s="1" t="str">
        <f>IFERROR(__xludf.DUMMYFUNCTION("""COMPUTED_VALUE"""),"Shravani")</f>
        <v>Shravani</v>
      </c>
      <c r="H142" s="32"/>
      <c r="I142" s="1" t="str">
        <f>IFERROR(__xludf.DUMMYFUNCTION("""COMPUTED_VALUE"""),"3 Feb: Ringing. 31 Jan: Dropped a text. 30: He will call me back next week. 29 Jan: Ringing. 28 Jan: Dropped a text. 24Jan: He is not in town, he will call me once he is back. 22 Jan: Dropped him a text. 21 Jan: I texted him to ask about visit plans, and "&amp;"he said he’d let me know. 20 Jan: He said he will get back to me after sometime. 19 Jan: 5 seater cabin Shared the commercials and images")</f>
        <v>3 Feb: Ringing. 31 Jan: Dropped a text. 30: He will call me back next week. 29 Jan: Ringing. 28 Jan: Dropped a text. 24Jan: He is not in town, he will call me once he is back. 22 Jan: Dropped him a text. 21 Jan: I texted him to ask about visit plans, and he said he’d let me know. 20 Jan: He said he will get back to me after sometime. 19 Jan: 5 seater cabin Shared the commercials and images</v>
      </c>
      <c r="J142" s="1"/>
      <c r="K142" s="1"/>
      <c r="L142" s="1"/>
      <c r="M142" s="1"/>
      <c r="N142" s="1"/>
      <c r="O142" s="1"/>
      <c r="P142" s="1"/>
      <c r="Q142" s="1"/>
      <c r="R142" s="1"/>
      <c r="S142" s="1"/>
      <c r="T142" s="1"/>
      <c r="U142" s="1"/>
      <c r="V142" s="1"/>
      <c r="W142" s="1"/>
      <c r="X142" s="1"/>
      <c r="Y142" s="1"/>
      <c r="Z142" s="1"/>
    </row>
    <row r="143">
      <c r="A143" s="1"/>
      <c r="B143" s="32">
        <f>IFERROR(__xludf.DUMMYFUNCTION("""COMPUTED_VALUE"""),46041.0)</f>
        <v>46041</v>
      </c>
      <c r="C143" s="1" t="str">
        <f>IFERROR(__xludf.DUMMYFUNCTION("""COMPUTED_VALUE"""),"Sandesh Mandavkar")</f>
        <v>Sandesh Mandavkar</v>
      </c>
      <c r="D143" s="1" t="str">
        <f>IFERROR(__xludf.DUMMYFUNCTION("""COMPUTED_VALUE"""),"Swatantra ethnic wear")</f>
        <v>Swatantra ethnic wear</v>
      </c>
      <c r="E143" s="1" t="str">
        <f>IFERROR(__xludf.DUMMYFUNCTION("""COMPUTED_VALUE"""),"Lower Parel")</f>
        <v>Lower Parel</v>
      </c>
      <c r="F143" s="1" t="str">
        <f>IFERROR(__xludf.DUMMYFUNCTION("""COMPUTED_VALUE"""),"Lower parel")</f>
        <v>Lower parel</v>
      </c>
      <c r="G143" s="1" t="str">
        <f>IFERROR(__xludf.DUMMYFUNCTION("""COMPUTED_VALUE"""),"Shravani")</f>
        <v>Shravani</v>
      </c>
      <c r="H143" s="32"/>
      <c r="I143" s="1" t="str">
        <f>IFERROR(__xludf.DUMMYFUNCTION("""COMPUTED_VALUE"""),"21 Jan: He is not interested. 20 Jan: Ringing. 19 Jan: Ringing")</f>
        <v>21 Jan: He is not interested. 20 Jan: Ringing. 19 Jan: Ringing</v>
      </c>
      <c r="J143" s="1"/>
      <c r="K143" s="1"/>
      <c r="L143" s="1"/>
      <c r="M143" s="1"/>
      <c r="N143" s="1"/>
      <c r="O143" s="1"/>
      <c r="P143" s="1"/>
      <c r="Q143" s="1"/>
      <c r="R143" s="1"/>
      <c r="S143" s="1"/>
      <c r="T143" s="1"/>
      <c r="U143" s="1"/>
      <c r="V143" s="1"/>
      <c r="W143" s="1"/>
      <c r="X143" s="1"/>
      <c r="Y143" s="1"/>
      <c r="Z143" s="1"/>
    </row>
    <row r="144">
      <c r="A144" s="1"/>
      <c r="B144" s="32">
        <f>IFERROR(__xludf.DUMMYFUNCTION("""COMPUTED_VALUE"""),46041.0)</f>
        <v>46041</v>
      </c>
      <c r="C144" s="1" t="str">
        <f>IFERROR(__xludf.DUMMYFUNCTION("""COMPUTED_VALUE"""),"Akhil. Srivastava")</f>
        <v>Akhil. Srivastava</v>
      </c>
      <c r="D144" s="1" t="str">
        <f>IFERROR(__xludf.DUMMYFUNCTION("""COMPUTED_VALUE"""),"Dojo Marketing Communications")</f>
        <v>Dojo Marketing Communications</v>
      </c>
      <c r="E144" s="1" t="str">
        <f>IFERROR(__xludf.DUMMYFUNCTION("""COMPUTED_VALUE"""),"Lower Parel")</f>
        <v>Lower Parel</v>
      </c>
      <c r="F144" s="1" t="str">
        <f>IFERROR(__xludf.DUMMYFUNCTION("""COMPUTED_VALUE"""),"Lower parel")</f>
        <v>Lower parel</v>
      </c>
      <c r="G144" s="1" t="str">
        <f>IFERROR(__xludf.DUMMYFUNCTION("""COMPUTED_VALUE"""),"Shravani")</f>
        <v>Shravani</v>
      </c>
      <c r="H144" s="32"/>
      <c r="I144" s="1" t="str">
        <f>IFERROR(__xludf.DUMMYFUNCTION("""COMPUTED_VALUE"""),"3 Feb: Busy on Call. 31 Jan: Dropped a text. 30 Jan: Ringing, dropped a text. 29 Jan: Ringing. 28 Jan: Ringing. 27 Jan: Ringing. 24 Jan: Ringing, dropped a text. 22 Jan: Ringing. 21 Jan: Ringing, dropped a text. 20 Jan: Ringing. 19 Jan: Ringing")</f>
        <v>3 Feb: Busy on Call. 31 Jan: Dropped a text. 30 Jan: Ringing, dropped a text. 29 Jan: Ringing. 28 Jan: Ringing. 27 Jan: Ringing. 24 Jan: Ringing, dropped a text. 22 Jan: Ringing. 21 Jan: Ringing, dropped a text. 20 Jan: Ringing. 19 Jan: Ringing</v>
      </c>
      <c r="J144" s="1"/>
      <c r="K144" s="1"/>
      <c r="L144" s="1"/>
      <c r="M144" s="1"/>
      <c r="N144" s="1"/>
      <c r="O144" s="1"/>
      <c r="P144" s="1"/>
      <c r="Q144" s="1"/>
      <c r="R144" s="1"/>
      <c r="S144" s="1"/>
      <c r="T144" s="1"/>
      <c r="U144" s="1"/>
      <c r="V144" s="1"/>
      <c r="W144" s="1"/>
      <c r="X144" s="1"/>
      <c r="Y144" s="1"/>
      <c r="Z144" s="1"/>
    </row>
    <row r="145">
      <c r="A145" s="1"/>
      <c r="B145" s="32">
        <f>IFERROR(__xludf.DUMMYFUNCTION("""COMPUTED_VALUE"""),46041.0)</f>
        <v>46041</v>
      </c>
      <c r="C145" s="1" t="str">
        <f>IFERROR(__xludf.DUMMYFUNCTION("""COMPUTED_VALUE"""),"shilpa Kamble")</f>
        <v>shilpa Kamble</v>
      </c>
      <c r="D145" s="1" t="str">
        <f>IFERROR(__xludf.DUMMYFUNCTION("""COMPUTED_VALUE"""),"Inspiring Life Communities")</f>
        <v>Inspiring Life Communities</v>
      </c>
      <c r="E145" s="1" t="str">
        <f>IFERROR(__xludf.DUMMYFUNCTION("""COMPUTED_VALUE"""),"Lower Parel")</f>
        <v>Lower Parel</v>
      </c>
      <c r="F145" s="1" t="str">
        <f>IFERROR(__xludf.DUMMYFUNCTION("""COMPUTED_VALUE"""),"Lower parel")</f>
        <v>Lower parel</v>
      </c>
      <c r="G145" s="1" t="str">
        <f>IFERROR(__xludf.DUMMYFUNCTION("""COMPUTED_VALUE"""),"Shravani")</f>
        <v>Shravani</v>
      </c>
      <c r="H145" s="32"/>
      <c r="I145" s="1" t="str">
        <f>IFERROR(__xludf.DUMMYFUNCTION("""COMPUTED_VALUE"""),"3 Feb: Ringing. 31 Jan: Dropped a text. 30 Jan: Declined the call, dropped a text. 29 Jan: Ringing. 28 Jan: Disconnected the call. 27 Jan: Ringing. 24 Jan: Ringing, dropped a text. 22 Jan: Disconnected the call. 21 Jan: Ringing, dropped a text. 20 Jan: Ri"&amp;"nging. 19 Jan: Disconnected the call")</f>
        <v>3 Feb: Ringing. 31 Jan: Dropped a text. 30 Jan: Declined the call, dropped a text. 29 Jan: Ringing. 28 Jan: Disconnected the call. 27 Jan: Ringing. 24 Jan: Ringing, dropped a text. 22 Jan: Disconnected the call. 21 Jan: Ringing, dropped a text. 20 Jan: Ringing. 19 Jan: Disconnected the call</v>
      </c>
      <c r="J145" s="1"/>
      <c r="K145" s="1"/>
      <c r="L145" s="1"/>
      <c r="M145" s="1"/>
      <c r="N145" s="1"/>
      <c r="O145" s="1"/>
      <c r="P145" s="1"/>
      <c r="Q145" s="1"/>
      <c r="R145" s="1"/>
      <c r="S145" s="1"/>
      <c r="T145" s="1"/>
      <c r="U145" s="1"/>
      <c r="V145" s="1"/>
      <c r="W145" s="1"/>
      <c r="X145" s="1"/>
      <c r="Y145" s="1"/>
      <c r="Z145" s="1"/>
    </row>
    <row r="146">
      <c r="A146" s="1"/>
      <c r="B146" s="32">
        <f>IFERROR(__xludf.DUMMYFUNCTION("""COMPUTED_VALUE"""),46041.0)</f>
        <v>46041</v>
      </c>
      <c r="C146" s="1" t="str">
        <f>IFERROR(__xludf.DUMMYFUNCTION("""COMPUTED_VALUE"""),"Dhiren Katariya")</f>
        <v>Dhiren Katariya</v>
      </c>
      <c r="D146" s="1" t="str">
        <f>IFERROR(__xludf.DUMMYFUNCTION("""COMPUTED_VALUE"""),"Globle Consulting")</f>
        <v>Globle Consulting</v>
      </c>
      <c r="E146" s="1" t="str">
        <f>IFERROR(__xludf.DUMMYFUNCTION("""COMPUTED_VALUE"""),"Lower Parel")</f>
        <v>Lower Parel</v>
      </c>
      <c r="F146" s="1" t="str">
        <f>IFERROR(__xludf.DUMMYFUNCTION("""COMPUTED_VALUE"""),"Lower parel")</f>
        <v>Lower parel</v>
      </c>
      <c r="G146" s="1" t="str">
        <f>IFERROR(__xludf.DUMMYFUNCTION("""COMPUTED_VALUE"""),"Shravani")</f>
        <v>Shravani</v>
      </c>
      <c r="H146" s="32"/>
      <c r="I146" s="1" t="str">
        <f>IFERROR(__xludf.DUMMYFUNCTION("""COMPUTED_VALUE"""),"21 Jan: He is looking for a conventional office. 20 Jan: Ringing, Dropped a text. 19 Jan: 5 Seater Cabin")</f>
        <v>21 Jan: He is looking for a conventional office. 20 Jan: Ringing, Dropped a text. 19 Jan: 5 Seater Cabin</v>
      </c>
      <c r="J146" s="1"/>
      <c r="K146" s="1"/>
      <c r="L146" s="1"/>
      <c r="M146" s="1"/>
      <c r="N146" s="1"/>
      <c r="O146" s="1"/>
      <c r="P146" s="1"/>
      <c r="Q146" s="1"/>
      <c r="R146" s="1"/>
      <c r="S146" s="1"/>
      <c r="T146" s="1"/>
      <c r="U146" s="1"/>
      <c r="V146" s="1"/>
      <c r="W146" s="1"/>
      <c r="X146" s="1"/>
      <c r="Y146" s="1"/>
      <c r="Z146" s="1"/>
    </row>
    <row r="147">
      <c r="A147" s="1"/>
      <c r="B147" s="32">
        <f>IFERROR(__xludf.DUMMYFUNCTION("""COMPUTED_VALUE"""),46035.0)</f>
        <v>46035</v>
      </c>
      <c r="C147" s="1" t="str">
        <f>IFERROR(__xludf.DUMMYFUNCTION("""COMPUTED_VALUE"""),"Nandan Savnal")</f>
        <v>Nandan Savnal</v>
      </c>
      <c r="D147" s="1" t="str">
        <f>IFERROR(__xludf.DUMMYFUNCTION("""COMPUTED_VALUE"""),"Peoplesys Consulting Pvt. Ltd")</f>
        <v>Peoplesys Consulting Pvt. Ltd</v>
      </c>
      <c r="E147" s="1" t="str">
        <f>IFERROR(__xludf.DUMMYFUNCTION("""COMPUTED_VALUE"""),"Lower Parel")</f>
        <v>Lower Parel</v>
      </c>
      <c r="F147" s="1" t="str">
        <f>IFERROR(__xludf.DUMMYFUNCTION("""COMPUTED_VALUE"""),"Lower Parel")</f>
        <v>Lower Parel</v>
      </c>
      <c r="G147" s="1" t="str">
        <f>IFERROR(__xludf.DUMMYFUNCTION("""COMPUTED_VALUE"""),"Shravani")</f>
        <v>Shravani</v>
      </c>
      <c r="H147" s="32"/>
      <c r="I147" s="1" t="str">
        <f>IFERROR(__xludf.DUMMYFUNCTION("""COMPUTED_VALUE"""),"22 Jan: Riging. 21 Jan: He is asking for 15k, inclusive of GST, with a 24-hour package that includes the meeting room. 20 Jan: He said 15k is too high, he needs some time to think. 19 Jan: Visit Done, have to share the commercials.")</f>
        <v>22 Jan: Riging. 21 Jan: He is asking for 15k, inclusive of GST, with a 24-hour package that includes the meeting room. 20 Jan: He said 15k is too high, he needs some time to think. 19 Jan: Visit Done, have to share the commercials.</v>
      </c>
      <c r="J147" s="1"/>
      <c r="K147" s="1"/>
      <c r="L147" s="1"/>
      <c r="M147" s="1"/>
      <c r="N147" s="1"/>
      <c r="O147" s="1"/>
      <c r="P147" s="1"/>
      <c r="Q147" s="1"/>
      <c r="R147" s="1"/>
      <c r="S147" s="1"/>
      <c r="T147" s="1"/>
      <c r="U147" s="1"/>
      <c r="V147" s="1"/>
      <c r="W147" s="1"/>
      <c r="X147" s="1"/>
      <c r="Y147" s="1"/>
      <c r="Z147" s="1"/>
    </row>
    <row r="148">
      <c r="A148" s="1"/>
      <c r="B148" s="32">
        <f>IFERROR(__xludf.DUMMYFUNCTION("""COMPUTED_VALUE"""),46035.0)</f>
        <v>46035</v>
      </c>
      <c r="C148" s="1" t="str">
        <f>IFERROR(__xludf.DUMMYFUNCTION("""COMPUTED_VALUE"""),"Bhaskaran Adambakkam")</f>
        <v>Bhaskaran Adambakkam</v>
      </c>
      <c r="D148" s="1" t="str">
        <f>IFERROR(__xludf.DUMMYFUNCTION("""COMPUTED_VALUE"""),"Tiptop Driver")</f>
        <v>Tiptop Driver</v>
      </c>
      <c r="E148" s="1" t="str">
        <f>IFERROR(__xludf.DUMMYFUNCTION("""COMPUTED_VALUE"""),"Lower Parel")</f>
        <v>Lower Parel</v>
      </c>
      <c r="F148" s="1" t="str">
        <f>IFERROR(__xludf.DUMMYFUNCTION("""COMPUTED_VALUE"""),"Lower Parel")</f>
        <v>Lower Parel</v>
      </c>
      <c r="G148" s="1" t="str">
        <f>IFERROR(__xludf.DUMMYFUNCTION("""COMPUTED_VALUE"""),"Shravani")</f>
        <v>Shravani</v>
      </c>
      <c r="H148" s="32"/>
      <c r="I148" s="1" t="str">
        <f>IFERROR(__xludf.DUMMYFUNCTION("""COMPUTED_VALUE"""),"29 Jan: His requirement is fulfilled. 28 Jan: He asked me to call tomorrow. 27 Jan: Drooped a text. 24 Jan: Ringing. 23 Jan: Ringing. 21 Jan: OS. 20 Jan: Ringing. 19 Jan: Ringing. 16 Jan: Ringing.15 Jan: Busy on Call.14 Jan: Ringing.13th Jan: Ringing.")</f>
        <v>29 Jan: His requirement is fulfilled. 28 Jan: He asked me to call tomorrow. 27 Jan: Drooped a text. 24 Jan: Ringing. 23 Jan: Ringing. 21 Jan: OS. 20 Jan: Ringing. 19 Jan: Ringing. 16 Jan: Ringing.15 Jan: Busy on Call.14 Jan: Ringing.13th Jan: Ringing.</v>
      </c>
      <c r="J148" s="1"/>
      <c r="K148" s="1"/>
      <c r="L148" s="1"/>
      <c r="M148" s="1"/>
      <c r="N148" s="1"/>
      <c r="O148" s="1"/>
      <c r="P148" s="1"/>
      <c r="Q148" s="1"/>
      <c r="R148" s="1"/>
      <c r="S148" s="1"/>
      <c r="T148" s="1"/>
      <c r="U148" s="1"/>
      <c r="V148" s="1"/>
      <c r="W148" s="1"/>
      <c r="X148" s="1"/>
      <c r="Y148" s="1"/>
      <c r="Z148" s="1"/>
    </row>
    <row r="149">
      <c r="A149" s="1"/>
      <c r="B149" s="32">
        <f>IFERROR(__xludf.DUMMYFUNCTION("""COMPUTED_VALUE"""),46034.0)</f>
        <v>46034</v>
      </c>
      <c r="C149" s="1" t="str">
        <f>IFERROR(__xludf.DUMMYFUNCTION("""COMPUTED_VALUE"""),"Silver Haven")</f>
        <v>Silver Haven</v>
      </c>
      <c r="D149" s="1" t="str">
        <f>IFERROR(__xludf.DUMMYFUNCTION("""COMPUTED_VALUE"""),"Carbiforce")</f>
        <v>Carbiforce</v>
      </c>
      <c r="E149" s="1" t="str">
        <f>IFERROR(__xludf.DUMMYFUNCTION("""COMPUTED_VALUE"""),"Lower Parel")</f>
        <v>Lower Parel</v>
      </c>
      <c r="F149" s="1" t="str">
        <f>IFERROR(__xludf.DUMMYFUNCTION("""COMPUTED_VALUE"""),"Lower parel")</f>
        <v>Lower parel</v>
      </c>
      <c r="G149" s="1" t="str">
        <f>IFERROR(__xludf.DUMMYFUNCTION("""COMPUTED_VALUE"""),"Shravani")</f>
        <v>Shravani</v>
      </c>
      <c r="H149" s="32"/>
      <c r="I149" s="1" t="str">
        <f>IFERROR(__xludf.DUMMYFUNCTION("""COMPUTED_VALUE"""),"3 Feb: Ringing. 31 Jan: Dropped a text. 30 Jan: Ringing. 29 Jan: Busy on call. 28 Jan: Ringing. 27 Jan: Ringing. 24 Jan: dropped a text. 22 Jan: He has asked me to call on Tuesday.  21Jan: Ringing. 20 Jan: Ringing, Dropped a text. 15 Jan: Followed up for "&amp;"visit plans. 13 Jan: Busy on call, dropped a text.")</f>
        <v>3 Feb: Ringing. 31 Jan: Dropped a text. 30 Jan: Ringing. 29 Jan: Busy on call. 28 Jan: Ringing. 27 Jan: Ringing. 24 Jan: dropped a text. 22 Jan: He has asked me to call on Tuesday.  21Jan: Ringing. 20 Jan: Ringing, Dropped a text. 15 Jan: Followed up for visit plans. 13 Jan: Busy on call, dropped a text.</v>
      </c>
      <c r="J149" s="1"/>
      <c r="K149" s="1"/>
      <c r="L149" s="1"/>
      <c r="M149" s="1"/>
      <c r="N149" s="1"/>
      <c r="O149" s="1"/>
      <c r="P149" s="1"/>
      <c r="Q149" s="1"/>
      <c r="R149" s="1"/>
      <c r="S149" s="1"/>
      <c r="T149" s="1"/>
      <c r="U149" s="1"/>
      <c r="V149" s="1"/>
      <c r="W149" s="1"/>
      <c r="X149" s="1"/>
      <c r="Y149" s="1"/>
      <c r="Z149" s="1"/>
    </row>
    <row r="150">
      <c r="A150" s="1"/>
      <c r="B150" s="32">
        <f>IFERROR(__xludf.DUMMYFUNCTION("""COMPUTED_VALUE"""),46034.0)</f>
        <v>46034</v>
      </c>
      <c r="C150" s="1" t="str">
        <f>IFERROR(__xludf.DUMMYFUNCTION("""COMPUTED_VALUE"""),"Arun Sabnis")</f>
        <v>Arun Sabnis</v>
      </c>
      <c r="D150" s="1" t="str">
        <f>IFERROR(__xludf.DUMMYFUNCTION("""COMPUTED_VALUE"""),"Creator Advertising Ltd")</f>
        <v>Creator Advertising Ltd</v>
      </c>
      <c r="E150" s="1" t="str">
        <f>IFERROR(__xludf.DUMMYFUNCTION("""COMPUTED_VALUE"""),"Lower Parel")</f>
        <v>Lower Parel</v>
      </c>
      <c r="F150" s="1" t="str">
        <f>IFERROR(__xludf.DUMMYFUNCTION("""COMPUTED_VALUE"""),"Lower parel")</f>
        <v>Lower parel</v>
      </c>
      <c r="G150" s="1" t="str">
        <f>IFERROR(__xludf.DUMMYFUNCTION("""COMPUTED_VALUE"""),"Shravani")</f>
        <v>Shravani</v>
      </c>
      <c r="H150" s="32"/>
      <c r="I150" s="1" t="str">
        <f>IFERROR(__xludf.DUMMYFUNCTION("""COMPUTED_VALUE"""),"3 Feb: declined the call. 31 Jan: Dropped a text. 30 Jan: Declined the call. 29 Jan: Declined the call. 28 Jan: Ringing. 27 Jan: Ringing. 24 Jan: Ringing. 22 Jan: Disconnected the Call. 21 Jan: Ringing, dropped a text. 20 Jan: Ringing, dropped a text. 15 "&amp;"Jan: Followed up for visit plans. 13 Jan: Ringing, dropped a text. ")</f>
        <v>3 Feb: declined the call. 31 Jan: Dropped a text. 30 Jan: Declined the call. 29 Jan: Declined the call. 28 Jan: Ringing. 27 Jan: Ringing. 24 Jan: Ringing. 22 Jan: Disconnected the Call. 21 Jan: Ringing, dropped a text. 20 Jan: Ringing, dropped a text. 15 Jan: Followed up for visit plans. 13 Jan: Ringing, dropped a text. </v>
      </c>
      <c r="J150" s="1"/>
      <c r="K150" s="1"/>
      <c r="L150" s="1"/>
      <c r="M150" s="1"/>
      <c r="N150" s="1"/>
      <c r="O150" s="1"/>
      <c r="P150" s="1"/>
      <c r="Q150" s="1"/>
      <c r="R150" s="1"/>
      <c r="S150" s="1"/>
      <c r="T150" s="1"/>
      <c r="U150" s="1"/>
      <c r="V150" s="1"/>
      <c r="W150" s="1"/>
      <c r="X150" s="1"/>
      <c r="Y150" s="1"/>
      <c r="Z150" s="1"/>
    </row>
    <row r="151">
      <c r="A151" s="1"/>
      <c r="B151" s="32">
        <f>IFERROR(__xludf.DUMMYFUNCTION("""COMPUTED_VALUE"""),46034.0)</f>
        <v>46034</v>
      </c>
      <c r="C151" s="1" t="str">
        <f>IFERROR(__xludf.DUMMYFUNCTION("""COMPUTED_VALUE"""),"Balan Nadar")</f>
        <v>Balan Nadar</v>
      </c>
      <c r="D151" s="1" t="str">
        <f>IFERROR(__xludf.DUMMYFUNCTION("""COMPUTED_VALUE"""),"Chemistry, Esjay International.")</f>
        <v>Chemistry, Esjay International.</v>
      </c>
      <c r="E151" s="1" t="str">
        <f>IFERROR(__xludf.DUMMYFUNCTION("""COMPUTED_VALUE"""),"Lower Parel")</f>
        <v>Lower Parel</v>
      </c>
      <c r="F151" s="1" t="str">
        <f>IFERROR(__xludf.DUMMYFUNCTION("""COMPUTED_VALUE"""),"Lower parel")</f>
        <v>Lower parel</v>
      </c>
      <c r="G151" s="1" t="str">
        <f>IFERROR(__xludf.DUMMYFUNCTION("""COMPUTED_VALUE"""),"Shravani")</f>
        <v>Shravani</v>
      </c>
      <c r="H151" s="32"/>
      <c r="I151" s="1" t="str">
        <f>IFERROR(__xludf.DUMMYFUNCTION("""COMPUTED_VALUE"""),"21 Jan: He got a bigger conventional office at the same price. 20 Jan: Ringing, Dropped a text. 15 Jan: Followed up for visit plans. 12 Jan: He will visit post 15th Jan.")</f>
        <v>21 Jan: He got a bigger conventional office at the same price. 20 Jan: Ringing, Dropped a text. 15 Jan: Followed up for visit plans. 12 Jan: He will visit post 15th Jan.</v>
      </c>
      <c r="J151" s="1"/>
      <c r="K151" s="1"/>
      <c r="L151" s="1"/>
      <c r="M151" s="1"/>
      <c r="N151" s="1"/>
      <c r="O151" s="1"/>
      <c r="P151" s="1"/>
      <c r="Q151" s="1"/>
      <c r="R151" s="1"/>
      <c r="S151" s="1"/>
      <c r="T151" s="1"/>
      <c r="U151" s="1"/>
      <c r="V151" s="1"/>
      <c r="W151" s="1"/>
      <c r="X151" s="1"/>
      <c r="Y151" s="1"/>
      <c r="Z151" s="1"/>
    </row>
    <row r="152">
      <c r="A152" s="1"/>
      <c r="B152" s="32">
        <f>IFERROR(__xludf.DUMMYFUNCTION("""COMPUTED_VALUE"""),46034.0)</f>
        <v>46034</v>
      </c>
      <c r="C152" s="1" t="str">
        <f>IFERROR(__xludf.DUMMYFUNCTION("""COMPUTED_VALUE"""),"Nitin Karkote")</f>
        <v>Nitin Karkote</v>
      </c>
      <c r="D152" s="1" t="str">
        <f>IFERROR(__xludf.DUMMYFUNCTION("""COMPUTED_VALUE"""),"zensome")</f>
        <v>zensome</v>
      </c>
      <c r="E152" s="1" t="str">
        <f>IFERROR(__xludf.DUMMYFUNCTION("""COMPUTED_VALUE"""),"Lower Parel")</f>
        <v>Lower Parel</v>
      </c>
      <c r="F152" s="1" t="str">
        <f>IFERROR(__xludf.DUMMYFUNCTION("""COMPUTED_VALUE"""),"Lower parel")</f>
        <v>Lower parel</v>
      </c>
      <c r="G152" s="1" t="str">
        <f>IFERROR(__xludf.DUMMYFUNCTION("""COMPUTED_VALUE"""),"Shravani")</f>
        <v>Shravani</v>
      </c>
      <c r="H152" s="32"/>
      <c r="I152" s="1" t="str">
        <f>IFERROR(__xludf.DUMMYFUNCTION("""COMPUTED_VALUE"""),"24 Jan: He visited yesterday and asking for pricings as his budget is 30k only. 21 Jan: He will be visiting on Saturday. 20 Jan: He needs a single seater cabin and his budget is around 35k not  more then that. 15 Jan: Followed up for visit plans. 13 Jan: "&amp;"Disconnected the call.")</f>
        <v>24 Jan: He visited yesterday and asking for pricings as his budget is 30k only. 21 Jan: He will be visiting on Saturday. 20 Jan: He needs a single seater cabin and his budget is around 35k not  more then that. 15 Jan: Followed up for visit plans. 13 Jan: Disconnected the call.</v>
      </c>
      <c r="J152" s="1"/>
      <c r="K152" s="1"/>
      <c r="L152" s="1"/>
      <c r="M152" s="1"/>
      <c r="N152" s="1"/>
      <c r="O152" s="1"/>
      <c r="P152" s="1"/>
      <c r="Q152" s="1"/>
      <c r="R152" s="1"/>
      <c r="S152" s="1"/>
      <c r="T152" s="1"/>
      <c r="U152" s="1"/>
      <c r="V152" s="1"/>
      <c r="W152" s="1"/>
      <c r="X152" s="1"/>
      <c r="Y152" s="1"/>
      <c r="Z152" s="1"/>
    </row>
    <row r="153">
      <c r="A153" s="1"/>
      <c r="B153" s="32">
        <f>IFERROR(__xludf.DUMMYFUNCTION("""COMPUTED_VALUE"""),46034.0)</f>
        <v>46034</v>
      </c>
      <c r="C153" s="1" t="str">
        <f>IFERROR(__xludf.DUMMYFUNCTION("""COMPUTED_VALUE"""),"Mohd Abdullah")</f>
        <v>Mohd Abdullah</v>
      </c>
      <c r="D153" s="1" t="str">
        <f>IFERROR(__xludf.DUMMYFUNCTION("""COMPUTED_VALUE"""),"Jet Computers")</f>
        <v>Jet Computers</v>
      </c>
      <c r="E153" s="1" t="str">
        <f>IFERROR(__xludf.DUMMYFUNCTION("""COMPUTED_VALUE"""),"Lower Parel")</f>
        <v>Lower Parel</v>
      </c>
      <c r="F153" s="1" t="str">
        <f>IFERROR(__xludf.DUMMYFUNCTION("""COMPUTED_VALUE"""),"Lower parel")</f>
        <v>Lower parel</v>
      </c>
      <c r="G153" s="1" t="str">
        <f>IFERROR(__xludf.DUMMYFUNCTION("""COMPUTED_VALUE"""),"Shravani")</f>
        <v>Shravani</v>
      </c>
      <c r="H153" s="32"/>
      <c r="I153" s="1"/>
      <c r="J153" s="1"/>
      <c r="K153" s="1"/>
      <c r="L153" s="1"/>
      <c r="M153" s="1"/>
      <c r="N153" s="1"/>
      <c r="O153" s="1"/>
      <c r="P153" s="1"/>
      <c r="Q153" s="1"/>
      <c r="R153" s="1"/>
      <c r="S153" s="1"/>
      <c r="T153" s="1"/>
      <c r="U153" s="1"/>
      <c r="V153" s="1"/>
      <c r="W153" s="1"/>
      <c r="X153" s="1"/>
      <c r="Y153" s="1"/>
      <c r="Z153" s="1"/>
    </row>
    <row r="154">
      <c r="A154" s="1"/>
      <c r="B154" s="32">
        <f>IFERROR(__xludf.DUMMYFUNCTION("""COMPUTED_VALUE"""),46032.0)</f>
        <v>46032</v>
      </c>
      <c r="C154" s="1" t="str">
        <f>IFERROR(__xludf.DUMMYFUNCTION("""COMPUTED_VALUE"""),"Rahul Bhadsavle")</f>
        <v>Rahul Bhadsavle</v>
      </c>
      <c r="D154" s="1" t="str">
        <f>IFERROR(__xludf.DUMMYFUNCTION("""COMPUTED_VALUE"""),"talentSteer partners pvt ltd")</f>
        <v>talentSteer partners pvt ltd</v>
      </c>
      <c r="E154" s="1" t="str">
        <f>IFERROR(__xludf.DUMMYFUNCTION("""COMPUTED_VALUE"""),"Lower Parel")</f>
        <v>Lower Parel</v>
      </c>
      <c r="F154" s="1" t="str">
        <f>IFERROR(__xludf.DUMMYFUNCTION("""COMPUTED_VALUE"""),"Lower parel")</f>
        <v>Lower parel</v>
      </c>
      <c r="G154" s="1" t="str">
        <f>IFERROR(__xludf.DUMMYFUNCTION("""COMPUTED_VALUE"""),"Shravani")</f>
        <v>Shravani</v>
      </c>
      <c r="H154" s="32"/>
      <c r="I154" s="1" t="str">
        <f>IFERROR(__xludf.DUMMYFUNCTION("""COMPUTED_VALUE"""),"13 Jan: I have shared him the commercials for 20days i.e 12k and he said I have been offered from some other co-working space at 9k including GST for 30days. 12 Jan: He is busy rightnow asked me to call after 30 min")</f>
        <v>13 Jan: I have shared him the commercials for 20days i.e 12k and he said I have been offered from some other co-working space at 9k including GST for 30days. 12 Jan: He is busy rightnow asked me to call after 30 min</v>
      </c>
      <c r="J154" s="1"/>
      <c r="K154" s="1"/>
      <c r="L154" s="1"/>
      <c r="M154" s="1"/>
      <c r="N154" s="1"/>
      <c r="O154" s="1"/>
      <c r="P154" s="1"/>
      <c r="Q154" s="1"/>
      <c r="R154" s="1"/>
      <c r="S154" s="1"/>
      <c r="T154" s="1"/>
      <c r="U154" s="1"/>
      <c r="V154" s="1"/>
      <c r="W154" s="1"/>
      <c r="X154" s="1"/>
      <c r="Y154" s="1"/>
      <c r="Z154" s="1"/>
    </row>
    <row r="155">
      <c r="A155" s="1"/>
      <c r="B155" s="32">
        <f>IFERROR(__xludf.DUMMYFUNCTION("""COMPUTED_VALUE"""),46032.0)</f>
        <v>46032</v>
      </c>
      <c r="C155" s="1" t="str">
        <f>IFERROR(__xludf.DUMMYFUNCTION("""COMPUTED_VALUE"""),"Aziz Kabani")</f>
        <v>Aziz Kabani</v>
      </c>
      <c r="D155" s="1" t="str">
        <f>IFERROR(__xludf.DUMMYFUNCTION("""COMPUTED_VALUE"""),"Kabani Exports")</f>
        <v>Kabani Exports</v>
      </c>
      <c r="E155" s="1" t="str">
        <f>IFERROR(__xludf.DUMMYFUNCTION("""COMPUTED_VALUE"""),"Lower Parel")</f>
        <v>Lower Parel</v>
      </c>
      <c r="F155" s="1" t="str">
        <f>IFERROR(__xludf.DUMMYFUNCTION("""COMPUTED_VALUE"""),"Lower parel")</f>
        <v>Lower parel</v>
      </c>
      <c r="G155" s="1" t="str">
        <f>IFERROR(__xludf.DUMMYFUNCTION("""COMPUTED_VALUE"""),"Shravani")</f>
        <v>Shravani</v>
      </c>
      <c r="H155" s="32"/>
      <c r="I155" s="1" t="str">
        <f>IFERROR(__xludf.DUMMYFUNCTION("""COMPUTED_VALUE"""),"20 Jan: He is looking for an outright purchase.15 Jan: Followed up for visit plans. 13 Jan: Dropped him a text. 12 Jan: He has asked me to share the details if he likes he will revert back.")</f>
        <v>20 Jan: He is looking for an outright purchase.15 Jan: Followed up for visit plans. 13 Jan: Dropped him a text. 12 Jan: He has asked me to share the details if he likes he will revert back.</v>
      </c>
      <c r="J155" s="1"/>
      <c r="K155" s="1"/>
      <c r="L155" s="1"/>
      <c r="M155" s="1"/>
      <c r="N155" s="1"/>
      <c r="O155" s="1"/>
      <c r="P155" s="1"/>
      <c r="Q155" s="1"/>
      <c r="R155" s="1"/>
      <c r="S155" s="1"/>
      <c r="T155" s="1"/>
      <c r="U155" s="1"/>
      <c r="V155" s="1"/>
      <c r="W155" s="1"/>
      <c r="X155" s="1"/>
      <c r="Y155" s="1"/>
      <c r="Z155" s="1"/>
    </row>
    <row r="156">
      <c r="A156" s="1"/>
      <c r="B156" s="32">
        <f>IFERROR(__xludf.DUMMYFUNCTION("""COMPUTED_VALUE"""),46032.0)</f>
        <v>46032</v>
      </c>
      <c r="C156" s="1" t="str">
        <f>IFERROR(__xludf.DUMMYFUNCTION("""COMPUTED_VALUE"""),"Huseni Slatewala")</f>
        <v>Huseni Slatewala</v>
      </c>
      <c r="D156" s="1" t="str">
        <f>IFERROR(__xludf.DUMMYFUNCTION("""COMPUTED_VALUE"""),"Avisio Creatives")</f>
        <v>Avisio Creatives</v>
      </c>
      <c r="E156" s="1" t="str">
        <f>IFERROR(__xludf.DUMMYFUNCTION("""COMPUTED_VALUE"""),"Lower Parel")</f>
        <v>Lower Parel</v>
      </c>
      <c r="F156" s="1" t="str">
        <f>IFERROR(__xludf.DUMMYFUNCTION("""COMPUTED_VALUE"""),"Lower parel")</f>
        <v>Lower parel</v>
      </c>
      <c r="G156" s="1" t="str">
        <f>IFERROR(__xludf.DUMMYFUNCTION("""COMPUTED_VALUE"""),"Shravani")</f>
        <v>Shravani</v>
      </c>
      <c r="H156" s="32"/>
      <c r="I156" s="1" t="str">
        <f>IFERROR(__xludf.DUMMYFUNCTION("""COMPUTED_VALUE"""),"12 Jan: He needs 600sq.ft - 800sq.ft coventional office he is not interested in managed office concept.")</f>
        <v>12 Jan: He needs 600sq.ft - 800sq.ft coventional office he is not interested in managed office concept.</v>
      </c>
      <c r="J156" s="1"/>
      <c r="K156" s="1"/>
      <c r="L156" s="1"/>
      <c r="M156" s="1"/>
      <c r="N156" s="1"/>
      <c r="O156" s="1"/>
      <c r="P156" s="1"/>
      <c r="Q156" s="1"/>
      <c r="R156" s="1"/>
      <c r="S156" s="1"/>
      <c r="T156" s="1"/>
      <c r="U156" s="1"/>
      <c r="V156" s="1"/>
      <c r="W156" s="1"/>
      <c r="X156" s="1"/>
      <c r="Y156" s="1"/>
      <c r="Z156" s="1"/>
    </row>
    <row r="157">
      <c r="A157" s="1"/>
      <c r="B157" s="32"/>
      <c r="C157" s="1" t="str">
        <f>IFERROR(__xludf.DUMMYFUNCTION("""COMPUTED_VALUE"""),"Neeraj  Jodhani ")</f>
        <v>Neeraj  Jodhani </v>
      </c>
      <c r="D157" s="1" t="str">
        <f>IFERROR(__xludf.DUMMYFUNCTION("""COMPUTED_VALUE"""),"Krishna Air Cargo ")</f>
        <v>Krishna Air Cargo </v>
      </c>
      <c r="E157" s="1" t="str">
        <f>IFERROR(__xludf.DUMMYFUNCTION("""COMPUTED_VALUE"""),"Andheri")</f>
        <v>Andheri</v>
      </c>
      <c r="F157" s="1" t="str">
        <f>IFERROR(__xludf.DUMMYFUNCTION("""COMPUTED_VALUE"""),"Andheri Sakinaka ")</f>
        <v>Andheri Sakinaka </v>
      </c>
      <c r="G157" s="1" t="str">
        <f>IFERROR(__xludf.DUMMYFUNCTION("""COMPUTED_VALUE"""),"Shubham ")</f>
        <v>Shubham </v>
      </c>
      <c r="H157" s="32"/>
      <c r="I157" s="1" t="str">
        <f>IFERROR(__xludf.DUMMYFUNCTION("""COMPUTED_VALUE"""),"16th Jan: Passed on to Shabbir. 13th Jan: Spoke. He already has a space in Marol Naka which is about 700 sqft. He wants to refurbish that. I requested for a meeting he said he is travelling call back on Friday 2nd half. 12th Jan: Tried calling today did n"&amp;"ot answer dropped a text.9th Jan: Tried Calling but did not answer the call. I have dropped him a text ")</f>
        <v>16th Jan: Passed on to Shabbir. 13th Jan: Spoke. He already has a space in Marol Naka which is about 700 sqft. He wants to refurbish that. I requested for a meeting he said he is travelling call back on Friday 2nd half. 12th Jan: Tried calling today did not answer dropped a text.9th Jan: Tried Calling but did not answer the call. I have dropped him a text </v>
      </c>
      <c r="J157" s="1"/>
      <c r="K157" s="1"/>
      <c r="L157" s="1"/>
      <c r="M157" s="1"/>
      <c r="N157" s="1"/>
      <c r="O157" s="1"/>
      <c r="P157" s="1"/>
      <c r="Q157" s="1"/>
      <c r="R157" s="1"/>
      <c r="S157" s="1"/>
      <c r="T157" s="1"/>
      <c r="U157" s="1"/>
      <c r="V157" s="1"/>
      <c r="W157" s="1"/>
      <c r="X157" s="1"/>
      <c r="Y157" s="1"/>
      <c r="Z157" s="1"/>
    </row>
    <row r="158">
      <c r="A158" s="1"/>
      <c r="B158" s="32"/>
      <c r="C158" s="1" t="str">
        <f>IFERROR(__xludf.DUMMYFUNCTION("""COMPUTED_VALUE"""),"Rekha  Upadyay")</f>
        <v>Rekha  Upadyay</v>
      </c>
      <c r="D158" s="1" t="str">
        <f>IFERROR(__xludf.DUMMYFUNCTION("""COMPUTED_VALUE"""),"Saffron Strings")</f>
        <v>Saffron Strings</v>
      </c>
      <c r="E158" s="1" t="str">
        <f>IFERROR(__xludf.DUMMYFUNCTION("""COMPUTED_VALUE"""),"Andheri")</f>
        <v>Andheri</v>
      </c>
      <c r="F158" s="1" t="str">
        <f>IFERROR(__xludf.DUMMYFUNCTION("""COMPUTED_VALUE"""),"Andheri West")</f>
        <v>Andheri West</v>
      </c>
      <c r="G158" s="1" t="str">
        <f>IFERROR(__xludf.DUMMYFUNCTION("""COMPUTED_VALUE"""),"Shubham ")</f>
        <v>Shubham </v>
      </c>
      <c r="H158" s="32" t="str">
        <f>IFERROR(__xludf.DUMMYFUNCTION("""COMPUTED_VALUE"""),"Hold")</f>
        <v>Hold</v>
      </c>
      <c r="I158" s="1" t="str">
        <f>IFERROR(__xludf.DUMMYFUNCTION("""COMPUTED_VALUE"""),"06 March: Spoke to Rekha ji, The requirement is still on hold 20 Feb: Ringing, Dropped a text 05th Feb: Called Abhishek from Admin team to touch base but he didn't answer my call, dropped a text. 24th Jan: Dropped an Mail saying your requirement is on hol"&amp;"d as disccussed with Abhishek. 21st Jan: Spoke. He said connect on Feb 1st week because there is not clarity from management yet. 19th Jan: Spoke. She gave me the number of Abhishek and he said they don't have an urgent requirement and I was pushing for a"&amp;" meeting he said they dont have a clear picture on the requirement so I wont be able to meet now but whenever their management give the clarity he will contact us. 17th Jan: She disconnected my call, I have asked for the number of Admin Manager Mr. Abhish"&amp;"ek. 16th Jan: Called her again in 1st half she is not replying, I have dropped a text asking for a virtual call which can help us understand the grade of the building, thier Move-in timeline and thier budget so we can curate the options accordingly. 14th "&amp;"Jan: I tried calling her she did't asnwer my call dropped her a text. 13th Jan: I have requested a call to understand thier budget or the grade of the building. 12th Jan: I haave shared an introductory mail over her mail. 10th Jan: Spoke. She mentioned he"&amp;"r requirement and the location preffered is near to their office in andheri west Aston Building ")</f>
        <v>06 March: Spoke to Rekha ji, The requirement is still on hold 20 Feb: Ringing, Dropped a text 05th Feb: Called Abhishek from Admin team to touch base but he didn't answer my call, dropped a text. 24th Jan: Dropped an Mail saying your requirement is on hold as disccussed with Abhishek. 21st Jan: Spoke. He said connect on Feb 1st week because there is not clarity from management yet. 19th Jan: Spoke. She gave me the number of Abhishek and he said they don't have an urgent requirement and I was pushing for a meeting he said they dont have a clear picture on the requirement so I wont be able to meet now but whenever their management give the clarity he will contact us. 17th Jan: She disconnected my call, I have asked for the number of Admin Manager Mr. Abhishek. 16th Jan: Called her again in 1st half she is not replying, I have dropped a text asking for a virtual call which can help us understand the grade of the building, thier Move-in timeline and thier budget so we can curate the options accordingly. 14th Jan: I tried calling her she did't asnwer my call dropped her a text. 13th Jan: I have requested a call to understand thier budget or the grade of the building. 12th Jan: I haave shared an introductory mail over her mail. 10th Jan: Spoke. She mentioned her requirement and the location preffered is near to their office in andheri west Aston Building </v>
      </c>
      <c r="J158" s="1"/>
      <c r="K158" s="1"/>
      <c r="L158" s="1"/>
      <c r="M158" s="1"/>
      <c r="N158" s="1"/>
      <c r="O158" s="1"/>
      <c r="P158" s="1"/>
      <c r="Q158" s="1"/>
      <c r="R158" s="1"/>
      <c r="S158" s="1"/>
      <c r="T158" s="1"/>
      <c r="U158" s="1"/>
      <c r="V158" s="1"/>
      <c r="W158" s="1"/>
      <c r="X158" s="1"/>
      <c r="Y158" s="1"/>
      <c r="Z158" s="1"/>
    </row>
    <row r="159">
      <c r="A159" s="1"/>
      <c r="B159" s="32"/>
      <c r="C159" s="1" t="str">
        <f>IFERROR(__xludf.DUMMYFUNCTION("""COMPUTED_VALUE"""),"Seema Nichani")</f>
        <v>Seema Nichani</v>
      </c>
      <c r="D159" s="1" t="str">
        <f>IFERROR(__xludf.DUMMYFUNCTION("""COMPUTED_VALUE"""),"Deepwork")</f>
        <v>Deepwork</v>
      </c>
      <c r="E159" s="1" t="str">
        <f>IFERROR(__xludf.DUMMYFUNCTION("""COMPUTED_VALUE"""),"Lower Parel")</f>
        <v>Lower Parel</v>
      </c>
      <c r="F159" s="1" t="str">
        <f>IFERROR(__xludf.DUMMYFUNCTION("""COMPUTED_VALUE"""),"Lower Parel")</f>
        <v>Lower Parel</v>
      </c>
      <c r="G159" s="1" t="str">
        <f>IFERROR(__xludf.DUMMYFUNCTION("""COMPUTED_VALUE"""),"Shravani")</f>
        <v>Shravani</v>
      </c>
      <c r="H159" s="32"/>
      <c r="I159" s="1" t="str">
        <f>IFERROR(__xludf.DUMMYFUNCTION("""COMPUTED_VALUE"""),"6 Jan: Manju Sir took this up.")</f>
        <v>6 Jan: Manju Sir took this up.</v>
      </c>
      <c r="J159" s="1"/>
      <c r="K159" s="1"/>
      <c r="L159" s="1"/>
      <c r="M159" s="1"/>
      <c r="N159" s="1"/>
      <c r="O159" s="1"/>
      <c r="P159" s="1"/>
      <c r="Q159" s="1"/>
      <c r="R159" s="1"/>
      <c r="S159" s="1"/>
      <c r="T159" s="1"/>
      <c r="U159" s="1"/>
      <c r="V159" s="1"/>
      <c r="W159" s="1"/>
      <c r="X159" s="1"/>
      <c r="Y159" s="1"/>
      <c r="Z159" s="1"/>
    </row>
    <row r="160">
      <c r="A160" s="1"/>
      <c r="B160" s="32"/>
      <c r="C160" s="1" t="str">
        <f>IFERROR(__xludf.DUMMYFUNCTION("""COMPUTED_VALUE"""),"Dipesh Gindra")</f>
        <v>Dipesh Gindra</v>
      </c>
      <c r="D160" s="1" t="str">
        <f>IFERROR(__xludf.DUMMYFUNCTION("""COMPUTED_VALUE"""),"Brooks")</f>
        <v>Brooks</v>
      </c>
      <c r="E160" s="1" t="str">
        <f>IFERROR(__xludf.DUMMYFUNCTION("""COMPUTED_VALUE"""),"Lower Parel")</f>
        <v>Lower Parel</v>
      </c>
      <c r="F160" s="1" t="str">
        <f>IFERROR(__xludf.DUMMYFUNCTION("""COMPUTED_VALUE"""),"Lower Parel")</f>
        <v>Lower Parel</v>
      </c>
      <c r="G160" s="1" t="str">
        <f>IFERROR(__xludf.DUMMYFUNCTION("""COMPUTED_VALUE"""),"Shravani")</f>
        <v>Shravani</v>
      </c>
      <c r="H160" s="32" t="str">
        <f>IFERROR(__xludf.DUMMYFUNCTION("""COMPUTED_VALUE"""),"Hold")</f>
        <v>Hold</v>
      </c>
      <c r="I160" s="1" t="str">
        <f>IFERROR(__xludf.DUMMYFUNCTION("""COMPUTED_VALUE"""),"26 May: Ringing. 21 Jan: The requirement is on hold, he will get back to me in March. 20 Jan: Ringing. 15 Jan: Followed up for visit plans. 13 Jan: Ringing. 12 Jan: Busy on call. 9 Jan: Dropped a WA msg with pricings and attached images as well. 8 Jan: Ri"&amp;"nging. 7 Jan: Will call back post 30 mins. 6 Jan: Call him tomorrow post 11:30 AM.")</f>
        <v>26 May: Ringing. 21 Jan: The requirement is on hold, he will get back to me in March. 20 Jan: Ringing. 15 Jan: Followed up for visit plans. 13 Jan: Ringing. 12 Jan: Busy on call. 9 Jan: Dropped a WA msg with pricings and attached images as well. 8 Jan: Ringing. 7 Jan: Will call back post 30 mins. 6 Jan: Call him tomorrow post 11:30 AM.</v>
      </c>
      <c r="J160" s="1"/>
      <c r="K160" s="1"/>
      <c r="L160" s="1"/>
      <c r="M160" s="1"/>
      <c r="N160" s="1"/>
      <c r="O160" s="1"/>
      <c r="P160" s="1"/>
      <c r="Q160" s="1"/>
      <c r="R160" s="1"/>
      <c r="S160" s="1"/>
      <c r="T160" s="1"/>
      <c r="U160" s="1"/>
      <c r="V160" s="1"/>
      <c r="W160" s="1"/>
      <c r="X160" s="1"/>
      <c r="Y160" s="1"/>
      <c r="Z160" s="1"/>
    </row>
    <row r="161">
      <c r="A161" s="1"/>
      <c r="B161" s="32"/>
      <c r="C161" s="1" t="str">
        <f>IFERROR(__xludf.DUMMYFUNCTION("""COMPUTED_VALUE"""),"Deepak Chury")</f>
        <v>Deepak Chury</v>
      </c>
      <c r="D161" s="1" t="str">
        <f>IFERROR(__xludf.DUMMYFUNCTION("""COMPUTED_VALUE"""),"Acme")</f>
        <v>Acme</v>
      </c>
      <c r="E161" s="1" t="str">
        <f>IFERROR(__xludf.DUMMYFUNCTION("""COMPUTED_VALUE"""),"Lower Parel")</f>
        <v>Lower Parel</v>
      </c>
      <c r="F161" s="1" t="str">
        <f>IFERROR(__xludf.DUMMYFUNCTION("""COMPUTED_VALUE"""),"Lower Parel")</f>
        <v>Lower Parel</v>
      </c>
      <c r="G161" s="1" t="str">
        <f>IFERROR(__xludf.DUMMYFUNCTION("""COMPUTED_VALUE"""),"Shravani")</f>
        <v>Shravani</v>
      </c>
      <c r="H161" s="32" t="str">
        <f>IFERROR(__xludf.DUMMYFUNCTION("""COMPUTED_VALUE"""),"Hold")</f>
        <v>Hold</v>
      </c>
      <c r="I161" s="1" t="str">
        <f>IFERROR(__xludf.DUMMYFUNCTION("""COMPUTED_VALUE"""),"26 May: Ringing. 3 Feb: It is on hold. 27 Jan: He is occupied with some work will get back in next week. 20 Jan: He said he will inform me about the visit plan soon. 15 Jan: Followed up for visit plans. 13 Jan: He said he is busy. 12 Jan: He is busy right"&amp;"now, he will call me back. 9 Jan: Dropped a WA msg with pricings and attached images as well. 8 Jan: Ringing. 7 Jan: Shared the details and asked him to visit. 6 Jan: Busy on call.")</f>
        <v>26 May: Ringing. 3 Feb: It is on hold. 27 Jan: He is occupied with some work will get back in next week. 20 Jan: He said he will inform me about the visit plan soon. 15 Jan: Followed up for visit plans. 13 Jan: He said he is busy. 12 Jan: He is busy rightnow, he will call me back. 9 Jan: Dropped a WA msg with pricings and attached images as well. 8 Jan: Ringing. 7 Jan: Shared the details and asked him to visit. 6 Jan: Busy on call.</v>
      </c>
      <c r="J161" s="1"/>
      <c r="K161" s="1"/>
      <c r="L161" s="1"/>
      <c r="M161" s="1"/>
      <c r="N161" s="1"/>
      <c r="O161" s="1"/>
      <c r="P161" s="1"/>
      <c r="Q161" s="1"/>
      <c r="R161" s="1"/>
      <c r="S161" s="1"/>
      <c r="T161" s="1"/>
      <c r="U161" s="1"/>
      <c r="V161" s="1"/>
      <c r="W161" s="1"/>
      <c r="X161" s="1"/>
      <c r="Y161" s="1"/>
      <c r="Z161" s="1"/>
    </row>
    <row r="162">
      <c r="A162" s="1"/>
      <c r="B162" s="32"/>
      <c r="C162" s="1"/>
      <c r="D162" s="1"/>
      <c r="E162" s="1"/>
      <c r="F162" s="1"/>
      <c r="G162" s="1"/>
      <c r="H162" s="32"/>
      <c r="I162" s="1"/>
      <c r="J162" s="1"/>
      <c r="K162" s="1"/>
      <c r="L162" s="1"/>
      <c r="M162" s="1"/>
      <c r="N162" s="1"/>
      <c r="O162" s="1"/>
      <c r="P162" s="1"/>
      <c r="Q162" s="1"/>
      <c r="R162" s="1"/>
      <c r="S162" s="1"/>
      <c r="T162" s="1"/>
      <c r="U162" s="1"/>
      <c r="V162" s="1"/>
      <c r="W162" s="1"/>
      <c r="X162" s="1"/>
      <c r="Y162" s="1"/>
      <c r="Z162" s="1"/>
    </row>
    <row r="163">
      <c r="A163" s="1"/>
      <c r="B163" s="32"/>
      <c r="C163" s="1"/>
      <c r="D163" s="1"/>
      <c r="E163" s="1"/>
      <c r="F163" s="1"/>
      <c r="G163" s="1"/>
      <c r="H163" s="32"/>
      <c r="I163" s="1"/>
      <c r="J163" s="1"/>
      <c r="K163" s="1"/>
      <c r="L163" s="1"/>
      <c r="M163" s="1"/>
      <c r="N163" s="1"/>
      <c r="O163" s="1"/>
      <c r="P163" s="1"/>
      <c r="Q163" s="1"/>
      <c r="R163" s="1"/>
      <c r="S163" s="1"/>
      <c r="T163" s="1"/>
      <c r="U163" s="1"/>
      <c r="V163" s="1"/>
      <c r="W163" s="1"/>
      <c r="X163" s="1"/>
      <c r="Y163" s="1"/>
      <c r="Z163" s="1"/>
    </row>
    <row r="164">
      <c r="A164" s="1"/>
      <c r="B164" s="32"/>
      <c r="C164" s="1"/>
      <c r="D164" s="1"/>
      <c r="E164" s="1"/>
      <c r="F164" s="1"/>
      <c r="G164" s="1"/>
      <c r="H164" s="32"/>
      <c r="I164" s="1"/>
      <c r="J164" s="1"/>
      <c r="K164" s="1"/>
      <c r="L164" s="1"/>
      <c r="M164" s="1"/>
      <c r="N164" s="1"/>
      <c r="O164" s="1"/>
      <c r="P164" s="1"/>
      <c r="Q164" s="1"/>
      <c r="R164" s="1"/>
      <c r="S164" s="1"/>
      <c r="T164" s="1"/>
      <c r="U164" s="1"/>
      <c r="V164" s="1"/>
      <c r="W164" s="1"/>
      <c r="X164" s="1"/>
      <c r="Y164" s="1"/>
      <c r="Z164" s="1"/>
    </row>
    <row r="165">
      <c r="A165" s="1"/>
      <c r="B165" s="32"/>
      <c r="C165" s="1"/>
      <c r="D165" s="1"/>
      <c r="E165" s="1"/>
      <c r="F165" s="1"/>
      <c r="G165" s="1"/>
      <c r="H165" s="32"/>
      <c r="I165" s="1"/>
      <c r="J165" s="1"/>
      <c r="K165" s="1"/>
      <c r="L165" s="1"/>
      <c r="M165" s="1"/>
      <c r="N165" s="1"/>
      <c r="O165" s="1"/>
      <c r="P165" s="1"/>
      <c r="Q165" s="1"/>
      <c r="R165" s="1"/>
      <c r="S165" s="1"/>
      <c r="T165" s="1"/>
      <c r="U165" s="1"/>
      <c r="V165" s="1"/>
      <c r="W165" s="1"/>
      <c r="X165" s="1"/>
      <c r="Y165" s="1"/>
      <c r="Z165" s="1"/>
    </row>
    <row r="166">
      <c r="A166" s="1"/>
      <c r="B166" s="32"/>
      <c r="C166" s="1"/>
      <c r="D166" s="1"/>
      <c r="E166" s="1"/>
      <c r="F166" s="1"/>
      <c r="G166" s="1"/>
      <c r="H166" s="32"/>
      <c r="I166" s="1"/>
      <c r="J166" s="1"/>
      <c r="K166" s="1"/>
      <c r="L166" s="1"/>
      <c r="M166" s="1"/>
      <c r="N166" s="1"/>
      <c r="O166" s="1"/>
      <c r="P166" s="1"/>
      <c r="Q166" s="1"/>
      <c r="R166" s="1"/>
      <c r="S166" s="1"/>
      <c r="T166" s="1"/>
      <c r="U166" s="1"/>
      <c r="V166" s="1"/>
      <c r="W166" s="1"/>
      <c r="X166" s="1"/>
      <c r="Y166" s="1"/>
      <c r="Z166" s="1"/>
    </row>
    <row r="167">
      <c r="A167" s="1"/>
      <c r="B167" s="32"/>
      <c r="C167" s="1"/>
      <c r="D167" s="1"/>
      <c r="E167" s="1"/>
      <c r="F167" s="1"/>
      <c r="G167" s="1"/>
      <c r="H167" s="32"/>
      <c r="I167" s="1"/>
      <c r="J167" s="1"/>
      <c r="K167" s="1"/>
      <c r="L167" s="1"/>
      <c r="M167" s="1"/>
      <c r="N167" s="1"/>
      <c r="O167" s="1"/>
      <c r="P167" s="1"/>
      <c r="Q167" s="1"/>
      <c r="R167" s="1"/>
      <c r="S167" s="1"/>
      <c r="T167" s="1"/>
      <c r="U167" s="1"/>
      <c r="V167" s="1"/>
      <c r="W167" s="1"/>
      <c r="X167" s="1"/>
      <c r="Y167" s="1"/>
      <c r="Z167" s="1"/>
    </row>
    <row r="168">
      <c r="A168" s="1"/>
      <c r="B168" s="32"/>
      <c r="C168" s="1"/>
      <c r="D168" s="1"/>
      <c r="E168" s="1"/>
      <c r="F168" s="1"/>
      <c r="G168" s="1"/>
      <c r="H168" s="32"/>
      <c r="I168" s="1"/>
      <c r="J168" s="1"/>
      <c r="K168" s="1"/>
      <c r="L168" s="1"/>
      <c r="M168" s="1"/>
      <c r="N168" s="1"/>
      <c r="O168" s="1"/>
      <c r="P168" s="1"/>
      <c r="Q168" s="1"/>
      <c r="R168" s="1"/>
      <c r="S168" s="1"/>
      <c r="T168" s="1"/>
      <c r="U168" s="1"/>
      <c r="V168" s="1"/>
      <c r="W168" s="1"/>
      <c r="X168" s="1"/>
      <c r="Y168" s="1"/>
      <c r="Z168" s="1"/>
    </row>
    <row r="169">
      <c r="A169" s="1"/>
      <c r="B169" s="32"/>
      <c r="C169" s="1"/>
      <c r="D169" s="1"/>
      <c r="E169" s="1"/>
      <c r="F169" s="1"/>
      <c r="G169" s="1"/>
      <c r="H169" s="32"/>
      <c r="I169" s="1"/>
      <c r="J169" s="1"/>
      <c r="K169" s="1"/>
      <c r="L169" s="1"/>
      <c r="M169" s="1"/>
      <c r="N169" s="1"/>
      <c r="O169" s="1"/>
      <c r="P169" s="1"/>
      <c r="Q169" s="1"/>
      <c r="R169" s="1"/>
      <c r="S169" s="1"/>
      <c r="T169" s="1"/>
      <c r="U169" s="1"/>
      <c r="V169" s="1"/>
      <c r="W169" s="1"/>
      <c r="X169" s="1"/>
      <c r="Y169" s="1"/>
      <c r="Z169" s="1"/>
    </row>
    <row r="170">
      <c r="A170" s="1"/>
      <c r="B170" s="32"/>
      <c r="C170" s="1"/>
      <c r="D170" s="1"/>
      <c r="E170" s="1"/>
      <c r="F170" s="1"/>
      <c r="G170" s="1"/>
      <c r="H170" s="32"/>
      <c r="I170" s="1"/>
      <c r="J170" s="1"/>
      <c r="K170" s="1"/>
      <c r="L170" s="1"/>
      <c r="M170" s="1"/>
      <c r="N170" s="1"/>
      <c r="O170" s="1"/>
      <c r="P170" s="1"/>
      <c r="Q170" s="1"/>
      <c r="R170" s="1"/>
      <c r="S170" s="1"/>
      <c r="T170" s="1"/>
      <c r="U170" s="1"/>
      <c r="V170" s="1"/>
      <c r="W170" s="1"/>
      <c r="X170" s="1"/>
      <c r="Y170" s="1"/>
      <c r="Z170" s="1"/>
    </row>
    <row r="171">
      <c r="A171" s="1"/>
      <c r="B171" s="32"/>
      <c r="C171" s="1"/>
      <c r="D171" s="1"/>
      <c r="E171" s="1"/>
      <c r="F171" s="1"/>
      <c r="G171" s="1"/>
      <c r="H171" s="32"/>
      <c r="I171" s="1"/>
      <c r="J171" s="1"/>
      <c r="K171" s="1"/>
      <c r="L171" s="1"/>
      <c r="M171" s="1"/>
      <c r="N171" s="1"/>
      <c r="O171" s="1"/>
      <c r="P171" s="1"/>
      <c r="Q171" s="1"/>
      <c r="R171" s="1"/>
      <c r="S171" s="1"/>
      <c r="T171" s="1"/>
      <c r="U171" s="1"/>
      <c r="V171" s="1"/>
      <c r="W171" s="1"/>
      <c r="X171" s="1"/>
      <c r="Y171" s="1"/>
      <c r="Z171" s="1"/>
    </row>
    <row r="172">
      <c r="A172" s="1"/>
      <c r="B172" s="32"/>
      <c r="C172" s="1"/>
      <c r="D172" s="1"/>
      <c r="E172" s="1"/>
      <c r="F172" s="1"/>
      <c r="G172" s="1"/>
      <c r="H172" s="32"/>
      <c r="I172" s="1"/>
      <c r="J172" s="1"/>
      <c r="K172" s="1"/>
      <c r="L172" s="1"/>
      <c r="M172" s="1"/>
      <c r="N172" s="1"/>
      <c r="O172" s="1"/>
      <c r="P172" s="1"/>
      <c r="Q172" s="1"/>
      <c r="R172" s="1"/>
      <c r="S172" s="1"/>
      <c r="T172" s="1"/>
      <c r="U172" s="1"/>
      <c r="V172" s="1"/>
      <c r="W172" s="1"/>
      <c r="X172" s="1"/>
      <c r="Y172" s="1"/>
      <c r="Z172" s="1"/>
    </row>
    <row r="173">
      <c r="A173" s="1"/>
      <c r="B173" s="32"/>
      <c r="C173" s="1"/>
      <c r="D173" s="1"/>
      <c r="E173" s="1"/>
      <c r="F173" s="1"/>
      <c r="G173" s="1"/>
      <c r="H173" s="32"/>
      <c r="I173" s="1"/>
      <c r="J173" s="1"/>
      <c r="K173" s="1"/>
      <c r="L173" s="1"/>
      <c r="M173" s="1"/>
      <c r="N173" s="1"/>
      <c r="O173" s="1"/>
      <c r="P173" s="1"/>
      <c r="Q173" s="1"/>
      <c r="R173" s="1"/>
      <c r="S173" s="1"/>
      <c r="T173" s="1"/>
      <c r="U173" s="1"/>
      <c r="V173" s="1"/>
      <c r="W173" s="1"/>
      <c r="X173" s="1"/>
      <c r="Y173" s="1"/>
      <c r="Z173" s="1"/>
    </row>
    <row r="174">
      <c r="A174" s="1"/>
      <c r="B174" s="32"/>
      <c r="C174" s="1"/>
      <c r="D174" s="1"/>
      <c r="E174" s="1"/>
      <c r="F174" s="1"/>
      <c r="G174" s="1"/>
      <c r="H174" s="32"/>
      <c r="I174" s="1"/>
      <c r="J174" s="1"/>
      <c r="K174" s="1"/>
      <c r="L174" s="1"/>
      <c r="M174" s="1"/>
      <c r="N174" s="1"/>
      <c r="O174" s="1"/>
      <c r="P174" s="1"/>
      <c r="Q174" s="1"/>
      <c r="R174" s="1"/>
      <c r="S174" s="1"/>
      <c r="T174" s="1"/>
      <c r="U174" s="1"/>
      <c r="V174" s="1"/>
      <c r="W174" s="1"/>
      <c r="X174" s="1"/>
      <c r="Y174" s="1"/>
      <c r="Z174" s="1"/>
    </row>
    <row r="175">
      <c r="A175" s="1"/>
      <c r="B175" s="32"/>
      <c r="C175" s="1"/>
      <c r="D175" s="1"/>
      <c r="E175" s="1"/>
      <c r="F175" s="1"/>
      <c r="G175" s="1"/>
      <c r="H175" s="32"/>
      <c r="I175" s="1"/>
      <c r="J175" s="1"/>
      <c r="K175" s="1"/>
      <c r="L175" s="1"/>
      <c r="M175" s="1"/>
      <c r="N175" s="1"/>
      <c r="O175" s="1"/>
      <c r="P175" s="1"/>
      <c r="Q175" s="1"/>
      <c r="R175" s="1"/>
      <c r="S175" s="1"/>
      <c r="T175" s="1"/>
      <c r="U175" s="1"/>
      <c r="V175" s="1"/>
      <c r="W175" s="1"/>
      <c r="X175" s="1"/>
      <c r="Y175" s="1"/>
      <c r="Z175" s="1"/>
    </row>
    <row r="176">
      <c r="A176" s="1"/>
      <c r="B176" s="32"/>
      <c r="C176" s="1"/>
      <c r="D176" s="1"/>
      <c r="E176" s="1"/>
      <c r="F176" s="1"/>
      <c r="G176" s="1"/>
      <c r="H176" s="32"/>
      <c r="I176" s="1"/>
      <c r="J176" s="1"/>
      <c r="K176" s="1"/>
      <c r="L176" s="1"/>
      <c r="M176" s="1"/>
      <c r="N176" s="1"/>
      <c r="O176" s="1"/>
      <c r="P176" s="1"/>
      <c r="Q176" s="1"/>
      <c r="R176" s="1"/>
      <c r="S176" s="1"/>
      <c r="T176" s="1"/>
      <c r="U176" s="1"/>
      <c r="V176" s="1"/>
      <c r="W176" s="1"/>
      <c r="X176" s="1"/>
      <c r="Y176" s="1"/>
      <c r="Z176" s="1"/>
    </row>
    <row r="177">
      <c r="A177" s="1"/>
      <c r="B177" s="32"/>
      <c r="C177" s="1"/>
      <c r="D177" s="1"/>
      <c r="E177" s="1"/>
      <c r="F177" s="1"/>
      <c r="G177" s="1"/>
      <c r="H177" s="32"/>
      <c r="I177" s="1"/>
      <c r="J177" s="1"/>
      <c r="K177" s="1"/>
      <c r="L177" s="1"/>
      <c r="M177" s="1"/>
      <c r="N177" s="1"/>
      <c r="O177" s="1"/>
      <c r="P177" s="1"/>
      <c r="Q177" s="1"/>
      <c r="R177" s="1"/>
      <c r="S177" s="1"/>
      <c r="T177" s="1"/>
      <c r="U177" s="1"/>
      <c r="V177" s="1"/>
      <c r="W177" s="1"/>
      <c r="X177" s="1"/>
      <c r="Y177" s="1"/>
      <c r="Z177" s="1"/>
    </row>
    <row r="178">
      <c r="A178" s="1"/>
      <c r="B178" s="32"/>
      <c r="C178" s="1"/>
      <c r="D178" s="1"/>
      <c r="E178" s="1"/>
      <c r="F178" s="1"/>
      <c r="G178" s="1"/>
      <c r="H178" s="32"/>
      <c r="I178" s="1"/>
      <c r="J178" s="1"/>
      <c r="K178" s="1"/>
      <c r="L178" s="1"/>
      <c r="M178" s="1"/>
      <c r="N178" s="1"/>
      <c r="O178" s="1"/>
      <c r="P178" s="1"/>
      <c r="Q178" s="1"/>
      <c r="R178" s="1"/>
      <c r="S178" s="1"/>
      <c r="T178" s="1"/>
      <c r="U178" s="1"/>
      <c r="V178" s="1"/>
      <c r="W178" s="1"/>
      <c r="X178" s="1"/>
      <c r="Y178" s="1"/>
      <c r="Z178" s="1"/>
    </row>
    <row r="179">
      <c r="A179" s="1"/>
      <c r="B179" s="32"/>
      <c r="C179" s="1"/>
      <c r="D179" s="1"/>
      <c r="E179" s="1"/>
      <c r="F179" s="1"/>
      <c r="G179" s="1"/>
      <c r="H179" s="32"/>
      <c r="I179" s="1"/>
      <c r="J179" s="1"/>
      <c r="K179" s="1"/>
      <c r="L179" s="1"/>
      <c r="M179" s="1"/>
      <c r="N179" s="1"/>
      <c r="O179" s="1"/>
      <c r="P179" s="1"/>
      <c r="Q179" s="1"/>
      <c r="R179" s="1"/>
      <c r="S179" s="1"/>
      <c r="T179" s="1"/>
      <c r="U179" s="1"/>
      <c r="V179" s="1"/>
      <c r="W179" s="1"/>
      <c r="X179" s="1"/>
      <c r="Y179" s="1"/>
      <c r="Z179" s="1"/>
    </row>
    <row r="180">
      <c r="A180" s="1"/>
      <c r="B180" s="32"/>
      <c r="C180" s="1"/>
      <c r="D180" s="1"/>
      <c r="E180" s="1"/>
      <c r="F180" s="1"/>
      <c r="G180" s="1"/>
      <c r="H180" s="32"/>
      <c r="I180" s="1"/>
      <c r="J180" s="1"/>
      <c r="K180" s="1"/>
      <c r="L180" s="1"/>
      <c r="M180" s="1"/>
      <c r="N180" s="1"/>
      <c r="O180" s="1"/>
      <c r="P180" s="1"/>
      <c r="Q180" s="1"/>
      <c r="R180" s="1"/>
      <c r="S180" s="1"/>
      <c r="T180" s="1"/>
      <c r="U180" s="1"/>
      <c r="V180" s="1"/>
      <c r="W180" s="1"/>
      <c r="X180" s="1"/>
      <c r="Y180" s="1"/>
      <c r="Z180" s="1"/>
    </row>
    <row r="181">
      <c r="A181" s="1"/>
      <c r="B181" s="32"/>
      <c r="C181" s="1"/>
      <c r="D181" s="1"/>
      <c r="E181" s="1"/>
      <c r="F181" s="1"/>
      <c r="G181" s="1"/>
      <c r="H181" s="32"/>
      <c r="I181" s="1"/>
      <c r="J181" s="1"/>
      <c r="K181" s="1"/>
      <c r="L181" s="1"/>
      <c r="M181" s="1"/>
      <c r="N181" s="1"/>
      <c r="O181" s="1"/>
      <c r="P181" s="1"/>
      <c r="Q181" s="1"/>
      <c r="R181" s="1"/>
      <c r="S181" s="1"/>
      <c r="T181" s="1"/>
      <c r="U181" s="1"/>
      <c r="V181" s="1"/>
      <c r="W181" s="1"/>
      <c r="X181" s="1"/>
      <c r="Y181" s="1"/>
      <c r="Z181" s="1"/>
    </row>
    <row r="182">
      <c r="A182" s="1"/>
      <c r="B182" s="32"/>
      <c r="C182" s="1"/>
      <c r="D182" s="1"/>
      <c r="E182" s="1"/>
      <c r="F182" s="1"/>
      <c r="G182" s="1"/>
      <c r="H182" s="32"/>
      <c r="I182" s="1"/>
      <c r="J182" s="1"/>
      <c r="K182" s="1"/>
      <c r="L182" s="1"/>
      <c r="M182" s="1"/>
      <c r="N182" s="1"/>
      <c r="O182" s="1"/>
      <c r="P182" s="1"/>
      <c r="Q182" s="1"/>
      <c r="R182" s="1"/>
      <c r="S182" s="1"/>
      <c r="T182" s="1"/>
      <c r="U182" s="1"/>
      <c r="V182" s="1"/>
      <c r="W182" s="1"/>
      <c r="X182" s="1"/>
      <c r="Y182" s="1"/>
      <c r="Z182" s="1"/>
    </row>
    <row r="183">
      <c r="A183" s="1"/>
      <c r="B183" s="32"/>
      <c r="C183" s="1"/>
      <c r="D183" s="1"/>
      <c r="E183" s="1"/>
      <c r="F183" s="1"/>
      <c r="G183" s="1"/>
      <c r="H183" s="32"/>
      <c r="I183" s="1"/>
      <c r="J183" s="1"/>
      <c r="K183" s="1"/>
      <c r="L183" s="1"/>
      <c r="M183" s="1"/>
      <c r="N183" s="1"/>
      <c r="O183" s="1"/>
      <c r="P183" s="1"/>
      <c r="Q183" s="1"/>
      <c r="R183" s="1"/>
      <c r="S183" s="1"/>
      <c r="T183" s="1"/>
      <c r="U183" s="1"/>
      <c r="V183" s="1"/>
      <c r="W183" s="1"/>
      <c r="X183" s="1"/>
      <c r="Y183" s="1"/>
      <c r="Z183" s="1"/>
    </row>
    <row r="184">
      <c r="A184" s="1"/>
      <c r="B184" s="32"/>
      <c r="C184" s="1"/>
      <c r="D184" s="1"/>
      <c r="E184" s="1"/>
      <c r="F184" s="1"/>
      <c r="G184" s="1"/>
      <c r="H184" s="32"/>
      <c r="I184" s="1"/>
      <c r="J184" s="1"/>
      <c r="K184" s="1"/>
      <c r="L184" s="1"/>
      <c r="M184" s="1"/>
      <c r="N184" s="1"/>
      <c r="O184" s="1"/>
      <c r="P184" s="1"/>
      <c r="Q184" s="1"/>
      <c r="R184" s="1"/>
      <c r="S184" s="1"/>
      <c r="T184" s="1"/>
      <c r="U184" s="1"/>
      <c r="V184" s="1"/>
      <c r="W184" s="1"/>
      <c r="X184" s="1"/>
      <c r="Y184" s="1"/>
      <c r="Z184" s="1"/>
    </row>
    <row r="185">
      <c r="A185" s="1"/>
      <c r="B185" s="32"/>
      <c r="C185" s="1"/>
      <c r="D185" s="1"/>
      <c r="E185" s="1"/>
      <c r="F185" s="1"/>
      <c r="G185" s="1"/>
      <c r="H185" s="32"/>
      <c r="I185" s="1"/>
      <c r="J185" s="1"/>
      <c r="K185" s="1"/>
      <c r="L185" s="1"/>
      <c r="M185" s="1"/>
      <c r="N185" s="1"/>
      <c r="O185" s="1"/>
      <c r="P185" s="1"/>
      <c r="Q185" s="1"/>
      <c r="R185" s="1"/>
      <c r="S185" s="1"/>
      <c r="T185" s="1"/>
      <c r="U185" s="1"/>
      <c r="V185" s="1"/>
      <c r="W185" s="1"/>
      <c r="X185" s="1"/>
      <c r="Y185" s="1"/>
      <c r="Z185" s="1"/>
    </row>
    <row r="186">
      <c r="A186" s="1"/>
      <c r="B186" s="32"/>
      <c r="C186" s="1"/>
      <c r="D186" s="1"/>
      <c r="E186" s="1"/>
      <c r="F186" s="1"/>
      <c r="G186" s="1"/>
      <c r="H186" s="32"/>
      <c r="I186" s="1"/>
      <c r="J186" s="1"/>
      <c r="K186" s="1"/>
      <c r="L186" s="1"/>
      <c r="M186" s="1"/>
      <c r="N186" s="1"/>
      <c r="O186" s="1"/>
      <c r="P186" s="1"/>
      <c r="Q186" s="1"/>
      <c r="R186" s="1"/>
      <c r="S186" s="1"/>
      <c r="T186" s="1"/>
      <c r="U186" s="1"/>
      <c r="V186" s="1"/>
      <c r="W186" s="1"/>
      <c r="X186" s="1"/>
      <c r="Y186" s="1"/>
      <c r="Z186" s="1"/>
    </row>
    <row r="187">
      <c r="A187" s="1"/>
      <c r="B187" s="32"/>
      <c r="C187" s="1"/>
      <c r="D187" s="1"/>
      <c r="E187" s="1"/>
      <c r="F187" s="1"/>
      <c r="G187" s="1"/>
      <c r="H187" s="32"/>
      <c r="I187" s="1"/>
      <c r="J187" s="1"/>
      <c r="K187" s="1"/>
      <c r="L187" s="1"/>
      <c r="M187" s="1"/>
      <c r="N187" s="1"/>
      <c r="O187" s="1"/>
      <c r="P187" s="1"/>
      <c r="Q187" s="1"/>
      <c r="R187" s="1"/>
      <c r="S187" s="1"/>
      <c r="T187" s="1"/>
      <c r="U187" s="1"/>
      <c r="V187" s="1"/>
      <c r="W187" s="1"/>
      <c r="X187" s="1"/>
      <c r="Y187" s="1"/>
      <c r="Z187" s="1"/>
    </row>
    <row r="188">
      <c r="A188" s="1"/>
      <c r="B188" s="32"/>
      <c r="C188" s="1"/>
      <c r="D188" s="1"/>
      <c r="E188" s="1"/>
      <c r="F188" s="1"/>
      <c r="G188" s="1"/>
      <c r="H188" s="32"/>
      <c r="I188" s="1"/>
      <c r="J188" s="1"/>
      <c r="K188" s="1"/>
      <c r="L188" s="1"/>
      <c r="M188" s="1"/>
      <c r="N188" s="1"/>
      <c r="O188" s="1"/>
      <c r="P188" s="1"/>
      <c r="Q188" s="1"/>
      <c r="R188" s="1"/>
      <c r="S188" s="1"/>
      <c r="T188" s="1"/>
      <c r="U188" s="1"/>
      <c r="V188" s="1"/>
      <c r="W188" s="1"/>
      <c r="X188" s="1"/>
      <c r="Y188" s="1"/>
      <c r="Z188" s="1"/>
    </row>
    <row r="189">
      <c r="A189" s="1"/>
      <c r="B189" s="32"/>
      <c r="C189" s="1"/>
      <c r="D189" s="1"/>
      <c r="E189" s="1"/>
      <c r="F189" s="1"/>
      <c r="G189" s="1"/>
      <c r="H189" s="32"/>
      <c r="I189" s="1"/>
      <c r="J189" s="1"/>
      <c r="K189" s="1"/>
      <c r="L189" s="1"/>
      <c r="M189" s="1"/>
      <c r="N189" s="1"/>
      <c r="O189" s="1"/>
      <c r="P189" s="1"/>
      <c r="Q189" s="1"/>
      <c r="R189" s="1"/>
      <c r="S189" s="1"/>
      <c r="T189" s="1"/>
      <c r="U189" s="1"/>
      <c r="V189" s="1"/>
      <c r="W189" s="1"/>
      <c r="X189" s="1"/>
      <c r="Y189" s="1"/>
      <c r="Z189" s="1"/>
    </row>
    <row r="190">
      <c r="A190" s="1"/>
      <c r="B190" s="32"/>
      <c r="C190" s="1"/>
      <c r="D190" s="1"/>
      <c r="E190" s="1"/>
      <c r="F190" s="1"/>
      <c r="G190" s="1"/>
      <c r="H190" s="32"/>
      <c r="I190" s="1"/>
      <c r="J190" s="1"/>
      <c r="K190" s="1"/>
      <c r="L190" s="1"/>
      <c r="M190" s="1"/>
      <c r="N190" s="1"/>
      <c r="O190" s="1"/>
      <c r="P190" s="1"/>
      <c r="Q190" s="1"/>
      <c r="R190" s="1"/>
      <c r="S190" s="1"/>
      <c r="T190" s="1"/>
      <c r="U190" s="1"/>
      <c r="V190" s="1"/>
      <c r="W190" s="1"/>
      <c r="X190" s="1"/>
      <c r="Y190" s="1"/>
      <c r="Z190" s="1"/>
    </row>
    <row r="191">
      <c r="A191" s="1"/>
      <c r="B191" s="32"/>
      <c r="C191" s="1"/>
      <c r="D191" s="1"/>
      <c r="E191" s="1"/>
      <c r="F191" s="1"/>
      <c r="G191" s="1"/>
      <c r="H191" s="32"/>
      <c r="I191" s="1"/>
      <c r="J191" s="1"/>
      <c r="K191" s="1"/>
      <c r="L191" s="1"/>
      <c r="M191" s="1"/>
      <c r="N191" s="1"/>
      <c r="O191" s="1"/>
      <c r="P191" s="1"/>
      <c r="Q191" s="1"/>
      <c r="R191" s="1"/>
      <c r="S191" s="1"/>
      <c r="T191" s="1"/>
      <c r="U191" s="1"/>
      <c r="V191" s="1"/>
      <c r="W191" s="1"/>
      <c r="X191" s="1"/>
      <c r="Y191" s="1"/>
      <c r="Z191" s="1"/>
    </row>
    <row r="192">
      <c r="A192" s="1"/>
      <c r="B192" s="32"/>
      <c r="C192" s="1"/>
      <c r="D192" s="1"/>
      <c r="E192" s="1"/>
      <c r="F192" s="1"/>
      <c r="G192" s="1"/>
      <c r="H192" s="32"/>
      <c r="I192" s="1"/>
      <c r="J192" s="1"/>
      <c r="K192" s="1"/>
      <c r="L192" s="1"/>
      <c r="M192" s="1"/>
      <c r="N192" s="1"/>
      <c r="O192" s="1"/>
      <c r="P192" s="1"/>
      <c r="Q192" s="1"/>
      <c r="R192" s="1"/>
      <c r="S192" s="1"/>
      <c r="T192" s="1"/>
      <c r="U192" s="1"/>
      <c r="V192" s="1"/>
      <c r="W192" s="1"/>
      <c r="X192" s="1"/>
      <c r="Y192" s="1"/>
      <c r="Z192" s="1"/>
    </row>
    <row r="193">
      <c r="A193" s="1"/>
      <c r="B193" s="32"/>
      <c r="C193" s="1"/>
      <c r="D193" s="1"/>
      <c r="E193" s="1"/>
      <c r="F193" s="1"/>
      <c r="G193" s="1"/>
      <c r="H193" s="32"/>
      <c r="I193" s="1"/>
      <c r="J193" s="1"/>
      <c r="K193" s="1"/>
      <c r="L193" s="1"/>
      <c r="M193" s="1"/>
      <c r="N193" s="1"/>
      <c r="O193" s="1"/>
      <c r="P193" s="1"/>
      <c r="Q193" s="1"/>
      <c r="R193" s="1"/>
      <c r="S193" s="1"/>
      <c r="T193" s="1"/>
      <c r="U193" s="1"/>
      <c r="V193" s="1"/>
      <c r="W193" s="1"/>
      <c r="X193" s="1"/>
      <c r="Y193" s="1"/>
      <c r="Z193" s="1"/>
    </row>
    <row r="194">
      <c r="A194" s="1"/>
      <c r="B194" s="32"/>
      <c r="C194" s="1"/>
      <c r="D194" s="1"/>
      <c r="E194" s="1"/>
      <c r="F194" s="1"/>
      <c r="G194" s="1"/>
      <c r="H194" s="32"/>
      <c r="I194" s="1"/>
      <c r="J194" s="1"/>
      <c r="K194" s="1"/>
      <c r="L194" s="1"/>
      <c r="M194" s="1"/>
      <c r="N194" s="1"/>
      <c r="O194" s="1"/>
      <c r="P194" s="1"/>
      <c r="Q194" s="1"/>
      <c r="R194" s="1"/>
      <c r="S194" s="1"/>
      <c r="T194" s="1"/>
      <c r="U194" s="1"/>
      <c r="V194" s="1"/>
      <c r="W194" s="1"/>
      <c r="X194" s="1"/>
      <c r="Y194" s="1"/>
      <c r="Z194" s="1"/>
    </row>
    <row r="195">
      <c r="A195" s="1"/>
      <c r="B195" s="32"/>
      <c r="C195" s="1"/>
      <c r="D195" s="1"/>
      <c r="E195" s="1"/>
      <c r="F195" s="1"/>
      <c r="G195" s="1"/>
      <c r="H195" s="32"/>
      <c r="I195" s="1"/>
      <c r="J195" s="1"/>
      <c r="K195" s="1"/>
      <c r="L195" s="1"/>
      <c r="M195" s="1"/>
      <c r="N195" s="1"/>
      <c r="O195" s="1"/>
      <c r="P195" s="1"/>
      <c r="Q195" s="1"/>
      <c r="R195" s="1"/>
      <c r="S195" s="1"/>
      <c r="T195" s="1"/>
      <c r="U195" s="1"/>
      <c r="V195" s="1"/>
      <c r="W195" s="1"/>
      <c r="X195" s="1"/>
      <c r="Y195" s="1"/>
      <c r="Z195" s="1"/>
    </row>
    <row r="196">
      <c r="A196" s="1"/>
      <c r="B196" s="32"/>
      <c r="C196" s="1"/>
      <c r="D196" s="1"/>
      <c r="E196" s="1"/>
      <c r="F196" s="1"/>
      <c r="G196" s="1"/>
      <c r="H196" s="32"/>
      <c r="I196" s="1"/>
      <c r="J196" s="1"/>
      <c r="K196" s="1"/>
      <c r="L196" s="1"/>
      <c r="M196" s="1"/>
      <c r="N196" s="1"/>
      <c r="O196" s="1"/>
      <c r="P196" s="1"/>
      <c r="Q196" s="1"/>
      <c r="R196" s="1"/>
      <c r="S196" s="1"/>
      <c r="T196" s="1"/>
      <c r="U196" s="1"/>
      <c r="V196" s="1"/>
      <c r="W196" s="1"/>
      <c r="X196" s="1"/>
      <c r="Y196" s="1"/>
      <c r="Z196" s="1"/>
    </row>
    <row r="197">
      <c r="A197" s="1"/>
      <c r="B197" s="32"/>
      <c r="C197" s="1"/>
      <c r="D197" s="1"/>
      <c r="E197" s="1"/>
      <c r="F197" s="1"/>
      <c r="G197" s="1"/>
      <c r="H197" s="32"/>
      <c r="I197" s="1"/>
      <c r="J197" s="1"/>
      <c r="K197" s="1"/>
      <c r="L197" s="1"/>
      <c r="M197" s="1"/>
      <c r="N197" s="1"/>
      <c r="O197" s="1"/>
      <c r="P197" s="1"/>
      <c r="Q197" s="1"/>
      <c r="R197" s="1"/>
      <c r="S197" s="1"/>
      <c r="T197" s="1"/>
      <c r="U197" s="1"/>
      <c r="V197" s="1"/>
      <c r="W197" s="1"/>
      <c r="X197" s="1"/>
      <c r="Y197" s="1"/>
      <c r="Z197" s="1"/>
    </row>
    <row r="198">
      <c r="A198" s="1"/>
      <c r="B198" s="32"/>
      <c r="C198" s="1"/>
      <c r="D198" s="1"/>
      <c r="E198" s="1"/>
      <c r="F198" s="1"/>
      <c r="G198" s="1"/>
      <c r="H198" s="32"/>
      <c r="I198" s="1"/>
      <c r="J198" s="1"/>
      <c r="K198" s="1"/>
      <c r="L198" s="1"/>
      <c r="M198" s="1"/>
      <c r="N198" s="1"/>
      <c r="O198" s="1"/>
      <c r="P198" s="1"/>
      <c r="Q198" s="1"/>
      <c r="R198" s="1"/>
      <c r="S198" s="1"/>
      <c r="T198" s="1"/>
      <c r="U198" s="1"/>
      <c r="V198" s="1"/>
      <c r="W198" s="1"/>
      <c r="X198" s="1"/>
      <c r="Y198" s="1"/>
      <c r="Z198" s="1"/>
    </row>
    <row r="199">
      <c r="A199" s="1"/>
      <c r="B199" s="32"/>
      <c r="C199" s="1"/>
      <c r="D199" s="1"/>
      <c r="E199" s="1"/>
      <c r="F199" s="1"/>
      <c r="G199" s="1"/>
      <c r="H199" s="32"/>
      <c r="I199" s="1"/>
      <c r="J199" s="1"/>
      <c r="K199" s="1"/>
      <c r="L199" s="1"/>
      <c r="M199" s="1"/>
      <c r="N199" s="1"/>
      <c r="O199" s="1"/>
      <c r="P199" s="1"/>
      <c r="Q199" s="1"/>
      <c r="R199" s="1"/>
      <c r="S199" s="1"/>
      <c r="T199" s="1"/>
      <c r="U199" s="1"/>
      <c r="V199" s="1"/>
      <c r="W199" s="1"/>
      <c r="X199" s="1"/>
      <c r="Y199" s="1"/>
      <c r="Z199" s="1"/>
    </row>
    <row r="200">
      <c r="A200" s="1"/>
      <c r="B200" s="32"/>
      <c r="C200" s="1"/>
      <c r="D200" s="1"/>
      <c r="E200" s="1"/>
      <c r="F200" s="1"/>
      <c r="G200" s="1"/>
      <c r="H200" s="32"/>
      <c r="I200" s="1"/>
      <c r="J200" s="1"/>
      <c r="K200" s="1"/>
      <c r="L200" s="1"/>
      <c r="M200" s="1"/>
      <c r="N200" s="1"/>
      <c r="O200" s="1"/>
      <c r="P200" s="1"/>
      <c r="Q200" s="1"/>
      <c r="R200" s="1"/>
      <c r="S200" s="1"/>
      <c r="T200" s="1"/>
      <c r="U200" s="1"/>
      <c r="V200" s="1"/>
      <c r="W200" s="1"/>
      <c r="X200" s="1"/>
      <c r="Y200" s="1"/>
      <c r="Z200" s="1"/>
    </row>
    <row r="201">
      <c r="A201" s="1"/>
      <c r="B201" s="32"/>
      <c r="C201" s="1"/>
      <c r="D201" s="1"/>
      <c r="E201" s="1"/>
      <c r="F201" s="1"/>
      <c r="G201" s="1"/>
      <c r="H201" s="32"/>
      <c r="I201" s="1"/>
      <c r="J201" s="1"/>
      <c r="K201" s="1"/>
      <c r="L201" s="1"/>
      <c r="M201" s="1"/>
      <c r="N201" s="1"/>
      <c r="O201" s="1"/>
      <c r="P201" s="1"/>
      <c r="Q201" s="1"/>
      <c r="R201" s="1"/>
      <c r="S201" s="1"/>
      <c r="T201" s="1"/>
      <c r="U201" s="1"/>
      <c r="V201" s="1"/>
      <c r="W201" s="1"/>
      <c r="X201" s="1"/>
      <c r="Y201" s="1"/>
      <c r="Z201" s="1"/>
    </row>
    <row r="202">
      <c r="A202" s="1"/>
      <c r="B202" s="32"/>
      <c r="C202" s="1"/>
      <c r="D202" s="1"/>
      <c r="E202" s="1"/>
      <c r="F202" s="1"/>
      <c r="G202" s="1"/>
      <c r="H202" s="32"/>
      <c r="I202" s="1"/>
      <c r="J202" s="1"/>
      <c r="K202" s="1"/>
      <c r="L202" s="1"/>
      <c r="M202" s="1"/>
      <c r="N202" s="1"/>
      <c r="O202" s="1"/>
      <c r="P202" s="1"/>
      <c r="Q202" s="1"/>
      <c r="R202" s="1"/>
      <c r="S202" s="1"/>
      <c r="T202" s="1"/>
      <c r="U202" s="1"/>
      <c r="V202" s="1"/>
      <c r="W202" s="1"/>
      <c r="X202" s="1"/>
      <c r="Y202" s="1"/>
      <c r="Z202" s="1"/>
    </row>
    <row r="203">
      <c r="A203" s="1"/>
      <c r="B203" s="32"/>
      <c r="C203" s="1"/>
      <c r="D203" s="1"/>
      <c r="E203" s="1"/>
      <c r="F203" s="1"/>
      <c r="G203" s="1"/>
      <c r="H203" s="32"/>
      <c r="I203" s="1"/>
      <c r="J203" s="1"/>
      <c r="K203" s="1"/>
      <c r="L203" s="1"/>
      <c r="M203" s="1"/>
      <c r="N203" s="1"/>
      <c r="O203" s="1"/>
      <c r="P203" s="1"/>
      <c r="Q203" s="1"/>
      <c r="R203" s="1"/>
      <c r="S203" s="1"/>
      <c r="T203" s="1"/>
      <c r="U203" s="1"/>
      <c r="V203" s="1"/>
      <c r="W203" s="1"/>
      <c r="X203" s="1"/>
      <c r="Y203" s="1"/>
      <c r="Z203" s="1"/>
    </row>
    <row r="204">
      <c r="A204" s="1"/>
      <c r="B204" s="32"/>
      <c r="C204" s="1"/>
      <c r="D204" s="1"/>
      <c r="E204" s="1"/>
      <c r="F204" s="1"/>
      <c r="G204" s="1"/>
      <c r="H204" s="32"/>
      <c r="I204" s="1"/>
      <c r="J204" s="1"/>
      <c r="K204" s="1"/>
      <c r="L204" s="1"/>
      <c r="M204" s="1"/>
      <c r="N204" s="1"/>
      <c r="O204" s="1"/>
      <c r="P204" s="1"/>
      <c r="Q204" s="1"/>
      <c r="R204" s="1"/>
      <c r="S204" s="1"/>
      <c r="T204" s="1"/>
      <c r="U204" s="1"/>
      <c r="V204" s="1"/>
      <c r="W204" s="1"/>
      <c r="X204" s="1"/>
      <c r="Y204" s="1"/>
      <c r="Z204" s="1"/>
    </row>
    <row r="205">
      <c r="A205" s="1"/>
      <c r="B205" s="32"/>
      <c r="C205" s="1"/>
      <c r="D205" s="1"/>
      <c r="E205" s="1"/>
      <c r="F205" s="1"/>
      <c r="G205" s="1"/>
      <c r="H205" s="32"/>
      <c r="I205" s="1"/>
      <c r="J205" s="1"/>
      <c r="K205" s="1"/>
      <c r="L205" s="1"/>
      <c r="M205" s="1"/>
      <c r="N205" s="1"/>
      <c r="O205" s="1"/>
      <c r="P205" s="1"/>
      <c r="Q205" s="1"/>
      <c r="R205" s="1"/>
      <c r="S205" s="1"/>
      <c r="T205" s="1"/>
      <c r="U205" s="1"/>
      <c r="V205" s="1"/>
      <c r="W205" s="1"/>
      <c r="X205" s="1"/>
      <c r="Y205" s="1"/>
      <c r="Z205" s="1"/>
    </row>
    <row r="206">
      <c r="A206" s="1"/>
      <c r="B206" s="32"/>
      <c r="C206" s="1"/>
      <c r="D206" s="1"/>
      <c r="E206" s="1"/>
      <c r="F206" s="1"/>
      <c r="G206" s="1"/>
      <c r="H206" s="32"/>
      <c r="I206" s="1"/>
      <c r="J206" s="1"/>
      <c r="K206" s="1"/>
      <c r="L206" s="1"/>
      <c r="M206" s="1"/>
      <c r="N206" s="1"/>
      <c r="O206" s="1"/>
      <c r="P206" s="1"/>
      <c r="Q206" s="1"/>
      <c r="R206" s="1"/>
      <c r="S206" s="1"/>
      <c r="T206" s="1"/>
      <c r="U206" s="1"/>
      <c r="V206" s="1"/>
      <c r="W206" s="1"/>
      <c r="X206" s="1"/>
      <c r="Y206" s="1"/>
      <c r="Z206" s="1"/>
    </row>
    <row r="207">
      <c r="A207" s="1"/>
      <c r="B207" s="32"/>
      <c r="C207" s="1"/>
      <c r="D207" s="1"/>
      <c r="E207" s="1"/>
      <c r="F207" s="1"/>
      <c r="G207" s="1"/>
      <c r="H207" s="32"/>
      <c r="I207" s="1"/>
      <c r="J207" s="1"/>
      <c r="K207" s="1"/>
      <c r="L207" s="1"/>
      <c r="M207" s="1"/>
      <c r="N207" s="1"/>
      <c r="O207" s="1"/>
      <c r="P207" s="1"/>
      <c r="Q207" s="1"/>
      <c r="R207" s="1"/>
      <c r="S207" s="1"/>
      <c r="T207" s="1"/>
      <c r="U207" s="1"/>
      <c r="V207" s="1"/>
      <c r="W207" s="1"/>
      <c r="X207" s="1"/>
      <c r="Y207" s="1"/>
      <c r="Z207" s="1"/>
    </row>
    <row r="208">
      <c r="A208" s="1"/>
      <c r="B208" s="32"/>
      <c r="C208" s="1"/>
      <c r="D208" s="1"/>
      <c r="E208" s="1"/>
      <c r="F208" s="1"/>
      <c r="G208" s="1"/>
      <c r="H208" s="32"/>
      <c r="I208" s="1"/>
      <c r="J208" s="1"/>
      <c r="K208" s="1"/>
      <c r="L208" s="1"/>
      <c r="M208" s="1"/>
      <c r="N208" s="1"/>
      <c r="O208" s="1"/>
      <c r="P208" s="1"/>
      <c r="Q208" s="1"/>
      <c r="R208" s="1"/>
      <c r="S208" s="1"/>
      <c r="T208" s="1"/>
      <c r="U208" s="1"/>
      <c r="V208" s="1"/>
      <c r="W208" s="1"/>
      <c r="X208" s="1"/>
      <c r="Y208" s="1"/>
      <c r="Z208" s="1"/>
    </row>
    <row r="209">
      <c r="A209" s="1"/>
      <c r="B209" s="32"/>
      <c r="C209" s="1"/>
      <c r="D209" s="1"/>
      <c r="E209" s="1"/>
      <c r="F209" s="1"/>
      <c r="G209" s="1"/>
      <c r="H209" s="32"/>
      <c r="I209" s="1"/>
      <c r="J209" s="1"/>
      <c r="K209" s="1"/>
      <c r="L209" s="1"/>
      <c r="M209" s="1"/>
      <c r="N209" s="1"/>
      <c r="O209" s="1"/>
      <c r="P209" s="1"/>
      <c r="Q209" s="1"/>
      <c r="R209" s="1"/>
      <c r="S209" s="1"/>
      <c r="T209" s="1"/>
      <c r="U209" s="1"/>
      <c r="V209" s="1"/>
      <c r="W209" s="1"/>
      <c r="X209" s="1"/>
      <c r="Y209" s="1"/>
      <c r="Z209" s="1"/>
    </row>
    <row r="210">
      <c r="A210" s="1"/>
      <c r="B210" s="32"/>
      <c r="C210" s="1"/>
      <c r="D210" s="1"/>
      <c r="E210" s="1"/>
      <c r="F210" s="1"/>
      <c r="G210" s="1"/>
      <c r="H210" s="32"/>
      <c r="I210" s="1"/>
      <c r="J210" s="1"/>
      <c r="K210" s="1"/>
      <c r="L210" s="1"/>
      <c r="M210" s="1"/>
      <c r="N210" s="1"/>
      <c r="O210" s="1"/>
      <c r="P210" s="1"/>
      <c r="Q210" s="1"/>
      <c r="R210" s="1"/>
      <c r="S210" s="1"/>
      <c r="T210" s="1"/>
      <c r="U210" s="1"/>
      <c r="V210" s="1"/>
      <c r="W210" s="1"/>
      <c r="X210" s="1"/>
      <c r="Y210" s="1"/>
      <c r="Z210" s="1"/>
    </row>
    <row r="211">
      <c r="A211" s="1"/>
      <c r="B211" s="32"/>
      <c r="C211" s="1"/>
      <c r="D211" s="1"/>
      <c r="E211" s="1"/>
      <c r="F211" s="1"/>
      <c r="G211" s="1"/>
      <c r="H211" s="32"/>
      <c r="I211" s="1"/>
      <c r="J211" s="1"/>
      <c r="K211" s="1"/>
      <c r="L211" s="1"/>
      <c r="M211" s="1"/>
      <c r="N211" s="1"/>
      <c r="O211" s="1"/>
      <c r="P211" s="1"/>
      <c r="Q211" s="1"/>
      <c r="R211" s="1"/>
      <c r="S211" s="1"/>
      <c r="T211" s="1"/>
      <c r="U211" s="1"/>
      <c r="V211" s="1"/>
      <c r="W211" s="1"/>
      <c r="X211" s="1"/>
      <c r="Y211" s="1"/>
      <c r="Z211" s="1"/>
    </row>
    <row r="212">
      <c r="A212" s="1"/>
      <c r="B212" s="32"/>
      <c r="C212" s="1"/>
      <c r="D212" s="1"/>
      <c r="E212" s="1"/>
      <c r="F212" s="1"/>
      <c r="G212" s="1"/>
      <c r="H212" s="32"/>
      <c r="I212" s="1"/>
      <c r="J212" s="1"/>
      <c r="K212" s="1"/>
      <c r="L212" s="1"/>
      <c r="M212" s="1"/>
      <c r="N212" s="1"/>
      <c r="O212" s="1"/>
      <c r="P212" s="1"/>
      <c r="Q212" s="1"/>
      <c r="R212" s="1"/>
      <c r="S212" s="1"/>
      <c r="T212" s="1"/>
      <c r="U212" s="1"/>
      <c r="V212" s="1"/>
      <c r="W212" s="1"/>
      <c r="X212" s="1"/>
      <c r="Y212" s="1"/>
      <c r="Z212" s="1"/>
    </row>
    <row r="213">
      <c r="A213" s="1"/>
      <c r="B213" s="32"/>
      <c r="C213" s="1"/>
      <c r="D213" s="1"/>
      <c r="E213" s="1"/>
      <c r="F213" s="1"/>
      <c r="G213" s="1"/>
      <c r="H213" s="32"/>
      <c r="I213" s="1"/>
      <c r="J213" s="1"/>
      <c r="K213" s="1"/>
      <c r="L213" s="1"/>
      <c r="M213" s="1"/>
      <c r="N213" s="1"/>
      <c r="O213" s="1"/>
      <c r="P213" s="1"/>
      <c r="Q213" s="1"/>
      <c r="R213" s="1"/>
      <c r="S213" s="1"/>
      <c r="T213" s="1"/>
      <c r="U213" s="1"/>
      <c r="V213" s="1"/>
      <c r="W213" s="1"/>
      <c r="X213" s="1"/>
      <c r="Y213" s="1"/>
      <c r="Z213" s="1"/>
    </row>
    <row r="214">
      <c r="A214" s="1"/>
      <c r="B214" s="32"/>
      <c r="C214" s="1"/>
      <c r="D214" s="1"/>
      <c r="E214" s="1"/>
      <c r="F214" s="1"/>
      <c r="G214" s="1"/>
      <c r="H214" s="32"/>
      <c r="I214" s="1"/>
      <c r="J214" s="1"/>
      <c r="K214" s="1"/>
      <c r="L214" s="1"/>
      <c r="M214" s="1"/>
      <c r="N214" s="1"/>
      <c r="O214" s="1"/>
      <c r="P214" s="1"/>
      <c r="Q214" s="1"/>
      <c r="R214" s="1"/>
      <c r="S214" s="1"/>
      <c r="T214" s="1"/>
      <c r="U214" s="1"/>
      <c r="V214" s="1"/>
      <c r="W214" s="1"/>
      <c r="X214" s="1"/>
      <c r="Y214" s="1"/>
      <c r="Z214" s="1"/>
    </row>
    <row r="215">
      <c r="A215" s="1"/>
      <c r="B215" s="32"/>
      <c r="C215" s="1"/>
      <c r="D215" s="1"/>
      <c r="E215" s="1"/>
      <c r="F215" s="1"/>
      <c r="G215" s="1"/>
      <c r="H215" s="32"/>
      <c r="I215" s="1"/>
      <c r="J215" s="1"/>
      <c r="K215" s="1"/>
      <c r="L215" s="1"/>
      <c r="M215" s="1"/>
      <c r="N215" s="1"/>
      <c r="O215" s="1"/>
      <c r="P215" s="1"/>
      <c r="Q215" s="1"/>
      <c r="R215" s="1"/>
      <c r="S215" s="1"/>
      <c r="T215" s="1"/>
      <c r="U215" s="1"/>
      <c r="V215" s="1"/>
      <c r="W215" s="1"/>
      <c r="X215" s="1"/>
      <c r="Y215" s="1"/>
      <c r="Z215" s="1"/>
    </row>
    <row r="216">
      <c r="A216" s="1"/>
      <c r="B216" s="32"/>
      <c r="C216" s="1"/>
      <c r="D216" s="1"/>
      <c r="E216" s="1"/>
      <c r="F216" s="1"/>
      <c r="G216" s="1"/>
      <c r="H216" s="32"/>
      <c r="I216" s="1"/>
      <c r="J216" s="1"/>
      <c r="K216" s="1"/>
      <c r="L216" s="1"/>
      <c r="M216" s="1"/>
      <c r="N216" s="1"/>
      <c r="O216" s="1"/>
      <c r="P216" s="1"/>
      <c r="Q216" s="1"/>
      <c r="R216" s="1"/>
      <c r="S216" s="1"/>
      <c r="T216" s="1"/>
      <c r="U216" s="1"/>
      <c r="V216" s="1"/>
      <c r="W216" s="1"/>
      <c r="X216" s="1"/>
      <c r="Y216" s="1"/>
      <c r="Z216" s="1"/>
    </row>
    <row r="217">
      <c r="A217" s="1"/>
      <c r="B217" s="32"/>
      <c r="C217" s="1"/>
      <c r="D217" s="1"/>
      <c r="E217" s="1"/>
      <c r="F217" s="1"/>
      <c r="G217" s="1"/>
      <c r="H217" s="32"/>
      <c r="I217" s="1"/>
      <c r="J217" s="1"/>
      <c r="K217" s="1"/>
      <c r="L217" s="1"/>
      <c r="M217" s="1"/>
      <c r="N217" s="1"/>
      <c r="O217" s="1"/>
      <c r="P217" s="1"/>
      <c r="Q217" s="1"/>
      <c r="R217" s="1"/>
      <c r="S217" s="1"/>
      <c r="T217" s="1"/>
      <c r="U217" s="1"/>
      <c r="V217" s="1"/>
      <c r="W217" s="1"/>
      <c r="X217" s="1"/>
      <c r="Y217" s="1"/>
      <c r="Z217" s="1"/>
    </row>
    <row r="218">
      <c r="A218" s="1"/>
      <c r="B218" s="32"/>
      <c r="C218" s="1"/>
      <c r="D218" s="1"/>
      <c r="E218" s="1"/>
      <c r="F218" s="1"/>
      <c r="G218" s="1"/>
      <c r="H218" s="32"/>
      <c r="I218" s="1"/>
      <c r="J218" s="1"/>
      <c r="K218" s="1"/>
      <c r="L218" s="1"/>
      <c r="M218" s="1"/>
      <c r="N218" s="1"/>
      <c r="O218" s="1"/>
      <c r="P218" s="1"/>
      <c r="Q218" s="1"/>
      <c r="R218" s="1"/>
      <c r="S218" s="1"/>
      <c r="T218" s="1"/>
      <c r="U218" s="1"/>
      <c r="V218" s="1"/>
      <c r="W218" s="1"/>
      <c r="X218" s="1"/>
      <c r="Y218" s="1"/>
      <c r="Z218" s="1"/>
    </row>
    <row r="219">
      <c r="A219" s="1"/>
      <c r="B219" s="32"/>
      <c r="C219" s="1"/>
      <c r="D219" s="1"/>
      <c r="E219" s="1"/>
      <c r="F219" s="1"/>
      <c r="G219" s="1"/>
      <c r="H219" s="32"/>
      <c r="I219" s="1"/>
      <c r="J219" s="1"/>
      <c r="K219" s="1"/>
      <c r="L219" s="1"/>
      <c r="M219" s="1"/>
      <c r="N219" s="1"/>
      <c r="O219" s="1"/>
      <c r="P219" s="1"/>
      <c r="Q219" s="1"/>
      <c r="R219" s="1"/>
      <c r="S219" s="1"/>
      <c r="T219" s="1"/>
      <c r="U219" s="1"/>
      <c r="V219" s="1"/>
      <c r="W219" s="1"/>
      <c r="X219" s="1"/>
      <c r="Y219" s="1"/>
      <c r="Z219" s="1"/>
    </row>
    <row r="220">
      <c r="A220" s="1"/>
      <c r="B220" s="32"/>
      <c r="C220" s="1"/>
      <c r="D220" s="1"/>
      <c r="E220" s="1"/>
      <c r="F220" s="1"/>
      <c r="G220" s="1"/>
      <c r="H220" s="32"/>
      <c r="I220" s="1"/>
      <c r="J220" s="1"/>
      <c r="K220" s="1"/>
      <c r="L220" s="1"/>
      <c r="M220" s="1"/>
      <c r="N220" s="1"/>
      <c r="O220" s="1"/>
      <c r="P220" s="1"/>
      <c r="Q220" s="1"/>
      <c r="R220" s="1"/>
      <c r="S220" s="1"/>
      <c r="T220" s="1"/>
      <c r="U220" s="1"/>
      <c r="V220" s="1"/>
      <c r="W220" s="1"/>
      <c r="X220" s="1"/>
      <c r="Y220" s="1"/>
      <c r="Z220" s="1"/>
    </row>
    <row r="221">
      <c r="A221" s="1"/>
      <c r="B221" s="32"/>
      <c r="C221" s="1"/>
      <c r="D221" s="1"/>
      <c r="E221" s="1"/>
      <c r="F221" s="1"/>
      <c r="G221" s="1"/>
      <c r="H221" s="32"/>
      <c r="I221" s="1"/>
      <c r="J221" s="1"/>
      <c r="K221" s="1"/>
      <c r="L221" s="1"/>
      <c r="M221" s="1"/>
      <c r="N221" s="1"/>
      <c r="O221" s="1"/>
      <c r="P221" s="1"/>
      <c r="Q221" s="1"/>
      <c r="R221" s="1"/>
      <c r="S221" s="1"/>
      <c r="T221" s="1"/>
      <c r="U221" s="1"/>
      <c r="V221" s="1"/>
      <c r="W221" s="1"/>
      <c r="X221" s="1"/>
      <c r="Y221" s="1"/>
      <c r="Z221" s="1"/>
    </row>
    <row r="222">
      <c r="A222" s="1"/>
      <c r="B222" s="32"/>
      <c r="C222" s="1"/>
      <c r="D222" s="1"/>
      <c r="E222" s="1"/>
      <c r="F222" s="1"/>
      <c r="G222" s="1"/>
      <c r="H222" s="32"/>
      <c r="I222" s="1"/>
      <c r="J222" s="1"/>
      <c r="K222" s="1"/>
      <c r="L222" s="1"/>
      <c r="M222" s="1"/>
      <c r="N222" s="1"/>
      <c r="O222" s="1"/>
      <c r="P222" s="1"/>
      <c r="Q222" s="1"/>
      <c r="R222" s="1"/>
      <c r="S222" s="1"/>
      <c r="T222" s="1"/>
      <c r="U222" s="1"/>
      <c r="V222" s="1"/>
      <c r="W222" s="1"/>
      <c r="X222" s="1"/>
      <c r="Y222" s="1"/>
      <c r="Z222" s="1"/>
    </row>
    <row r="223">
      <c r="A223" s="1"/>
      <c r="B223" s="32"/>
      <c r="C223" s="1"/>
      <c r="D223" s="1"/>
      <c r="E223" s="1"/>
      <c r="F223" s="1"/>
      <c r="G223" s="1"/>
      <c r="H223" s="32"/>
      <c r="I223" s="1"/>
      <c r="J223" s="1"/>
      <c r="K223" s="1"/>
      <c r="L223" s="1"/>
      <c r="M223" s="1"/>
      <c r="N223" s="1"/>
      <c r="O223" s="1"/>
      <c r="P223" s="1"/>
      <c r="Q223" s="1"/>
      <c r="R223" s="1"/>
      <c r="S223" s="1"/>
      <c r="T223" s="1"/>
      <c r="U223" s="1"/>
      <c r="V223" s="1"/>
      <c r="W223" s="1"/>
      <c r="X223" s="1"/>
      <c r="Y223" s="1"/>
      <c r="Z223" s="1"/>
    </row>
    <row r="224">
      <c r="A224" s="1"/>
      <c r="B224" s="32"/>
      <c r="C224" s="1"/>
      <c r="D224" s="1"/>
      <c r="E224" s="1"/>
      <c r="F224" s="1"/>
      <c r="G224" s="1"/>
      <c r="H224" s="32"/>
      <c r="I224" s="1"/>
      <c r="J224" s="1"/>
      <c r="K224" s="1"/>
      <c r="L224" s="1"/>
      <c r="M224" s="1"/>
      <c r="N224" s="1"/>
      <c r="O224" s="1"/>
      <c r="P224" s="1"/>
      <c r="Q224" s="1"/>
      <c r="R224" s="1"/>
      <c r="S224" s="1"/>
      <c r="T224" s="1"/>
      <c r="U224" s="1"/>
      <c r="V224" s="1"/>
      <c r="W224" s="1"/>
      <c r="X224" s="1"/>
      <c r="Y224" s="1"/>
      <c r="Z224" s="1"/>
    </row>
    <row r="225">
      <c r="A225" s="1"/>
      <c r="B225" s="32"/>
      <c r="C225" s="1"/>
      <c r="D225" s="1"/>
      <c r="E225" s="1"/>
      <c r="F225" s="1"/>
      <c r="G225" s="1"/>
      <c r="H225" s="32"/>
      <c r="I225" s="1"/>
      <c r="J225" s="1"/>
      <c r="K225" s="1"/>
      <c r="L225" s="1"/>
      <c r="M225" s="1"/>
      <c r="N225" s="1"/>
      <c r="O225" s="1"/>
      <c r="P225" s="1"/>
      <c r="Q225" s="1"/>
      <c r="R225" s="1"/>
      <c r="S225" s="1"/>
      <c r="T225" s="1"/>
      <c r="U225" s="1"/>
      <c r="V225" s="1"/>
      <c r="W225" s="1"/>
      <c r="X225" s="1"/>
      <c r="Y225" s="1"/>
      <c r="Z225" s="1"/>
    </row>
    <row r="226">
      <c r="A226" s="1"/>
      <c r="B226" s="32"/>
      <c r="C226" s="1"/>
      <c r="D226" s="1"/>
      <c r="E226" s="1"/>
      <c r="F226" s="1"/>
      <c r="G226" s="1"/>
      <c r="H226" s="32"/>
      <c r="I226" s="1"/>
      <c r="J226" s="1"/>
      <c r="K226" s="1"/>
      <c r="L226" s="1"/>
      <c r="M226" s="1"/>
      <c r="N226" s="1"/>
      <c r="O226" s="1"/>
      <c r="P226" s="1"/>
      <c r="Q226" s="1"/>
      <c r="R226" s="1"/>
      <c r="S226" s="1"/>
      <c r="T226" s="1"/>
      <c r="U226" s="1"/>
      <c r="V226" s="1"/>
      <c r="W226" s="1"/>
      <c r="X226" s="1"/>
      <c r="Y226" s="1"/>
      <c r="Z226" s="1"/>
    </row>
    <row r="227">
      <c r="A227" s="1"/>
      <c r="B227" s="32"/>
      <c r="C227" s="1"/>
      <c r="D227" s="1"/>
      <c r="E227" s="1"/>
      <c r="F227" s="1"/>
      <c r="G227" s="1"/>
      <c r="H227" s="32"/>
      <c r="I227" s="1"/>
      <c r="J227" s="1"/>
      <c r="K227" s="1"/>
      <c r="L227" s="1"/>
      <c r="M227" s="1"/>
      <c r="N227" s="1"/>
      <c r="O227" s="1"/>
      <c r="P227" s="1"/>
      <c r="Q227" s="1"/>
      <c r="R227" s="1"/>
      <c r="S227" s="1"/>
      <c r="T227" s="1"/>
      <c r="U227" s="1"/>
      <c r="V227" s="1"/>
      <c r="W227" s="1"/>
      <c r="X227" s="1"/>
      <c r="Y227" s="1"/>
      <c r="Z227" s="1"/>
    </row>
    <row r="228">
      <c r="A228" s="1"/>
      <c r="B228" s="32"/>
      <c r="C228" s="1"/>
      <c r="D228" s="1"/>
      <c r="E228" s="1"/>
      <c r="F228" s="1"/>
      <c r="G228" s="1"/>
      <c r="H228" s="32"/>
      <c r="I228" s="1"/>
      <c r="J228" s="1"/>
      <c r="K228" s="1"/>
      <c r="L228" s="1"/>
      <c r="M228" s="1"/>
      <c r="N228" s="1"/>
      <c r="O228" s="1"/>
      <c r="P228" s="1"/>
      <c r="Q228" s="1"/>
      <c r="R228" s="1"/>
      <c r="S228" s="1"/>
      <c r="T228" s="1"/>
      <c r="U228" s="1"/>
      <c r="V228" s="1"/>
      <c r="W228" s="1"/>
      <c r="X228" s="1"/>
      <c r="Y228" s="1"/>
      <c r="Z228" s="1"/>
    </row>
    <row r="229">
      <c r="A229" s="1"/>
      <c r="B229" s="32"/>
      <c r="C229" s="1"/>
      <c r="D229" s="1"/>
      <c r="E229" s="1"/>
      <c r="F229" s="1"/>
      <c r="G229" s="1"/>
      <c r="H229" s="32"/>
      <c r="I229" s="1"/>
      <c r="J229" s="1"/>
      <c r="K229" s="1"/>
      <c r="L229" s="1"/>
      <c r="M229" s="1"/>
      <c r="N229" s="1"/>
      <c r="O229" s="1"/>
      <c r="P229" s="1"/>
      <c r="Q229" s="1"/>
      <c r="R229" s="1"/>
      <c r="S229" s="1"/>
      <c r="T229" s="1"/>
      <c r="U229" s="1"/>
      <c r="V229" s="1"/>
      <c r="W229" s="1"/>
      <c r="X229" s="1"/>
      <c r="Y229" s="1"/>
      <c r="Z229" s="1"/>
    </row>
    <row r="230">
      <c r="A230" s="1"/>
      <c r="B230" s="32"/>
      <c r="C230" s="1"/>
      <c r="D230" s="1"/>
      <c r="E230" s="1"/>
      <c r="F230" s="1"/>
      <c r="G230" s="1"/>
      <c r="H230" s="32"/>
      <c r="I230" s="1"/>
      <c r="J230" s="1"/>
      <c r="K230" s="1"/>
      <c r="L230" s="1"/>
      <c r="M230" s="1"/>
      <c r="N230" s="1"/>
      <c r="O230" s="1"/>
      <c r="P230" s="1"/>
      <c r="Q230" s="1"/>
      <c r="R230" s="1"/>
      <c r="S230" s="1"/>
      <c r="T230" s="1"/>
      <c r="U230" s="1"/>
      <c r="V230" s="1"/>
      <c r="W230" s="1"/>
      <c r="X230" s="1"/>
      <c r="Y230" s="1"/>
      <c r="Z230" s="1"/>
    </row>
    <row r="231">
      <c r="A231" s="1"/>
      <c r="B231" s="32"/>
      <c r="C231" s="1"/>
      <c r="D231" s="1"/>
      <c r="E231" s="1"/>
      <c r="F231" s="1"/>
      <c r="G231" s="1"/>
      <c r="H231" s="32"/>
      <c r="I231" s="1"/>
      <c r="J231" s="1"/>
      <c r="K231" s="1"/>
      <c r="L231" s="1"/>
      <c r="M231" s="1"/>
      <c r="N231" s="1"/>
      <c r="O231" s="1"/>
      <c r="P231" s="1"/>
      <c r="Q231" s="1"/>
      <c r="R231" s="1"/>
      <c r="S231" s="1"/>
      <c r="T231" s="1"/>
      <c r="U231" s="1"/>
      <c r="V231" s="1"/>
      <c r="W231" s="1"/>
      <c r="X231" s="1"/>
      <c r="Y231" s="1"/>
      <c r="Z231" s="1"/>
    </row>
    <row r="232">
      <c r="A232" s="1"/>
      <c r="B232" s="32"/>
      <c r="C232" s="1"/>
      <c r="D232" s="1"/>
      <c r="E232" s="1"/>
      <c r="F232" s="1"/>
      <c r="G232" s="1"/>
      <c r="H232" s="32"/>
      <c r="I232" s="1"/>
      <c r="J232" s="1"/>
      <c r="K232" s="1"/>
      <c r="L232" s="1"/>
      <c r="M232" s="1"/>
      <c r="N232" s="1"/>
      <c r="O232" s="1"/>
      <c r="P232" s="1"/>
      <c r="Q232" s="1"/>
      <c r="R232" s="1"/>
      <c r="S232" s="1"/>
      <c r="T232" s="1"/>
      <c r="U232" s="1"/>
      <c r="V232" s="1"/>
      <c r="W232" s="1"/>
      <c r="X232" s="1"/>
      <c r="Y232" s="1"/>
      <c r="Z232" s="1"/>
    </row>
    <row r="233">
      <c r="A233" s="1"/>
      <c r="B233" s="32"/>
      <c r="C233" s="1"/>
      <c r="D233" s="1"/>
      <c r="E233" s="1"/>
      <c r="F233" s="1"/>
      <c r="G233" s="1"/>
      <c r="H233" s="32"/>
      <c r="I233" s="1"/>
      <c r="J233" s="1"/>
      <c r="K233" s="1"/>
      <c r="L233" s="1"/>
      <c r="M233" s="1"/>
      <c r="N233" s="1"/>
      <c r="O233" s="1"/>
      <c r="P233" s="1"/>
      <c r="Q233" s="1"/>
      <c r="R233" s="1"/>
      <c r="S233" s="1"/>
      <c r="T233" s="1"/>
      <c r="U233" s="1"/>
      <c r="V233" s="1"/>
      <c r="W233" s="1"/>
      <c r="X233" s="1"/>
      <c r="Y233" s="1"/>
      <c r="Z233" s="1"/>
    </row>
    <row r="234">
      <c r="A234" s="1"/>
      <c r="B234" s="32"/>
      <c r="C234" s="1"/>
      <c r="D234" s="1"/>
      <c r="E234" s="1"/>
      <c r="F234" s="1"/>
      <c r="G234" s="1"/>
      <c r="H234" s="32"/>
      <c r="I234" s="1"/>
      <c r="J234" s="1"/>
      <c r="K234" s="1"/>
      <c r="L234" s="1"/>
      <c r="M234" s="1"/>
      <c r="N234" s="1"/>
      <c r="O234" s="1"/>
      <c r="P234" s="1"/>
      <c r="Q234" s="1"/>
      <c r="R234" s="1"/>
      <c r="S234" s="1"/>
      <c r="T234" s="1"/>
      <c r="U234" s="1"/>
      <c r="V234" s="1"/>
      <c r="W234" s="1"/>
      <c r="X234" s="1"/>
      <c r="Y234" s="1"/>
      <c r="Z234" s="1"/>
    </row>
    <row r="235">
      <c r="A235" s="1"/>
      <c r="B235" s="32"/>
      <c r="C235" s="1"/>
      <c r="D235" s="1"/>
      <c r="E235" s="1"/>
      <c r="F235" s="1"/>
      <c r="G235" s="1"/>
      <c r="H235" s="32"/>
      <c r="I235" s="1"/>
      <c r="J235" s="1"/>
      <c r="K235" s="1"/>
      <c r="L235" s="1"/>
      <c r="M235" s="1"/>
      <c r="N235" s="1"/>
      <c r="O235" s="1"/>
      <c r="P235" s="1"/>
      <c r="Q235" s="1"/>
      <c r="R235" s="1"/>
      <c r="S235" s="1"/>
      <c r="T235" s="1"/>
      <c r="U235" s="1"/>
      <c r="V235" s="1"/>
      <c r="W235" s="1"/>
      <c r="X235" s="1"/>
      <c r="Y235" s="1"/>
      <c r="Z235" s="1"/>
    </row>
    <row r="236">
      <c r="A236" s="1"/>
      <c r="B236" s="32"/>
      <c r="C236" s="1"/>
      <c r="D236" s="1"/>
      <c r="E236" s="1"/>
      <c r="F236" s="1"/>
      <c r="G236" s="1"/>
      <c r="H236" s="32"/>
      <c r="I236" s="1"/>
      <c r="J236" s="1"/>
      <c r="K236" s="1"/>
      <c r="L236" s="1"/>
      <c r="M236" s="1"/>
      <c r="N236" s="1"/>
      <c r="O236" s="1"/>
      <c r="P236" s="1"/>
      <c r="Q236" s="1"/>
      <c r="R236" s="1"/>
      <c r="S236" s="1"/>
      <c r="T236" s="1"/>
      <c r="U236" s="1"/>
      <c r="V236" s="1"/>
      <c r="W236" s="1"/>
      <c r="X236" s="1"/>
      <c r="Y236" s="1"/>
      <c r="Z236" s="1"/>
    </row>
    <row r="237">
      <c r="A237" s="1"/>
      <c r="B237" s="32"/>
      <c r="C237" s="1"/>
      <c r="D237" s="1"/>
      <c r="E237" s="1"/>
      <c r="F237" s="1"/>
      <c r="G237" s="1"/>
      <c r="H237" s="32"/>
      <c r="I237" s="1"/>
      <c r="J237" s="1"/>
      <c r="K237" s="1"/>
      <c r="L237" s="1"/>
      <c r="M237" s="1"/>
      <c r="N237" s="1"/>
      <c r="O237" s="1"/>
      <c r="P237" s="1"/>
      <c r="Q237" s="1"/>
      <c r="R237" s="1"/>
      <c r="S237" s="1"/>
      <c r="T237" s="1"/>
      <c r="U237" s="1"/>
      <c r="V237" s="1"/>
      <c r="W237" s="1"/>
      <c r="X237" s="1"/>
      <c r="Y237" s="1"/>
      <c r="Z237" s="1"/>
    </row>
    <row r="238">
      <c r="A238" s="1"/>
      <c r="B238" s="32"/>
      <c r="C238" s="1"/>
      <c r="D238" s="1"/>
      <c r="E238" s="1"/>
      <c r="F238" s="1"/>
      <c r="G238" s="1"/>
      <c r="H238" s="32"/>
      <c r="I238" s="1"/>
      <c r="J238" s="1"/>
      <c r="K238" s="1"/>
      <c r="L238" s="1"/>
      <c r="M238" s="1"/>
      <c r="N238" s="1"/>
      <c r="O238" s="1"/>
      <c r="P238" s="1"/>
      <c r="Q238" s="1"/>
      <c r="R238" s="1"/>
      <c r="S238" s="1"/>
      <c r="T238" s="1"/>
      <c r="U238" s="1"/>
      <c r="V238" s="1"/>
      <c r="W238" s="1"/>
      <c r="X238" s="1"/>
      <c r="Y238" s="1"/>
      <c r="Z238" s="1"/>
    </row>
    <row r="239">
      <c r="A239" s="1"/>
      <c r="B239" s="32"/>
      <c r="C239" s="1"/>
      <c r="D239" s="1"/>
      <c r="E239" s="1"/>
      <c r="F239" s="1"/>
      <c r="G239" s="1"/>
      <c r="H239" s="32"/>
      <c r="I239" s="1"/>
      <c r="J239" s="1"/>
      <c r="K239" s="1"/>
      <c r="L239" s="1"/>
      <c r="M239" s="1"/>
      <c r="N239" s="1"/>
      <c r="O239" s="1"/>
      <c r="P239" s="1"/>
      <c r="Q239" s="1"/>
      <c r="R239" s="1"/>
      <c r="S239" s="1"/>
      <c r="T239" s="1"/>
      <c r="U239" s="1"/>
      <c r="V239" s="1"/>
      <c r="W239" s="1"/>
      <c r="X239" s="1"/>
      <c r="Y239" s="1"/>
      <c r="Z239" s="1"/>
    </row>
    <row r="240">
      <c r="A240" s="1"/>
      <c r="B240" s="32"/>
      <c r="C240" s="1"/>
      <c r="D240" s="1"/>
      <c r="E240" s="1"/>
      <c r="F240" s="1"/>
      <c r="G240" s="1"/>
      <c r="H240" s="32"/>
      <c r="I240" s="1"/>
      <c r="J240" s="1"/>
      <c r="K240" s="1"/>
      <c r="L240" s="1"/>
      <c r="M240" s="1"/>
      <c r="N240" s="1"/>
      <c r="O240" s="1"/>
      <c r="P240" s="1"/>
      <c r="Q240" s="1"/>
      <c r="R240" s="1"/>
      <c r="S240" s="1"/>
      <c r="T240" s="1"/>
      <c r="U240" s="1"/>
      <c r="V240" s="1"/>
      <c r="W240" s="1"/>
      <c r="X240" s="1"/>
      <c r="Y240" s="1"/>
      <c r="Z240" s="1"/>
    </row>
    <row r="241">
      <c r="A241" s="1"/>
      <c r="B241" s="32"/>
      <c r="C241" s="1"/>
      <c r="D241" s="1"/>
      <c r="E241" s="1"/>
      <c r="F241" s="1"/>
      <c r="G241" s="1"/>
      <c r="H241" s="32"/>
      <c r="I241" s="1"/>
      <c r="J241" s="1"/>
      <c r="K241" s="1"/>
      <c r="L241" s="1"/>
      <c r="M241" s="1"/>
      <c r="N241" s="1"/>
      <c r="O241" s="1"/>
      <c r="P241" s="1"/>
      <c r="Q241" s="1"/>
      <c r="R241" s="1"/>
      <c r="S241" s="1"/>
      <c r="T241" s="1"/>
      <c r="U241" s="1"/>
      <c r="V241" s="1"/>
      <c r="W241" s="1"/>
      <c r="X241" s="1"/>
      <c r="Y241" s="1"/>
      <c r="Z241" s="1"/>
    </row>
    <row r="242">
      <c r="A242" s="1"/>
      <c r="B242" s="32"/>
      <c r="C242" s="1"/>
      <c r="D242" s="1"/>
      <c r="E242" s="1"/>
      <c r="F242" s="1"/>
      <c r="G242" s="1"/>
      <c r="H242" s="32"/>
      <c r="I242" s="1"/>
      <c r="J242" s="1"/>
      <c r="K242" s="1"/>
      <c r="L242" s="1"/>
      <c r="M242" s="1"/>
      <c r="N242" s="1"/>
      <c r="O242" s="1"/>
      <c r="P242" s="1"/>
      <c r="Q242" s="1"/>
      <c r="R242" s="1"/>
      <c r="S242" s="1"/>
      <c r="T242" s="1"/>
      <c r="U242" s="1"/>
      <c r="V242" s="1"/>
      <c r="W242" s="1"/>
      <c r="X242" s="1"/>
      <c r="Y242" s="1"/>
      <c r="Z242" s="1"/>
    </row>
    <row r="243">
      <c r="A243" s="1"/>
      <c r="B243" s="32"/>
      <c r="C243" s="1"/>
      <c r="D243" s="1"/>
      <c r="E243" s="1"/>
      <c r="F243" s="1"/>
      <c r="G243" s="1"/>
      <c r="H243" s="32"/>
      <c r="I243" s="1"/>
      <c r="J243" s="1"/>
      <c r="K243" s="1"/>
      <c r="L243" s="1"/>
      <c r="M243" s="1"/>
      <c r="N243" s="1"/>
      <c r="O243" s="1"/>
      <c r="P243" s="1"/>
      <c r="Q243" s="1"/>
      <c r="R243" s="1"/>
      <c r="S243" s="1"/>
      <c r="T243" s="1"/>
      <c r="U243" s="1"/>
      <c r="V243" s="1"/>
      <c r="W243" s="1"/>
      <c r="X243" s="1"/>
      <c r="Y243" s="1"/>
      <c r="Z243" s="1"/>
    </row>
    <row r="244">
      <c r="A244" s="1"/>
      <c r="B244" s="32"/>
      <c r="C244" s="1"/>
      <c r="D244" s="1"/>
      <c r="E244" s="1"/>
      <c r="F244" s="1"/>
      <c r="G244" s="1"/>
      <c r="H244" s="32"/>
      <c r="I244" s="1"/>
      <c r="J244" s="1"/>
      <c r="K244" s="1"/>
      <c r="L244" s="1"/>
      <c r="M244" s="1"/>
      <c r="N244" s="1"/>
      <c r="O244" s="1"/>
      <c r="P244" s="1"/>
      <c r="Q244" s="1"/>
      <c r="R244" s="1"/>
      <c r="S244" s="1"/>
      <c r="T244" s="1"/>
      <c r="U244" s="1"/>
      <c r="V244" s="1"/>
      <c r="W244" s="1"/>
      <c r="X244" s="1"/>
      <c r="Y244" s="1"/>
      <c r="Z244" s="1"/>
    </row>
    <row r="245">
      <c r="A245" s="1"/>
      <c r="B245" s="32"/>
      <c r="C245" s="1"/>
      <c r="D245" s="1"/>
      <c r="E245" s="1"/>
      <c r="F245" s="1"/>
      <c r="G245" s="1"/>
      <c r="H245" s="32"/>
      <c r="I245" s="1"/>
      <c r="J245" s="1"/>
      <c r="K245" s="1"/>
      <c r="L245" s="1"/>
      <c r="M245" s="1"/>
      <c r="N245" s="1"/>
      <c r="O245" s="1"/>
      <c r="P245" s="1"/>
      <c r="Q245" s="1"/>
      <c r="R245" s="1"/>
      <c r="S245" s="1"/>
      <c r="T245" s="1"/>
      <c r="U245" s="1"/>
      <c r="V245" s="1"/>
      <c r="W245" s="1"/>
      <c r="X245" s="1"/>
      <c r="Y245" s="1"/>
      <c r="Z245" s="1"/>
    </row>
    <row r="246">
      <c r="A246" s="1"/>
      <c r="B246" s="32"/>
      <c r="C246" s="1"/>
      <c r="D246" s="1"/>
      <c r="E246" s="1"/>
      <c r="F246" s="1"/>
      <c r="G246" s="1"/>
      <c r="H246" s="32"/>
      <c r="I246" s="1"/>
      <c r="J246" s="1"/>
      <c r="K246" s="1"/>
      <c r="L246" s="1"/>
      <c r="M246" s="1"/>
      <c r="N246" s="1"/>
      <c r="O246" s="1"/>
      <c r="P246" s="1"/>
      <c r="Q246" s="1"/>
      <c r="R246" s="1"/>
      <c r="S246" s="1"/>
      <c r="T246" s="1"/>
      <c r="U246" s="1"/>
      <c r="V246" s="1"/>
      <c r="W246" s="1"/>
      <c r="X246" s="1"/>
      <c r="Y246" s="1"/>
      <c r="Z246" s="1"/>
    </row>
    <row r="247">
      <c r="A247" s="1"/>
      <c r="B247" s="32"/>
      <c r="C247" s="1"/>
      <c r="D247" s="1"/>
      <c r="E247" s="1"/>
      <c r="F247" s="1"/>
      <c r="G247" s="1"/>
      <c r="H247" s="32"/>
      <c r="I247" s="1"/>
      <c r="J247" s="1"/>
      <c r="K247" s="1"/>
      <c r="L247" s="1"/>
      <c r="M247" s="1"/>
      <c r="N247" s="1"/>
      <c r="O247" s="1"/>
      <c r="P247" s="1"/>
      <c r="Q247" s="1"/>
      <c r="R247" s="1"/>
      <c r="S247" s="1"/>
      <c r="T247" s="1"/>
      <c r="U247" s="1"/>
      <c r="V247" s="1"/>
      <c r="W247" s="1"/>
      <c r="X247" s="1"/>
      <c r="Y247" s="1"/>
      <c r="Z247" s="1"/>
    </row>
    <row r="248">
      <c r="A248" s="1"/>
      <c r="B248" s="32"/>
      <c r="C248" s="1"/>
      <c r="D248" s="1"/>
      <c r="E248" s="1"/>
      <c r="F248" s="1"/>
      <c r="G248" s="1"/>
      <c r="H248" s="32"/>
      <c r="I248" s="1"/>
      <c r="J248" s="1"/>
      <c r="K248" s="1"/>
      <c r="L248" s="1"/>
      <c r="M248" s="1"/>
      <c r="N248" s="1"/>
      <c r="O248" s="1"/>
      <c r="P248" s="1"/>
      <c r="Q248" s="1"/>
      <c r="R248" s="1"/>
      <c r="S248" s="1"/>
      <c r="T248" s="1"/>
      <c r="U248" s="1"/>
      <c r="V248" s="1"/>
      <c r="W248" s="1"/>
      <c r="X248" s="1"/>
      <c r="Y248" s="1"/>
      <c r="Z248" s="1"/>
    </row>
    <row r="249">
      <c r="A249" s="1"/>
      <c r="B249" s="32"/>
      <c r="C249" s="1"/>
      <c r="D249" s="1"/>
      <c r="E249" s="1"/>
      <c r="F249" s="1"/>
      <c r="G249" s="1"/>
      <c r="H249" s="32"/>
      <c r="I249" s="1"/>
      <c r="J249" s="1"/>
      <c r="K249" s="1"/>
      <c r="L249" s="1"/>
      <c r="M249" s="1"/>
      <c r="N249" s="1"/>
      <c r="O249" s="1"/>
      <c r="P249" s="1"/>
      <c r="Q249" s="1"/>
      <c r="R249" s="1"/>
      <c r="S249" s="1"/>
      <c r="T249" s="1"/>
      <c r="U249" s="1"/>
      <c r="V249" s="1"/>
      <c r="W249" s="1"/>
      <c r="X249" s="1"/>
      <c r="Y249" s="1"/>
      <c r="Z249" s="1"/>
    </row>
    <row r="250">
      <c r="A250" s="1"/>
      <c r="B250" s="32"/>
      <c r="C250" s="1"/>
      <c r="D250" s="1"/>
      <c r="E250" s="1"/>
      <c r="F250" s="1"/>
      <c r="G250" s="1"/>
      <c r="H250" s="32"/>
      <c r="I250" s="1"/>
      <c r="J250" s="1"/>
      <c r="K250" s="1"/>
      <c r="L250" s="1"/>
      <c r="M250" s="1"/>
      <c r="N250" s="1"/>
      <c r="O250" s="1"/>
      <c r="P250" s="1"/>
      <c r="Q250" s="1"/>
      <c r="R250" s="1"/>
      <c r="S250" s="1"/>
      <c r="T250" s="1"/>
      <c r="U250" s="1"/>
      <c r="V250" s="1"/>
      <c r="W250" s="1"/>
      <c r="X250" s="1"/>
      <c r="Y250" s="1"/>
      <c r="Z250" s="1"/>
    </row>
    <row r="251">
      <c r="A251" s="1"/>
      <c r="B251" s="32"/>
      <c r="C251" s="1"/>
      <c r="D251" s="1"/>
      <c r="E251" s="1"/>
      <c r="F251" s="1"/>
      <c r="G251" s="1"/>
      <c r="H251" s="32"/>
      <c r="I251" s="1"/>
      <c r="J251" s="1"/>
      <c r="K251" s="1"/>
      <c r="L251" s="1"/>
      <c r="M251" s="1"/>
      <c r="N251" s="1"/>
      <c r="O251" s="1"/>
      <c r="P251" s="1"/>
      <c r="Q251" s="1"/>
      <c r="R251" s="1"/>
      <c r="S251" s="1"/>
      <c r="T251" s="1"/>
      <c r="U251" s="1"/>
      <c r="V251" s="1"/>
      <c r="W251" s="1"/>
      <c r="X251" s="1"/>
      <c r="Y251" s="1"/>
      <c r="Z251" s="1"/>
    </row>
    <row r="252">
      <c r="A252" s="1"/>
      <c r="B252" s="32"/>
      <c r="C252" s="1"/>
      <c r="D252" s="1"/>
      <c r="E252" s="1"/>
      <c r="F252" s="1"/>
      <c r="G252" s="1"/>
      <c r="H252" s="32"/>
      <c r="I252" s="1"/>
      <c r="J252" s="1"/>
      <c r="K252" s="1"/>
      <c r="L252" s="1"/>
      <c r="M252" s="1"/>
      <c r="N252" s="1"/>
      <c r="O252" s="1"/>
      <c r="P252" s="1"/>
      <c r="Q252" s="1"/>
      <c r="R252" s="1"/>
      <c r="S252" s="1"/>
      <c r="T252" s="1"/>
      <c r="U252" s="1"/>
      <c r="V252" s="1"/>
      <c r="W252" s="1"/>
      <c r="X252" s="1"/>
      <c r="Y252" s="1"/>
      <c r="Z252" s="1"/>
    </row>
    <row r="253">
      <c r="A253" s="1"/>
      <c r="B253" s="32"/>
      <c r="C253" s="1"/>
      <c r="D253" s="1"/>
      <c r="E253" s="1"/>
      <c r="F253" s="1"/>
      <c r="G253" s="1"/>
      <c r="H253" s="32"/>
      <c r="I253" s="1"/>
      <c r="J253" s="1"/>
      <c r="K253" s="1"/>
      <c r="L253" s="1"/>
      <c r="M253" s="1"/>
      <c r="N253" s="1"/>
      <c r="O253" s="1"/>
      <c r="P253" s="1"/>
      <c r="Q253" s="1"/>
      <c r="R253" s="1"/>
      <c r="S253" s="1"/>
      <c r="T253" s="1"/>
      <c r="U253" s="1"/>
      <c r="V253" s="1"/>
      <c r="W253" s="1"/>
      <c r="X253" s="1"/>
      <c r="Y253" s="1"/>
      <c r="Z253" s="1"/>
    </row>
    <row r="254">
      <c r="A254" s="1"/>
      <c r="B254" s="32"/>
      <c r="C254" s="1"/>
      <c r="D254" s="1"/>
      <c r="E254" s="1"/>
      <c r="F254" s="1"/>
      <c r="G254" s="1"/>
      <c r="H254" s="32"/>
      <c r="I254" s="1"/>
      <c r="J254" s="1"/>
      <c r="K254" s="1"/>
      <c r="L254" s="1"/>
      <c r="M254" s="1"/>
      <c r="N254" s="1"/>
      <c r="O254" s="1"/>
      <c r="P254" s="1"/>
      <c r="Q254" s="1"/>
      <c r="R254" s="1"/>
      <c r="S254" s="1"/>
      <c r="T254" s="1"/>
      <c r="U254" s="1"/>
      <c r="V254" s="1"/>
      <c r="W254" s="1"/>
      <c r="X254" s="1"/>
      <c r="Y254" s="1"/>
      <c r="Z254" s="1"/>
    </row>
    <row r="255">
      <c r="A255" s="1"/>
      <c r="B255" s="32"/>
      <c r="C255" s="1"/>
      <c r="D255" s="1"/>
      <c r="E255" s="1"/>
      <c r="F255" s="1"/>
      <c r="G255" s="1"/>
      <c r="H255" s="32"/>
      <c r="I255" s="1"/>
      <c r="J255" s="1"/>
      <c r="K255" s="1"/>
      <c r="L255" s="1"/>
      <c r="M255" s="1"/>
      <c r="N255" s="1"/>
      <c r="O255" s="1"/>
      <c r="P255" s="1"/>
      <c r="Q255" s="1"/>
      <c r="R255" s="1"/>
      <c r="S255" s="1"/>
      <c r="T255" s="1"/>
      <c r="U255" s="1"/>
      <c r="V255" s="1"/>
      <c r="W255" s="1"/>
      <c r="X255" s="1"/>
      <c r="Y255" s="1"/>
      <c r="Z255" s="1"/>
    </row>
    <row r="256">
      <c r="A256" s="1"/>
      <c r="B256" s="32"/>
      <c r="C256" s="1"/>
      <c r="D256" s="1"/>
      <c r="E256" s="1"/>
      <c r="F256" s="1"/>
      <c r="G256" s="1"/>
      <c r="H256" s="32"/>
      <c r="I256" s="1"/>
      <c r="J256" s="1"/>
      <c r="K256" s="1"/>
      <c r="L256" s="1"/>
      <c r="M256" s="1"/>
      <c r="N256" s="1"/>
      <c r="O256" s="1"/>
      <c r="P256" s="1"/>
      <c r="Q256" s="1"/>
      <c r="R256" s="1"/>
      <c r="S256" s="1"/>
      <c r="T256" s="1"/>
      <c r="U256" s="1"/>
      <c r="V256" s="1"/>
      <c r="W256" s="1"/>
      <c r="X256" s="1"/>
      <c r="Y256" s="1"/>
      <c r="Z256" s="1"/>
    </row>
    <row r="257">
      <c r="A257" s="1"/>
      <c r="B257" s="32"/>
      <c r="C257" s="1"/>
      <c r="D257" s="1"/>
      <c r="E257" s="1"/>
      <c r="F257" s="1"/>
      <c r="G257" s="1"/>
      <c r="H257" s="32"/>
      <c r="I257" s="1"/>
      <c r="J257" s="1"/>
      <c r="K257" s="1"/>
      <c r="L257" s="1"/>
      <c r="M257" s="1"/>
      <c r="N257" s="1"/>
      <c r="O257" s="1"/>
      <c r="P257" s="1"/>
      <c r="Q257" s="1"/>
      <c r="R257" s="1"/>
      <c r="S257" s="1"/>
      <c r="T257" s="1"/>
      <c r="U257" s="1"/>
      <c r="V257" s="1"/>
      <c r="W257" s="1"/>
      <c r="X257" s="1"/>
      <c r="Y257" s="1"/>
      <c r="Z257" s="1"/>
    </row>
    <row r="258">
      <c r="A258" s="1"/>
      <c r="B258" s="32"/>
      <c r="C258" s="1"/>
      <c r="D258" s="1"/>
      <c r="E258" s="1"/>
      <c r="F258" s="1"/>
      <c r="G258" s="1"/>
      <c r="H258" s="32"/>
      <c r="I258" s="1"/>
      <c r="J258" s="1"/>
      <c r="K258" s="1"/>
      <c r="L258" s="1"/>
      <c r="M258" s="1"/>
      <c r="N258" s="1"/>
      <c r="O258" s="1"/>
      <c r="P258" s="1"/>
      <c r="Q258" s="1"/>
      <c r="R258" s="1"/>
      <c r="S258" s="1"/>
      <c r="T258" s="1"/>
      <c r="U258" s="1"/>
      <c r="V258" s="1"/>
      <c r="W258" s="1"/>
      <c r="X258" s="1"/>
      <c r="Y258" s="1"/>
      <c r="Z258" s="1"/>
    </row>
    <row r="259">
      <c r="A259" s="1"/>
      <c r="B259" s="32"/>
      <c r="C259" s="1"/>
      <c r="D259" s="1"/>
      <c r="E259" s="1"/>
      <c r="F259" s="1"/>
      <c r="G259" s="1"/>
      <c r="H259" s="32"/>
      <c r="I259" s="1"/>
      <c r="J259" s="1"/>
      <c r="K259" s="1"/>
      <c r="L259" s="1"/>
      <c r="M259" s="1"/>
      <c r="N259" s="1"/>
      <c r="O259" s="1"/>
      <c r="P259" s="1"/>
      <c r="Q259" s="1"/>
      <c r="R259" s="1"/>
      <c r="S259" s="1"/>
      <c r="T259" s="1"/>
      <c r="U259" s="1"/>
      <c r="V259" s="1"/>
      <c r="W259" s="1"/>
      <c r="X259" s="1"/>
      <c r="Y259" s="1"/>
      <c r="Z259" s="1"/>
    </row>
    <row r="260">
      <c r="A260" s="1"/>
      <c r="B260" s="32"/>
      <c r="C260" s="1"/>
      <c r="D260" s="1"/>
      <c r="E260" s="1"/>
      <c r="F260" s="1"/>
      <c r="G260" s="1"/>
      <c r="H260" s="32"/>
      <c r="I260" s="1"/>
      <c r="J260" s="1"/>
      <c r="K260" s="1"/>
      <c r="L260" s="1"/>
      <c r="M260" s="1"/>
      <c r="N260" s="1"/>
      <c r="O260" s="1"/>
      <c r="P260" s="1"/>
      <c r="Q260" s="1"/>
      <c r="R260" s="1"/>
      <c r="S260" s="1"/>
      <c r="T260" s="1"/>
      <c r="U260" s="1"/>
      <c r="V260" s="1"/>
      <c r="W260" s="1"/>
      <c r="X260" s="1"/>
      <c r="Y260" s="1"/>
      <c r="Z260" s="1"/>
    </row>
    <row r="261">
      <c r="A261" s="1"/>
      <c r="B261" s="32"/>
      <c r="C261" s="1"/>
      <c r="D261" s="1"/>
      <c r="E261" s="1"/>
      <c r="F261" s="1"/>
      <c r="G261" s="1"/>
      <c r="H261" s="32"/>
      <c r="I261" s="1"/>
      <c r="J261" s="1"/>
      <c r="K261" s="1"/>
      <c r="L261" s="1"/>
      <c r="M261" s="1"/>
      <c r="N261" s="1"/>
      <c r="O261" s="1"/>
      <c r="P261" s="1"/>
      <c r="Q261" s="1"/>
      <c r="R261" s="1"/>
      <c r="S261" s="1"/>
      <c r="T261" s="1"/>
      <c r="U261" s="1"/>
      <c r="V261" s="1"/>
      <c r="W261" s="1"/>
      <c r="X261" s="1"/>
      <c r="Y261" s="1"/>
      <c r="Z261" s="1"/>
    </row>
    <row r="262">
      <c r="A262" s="1"/>
      <c r="B262" s="32"/>
      <c r="C262" s="1"/>
      <c r="D262" s="1"/>
      <c r="E262" s="1"/>
      <c r="F262" s="1"/>
      <c r="G262" s="1"/>
      <c r="H262" s="32"/>
      <c r="I262" s="1"/>
      <c r="J262" s="1"/>
      <c r="K262" s="1"/>
      <c r="L262" s="1"/>
      <c r="M262" s="1"/>
      <c r="N262" s="1"/>
      <c r="O262" s="1"/>
      <c r="P262" s="1"/>
      <c r="Q262" s="1"/>
      <c r="R262" s="1"/>
      <c r="S262" s="1"/>
      <c r="T262" s="1"/>
      <c r="U262" s="1"/>
      <c r="V262" s="1"/>
      <c r="W262" s="1"/>
      <c r="X262" s="1"/>
      <c r="Y262" s="1"/>
      <c r="Z262" s="1"/>
    </row>
    <row r="263">
      <c r="A263" s="1"/>
      <c r="B263" s="32"/>
      <c r="C263" s="1"/>
      <c r="D263" s="1"/>
      <c r="E263" s="1"/>
      <c r="F263" s="1"/>
      <c r="G263" s="1"/>
      <c r="H263" s="32"/>
      <c r="I263" s="1"/>
      <c r="J263" s="1"/>
      <c r="K263" s="1"/>
      <c r="L263" s="1"/>
      <c r="M263" s="1"/>
      <c r="N263" s="1"/>
      <c r="O263" s="1"/>
      <c r="P263" s="1"/>
      <c r="Q263" s="1"/>
      <c r="R263" s="1"/>
      <c r="S263" s="1"/>
      <c r="T263" s="1"/>
      <c r="U263" s="1"/>
      <c r="V263" s="1"/>
      <c r="W263" s="1"/>
      <c r="X263" s="1"/>
      <c r="Y263" s="1"/>
      <c r="Z263" s="1"/>
    </row>
    <row r="264">
      <c r="A264" s="1"/>
      <c r="B264" s="32"/>
      <c r="C264" s="1"/>
      <c r="D264" s="1"/>
      <c r="E264" s="1"/>
      <c r="F264" s="1"/>
      <c r="G264" s="1"/>
      <c r="H264" s="32"/>
      <c r="I264" s="1"/>
      <c r="J264" s="1"/>
      <c r="K264" s="1"/>
      <c r="L264" s="1"/>
      <c r="M264" s="1"/>
      <c r="N264" s="1"/>
      <c r="O264" s="1"/>
      <c r="P264" s="1"/>
      <c r="Q264" s="1"/>
      <c r="R264" s="1"/>
      <c r="S264" s="1"/>
      <c r="T264" s="1"/>
      <c r="U264" s="1"/>
      <c r="V264" s="1"/>
      <c r="W264" s="1"/>
      <c r="X264" s="1"/>
      <c r="Y264" s="1"/>
      <c r="Z264" s="1"/>
    </row>
    <row r="265">
      <c r="A265" s="1"/>
      <c r="B265" s="32"/>
      <c r="C265" s="1"/>
      <c r="D265" s="1"/>
      <c r="E265" s="1"/>
      <c r="F265" s="1"/>
      <c r="G265" s="1"/>
      <c r="H265" s="32"/>
      <c r="I265" s="1"/>
      <c r="J265" s="1"/>
      <c r="K265" s="1"/>
      <c r="L265" s="1"/>
      <c r="M265" s="1"/>
      <c r="N265" s="1"/>
      <c r="O265" s="1"/>
      <c r="P265" s="1"/>
      <c r="Q265" s="1"/>
      <c r="R265" s="1"/>
      <c r="S265" s="1"/>
      <c r="T265" s="1"/>
      <c r="U265" s="1"/>
      <c r="V265" s="1"/>
      <c r="W265" s="1"/>
      <c r="X265" s="1"/>
      <c r="Y265" s="1"/>
      <c r="Z265" s="1"/>
    </row>
    <row r="266">
      <c r="A266" s="1"/>
      <c r="B266" s="32"/>
      <c r="C266" s="1"/>
      <c r="D266" s="1"/>
      <c r="E266" s="1"/>
      <c r="F266" s="1"/>
      <c r="G266" s="1"/>
      <c r="H266" s="32"/>
      <c r="I266" s="1"/>
      <c r="J266" s="1"/>
      <c r="K266" s="1"/>
      <c r="L266" s="1"/>
      <c r="M266" s="1"/>
      <c r="N266" s="1"/>
      <c r="O266" s="1"/>
      <c r="P266" s="1"/>
      <c r="Q266" s="1"/>
      <c r="R266" s="1"/>
      <c r="S266" s="1"/>
      <c r="T266" s="1"/>
      <c r="U266" s="1"/>
      <c r="V266" s="1"/>
      <c r="W266" s="1"/>
      <c r="X266" s="1"/>
      <c r="Y266" s="1"/>
      <c r="Z266" s="1"/>
    </row>
    <row r="267">
      <c r="A267" s="1"/>
      <c r="B267" s="32"/>
      <c r="C267" s="1"/>
      <c r="D267" s="1"/>
      <c r="E267" s="1"/>
      <c r="F267" s="1"/>
      <c r="G267" s="1"/>
      <c r="H267" s="32"/>
      <c r="I267" s="1"/>
      <c r="J267" s="1"/>
      <c r="K267" s="1"/>
      <c r="L267" s="1"/>
      <c r="M267" s="1"/>
      <c r="N267" s="1"/>
      <c r="O267" s="1"/>
      <c r="P267" s="1"/>
      <c r="Q267" s="1"/>
      <c r="R267" s="1"/>
      <c r="S267" s="1"/>
      <c r="T267" s="1"/>
      <c r="U267" s="1"/>
      <c r="V267" s="1"/>
      <c r="W267" s="1"/>
      <c r="X267" s="1"/>
      <c r="Y267" s="1"/>
      <c r="Z267" s="1"/>
    </row>
    <row r="268">
      <c r="A268" s="1"/>
      <c r="B268" s="32"/>
      <c r="C268" s="1"/>
      <c r="D268" s="1"/>
      <c r="E268" s="1"/>
      <c r="F268" s="1"/>
      <c r="G268" s="1"/>
      <c r="H268" s="32"/>
      <c r="I268" s="1"/>
      <c r="J268" s="1"/>
      <c r="K268" s="1"/>
      <c r="L268" s="1"/>
      <c r="M268" s="1"/>
      <c r="N268" s="1"/>
      <c r="O268" s="1"/>
      <c r="P268" s="1"/>
      <c r="Q268" s="1"/>
      <c r="R268" s="1"/>
      <c r="S268" s="1"/>
      <c r="T268" s="1"/>
      <c r="U268" s="1"/>
      <c r="V268" s="1"/>
      <c r="W268" s="1"/>
      <c r="X268" s="1"/>
      <c r="Y268" s="1"/>
      <c r="Z268" s="1"/>
    </row>
    <row r="269">
      <c r="A269" s="1"/>
      <c r="B269" s="32"/>
      <c r="C269" s="1"/>
      <c r="D269" s="1"/>
      <c r="E269" s="1"/>
      <c r="F269" s="1"/>
      <c r="G269" s="1"/>
      <c r="H269" s="32"/>
      <c r="I269" s="1"/>
      <c r="J269" s="1"/>
      <c r="K269" s="1"/>
      <c r="L269" s="1"/>
      <c r="M269" s="1"/>
      <c r="N269" s="1"/>
      <c r="O269" s="1"/>
      <c r="P269" s="1"/>
      <c r="Q269" s="1"/>
      <c r="R269" s="1"/>
      <c r="S269" s="1"/>
      <c r="T269" s="1"/>
      <c r="U269" s="1"/>
      <c r="V269" s="1"/>
      <c r="W269" s="1"/>
      <c r="X269" s="1"/>
      <c r="Y269" s="1"/>
      <c r="Z269" s="1"/>
    </row>
    <row r="270">
      <c r="A270" s="1"/>
      <c r="B270" s="32"/>
      <c r="C270" s="1"/>
      <c r="D270" s="1"/>
      <c r="E270" s="1"/>
      <c r="F270" s="1"/>
      <c r="G270" s="1"/>
      <c r="H270" s="32"/>
      <c r="I270" s="1"/>
      <c r="J270" s="1"/>
      <c r="K270" s="1"/>
      <c r="L270" s="1"/>
      <c r="M270" s="1"/>
      <c r="N270" s="1"/>
      <c r="O270" s="1"/>
      <c r="P270" s="1"/>
      <c r="Q270" s="1"/>
      <c r="R270" s="1"/>
      <c r="S270" s="1"/>
      <c r="T270" s="1"/>
      <c r="U270" s="1"/>
      <c r="V270" s="1"/>
      <c r="W270" s="1"/>
      <c r="X270" s="1"/>
      <c r="Y270" s="1"/>
      <c r="Z270" s="1"/>
    </row>
    <row r="271">
      <c r="A271" s="1"/>
      <c r="B271" s="32"/>
      <c r="C271" s="1"/>
      <c r="D271" s="1"/>
      <c r="E271" s="1"/>
      <c r="F271" s="1"/>
      <c r="G271" s="1"/>
      <c r="H271" s="32"/>
      <c r="I271" s="1"/>
      <c r="J271" s="1"/>
      <c r="K271" s="1"/>
      <c r="L271" s="1"/>
      <c r="M271" s="1"/>
      <c r="N271" s="1"/>
      <c r="O271" s="1"/>
      <c r="P271" s="1"/>
      <c r="Q271" s="1"/>
      <c r="R271" s="1"/>
      <c r="S271" s="1"/>
      <c r="T271" s="1"/>
      <c r="U271" s="1"/>
      <c r="V271" s="1"/>
      <c r="W271" s="1"/>
      <c r="X271" s="1"/>
      <c r="Y271" s="1"/>
      <c r="Z271" s="1"/>
    </row>
    <row r="272">
      <c r="A272" s="1"/>
      <c r="B272" s="32"/>
      <c r="C272" s="1"/>
      <c r="D272" s="1"/>
      <c r="E272" s="1"/>
      <c r="F272" s="1"/>
      <c r="G272" s="1"/>
      <c r="H272" s="32"/>
      <c r="I272" s="1"/>
      <c r="J272" s="1"/>
      <c r="K272" s="1"/>
      <c r="L272" s="1"/>
      <c r="M272" s="1"/>
      <c r="N272" s="1"/>
      <c r="O272" s="1"/>
      <c r="P272" s="1"/>
      <c r="Q272" s="1"/>
      <c r="R272" s="1"/>
      <c r="S272" s="1"/>
      <c r="T272" s="1"/>
      <c r="U272" s="1"/>
      <c r="V272" s="1"/>
      <c r="W272" s="1"/>
      <c r="X272" s="1"/>
      <c r="Y272" s="1"/>
      <c r="Z272" s="1"/>
    </row>
    <row r="273">
      <c r="A273" s="1"/>
      <c r="B273" s="32"/>
      <c r="C273" s="1"/>
      <c r="D273" s="1"/>
      <c r="E273" s="1"/>
      <c r="F273" s="1"/>
      <c r="G273" s="1"/>
      <c r="H273" s="32"/>
      <c r="I273" s="1"/>
      <c r="J273" s="1"/>
      <c r="K273" s="1"/>
      <c r="L273" s="1"/>
      <c r="M273" s="1"/>
      <c r="N273" s="1"/>
      <c r="O273" s="1"/>
      <c r="P273" s="1"/>
      <c r="Q273" s="1"/>
      <c r="R273" s="1"/>
      <c r="S273" s="1"/>
      <c r="T273" s="1"/>
      <c r="U273" s="1"/>
      <c r="V273" s="1"/>
      <c r="W273" s="1"/>
      <c r="X273" s="1"/>
      <c r="Y273" s="1"/>
      <c r="Z273" s="1"/>
    </row>
    <row r="274">
      <c r="A274" s="1"/>
      <c r="B274" s="32"/>
      <c r="C274" s="1"/>
      <c r="D274" s="1"/>
      <c r="E274" s="1"/>
      <c r="F274" s="1"/>
      <c r="G274" s="1"/>
      <c r="H274" s="32"/>
      <c r="I274" s="1"/>
      <c r="J274" s="1"/>
      <c r="K274" s="1"/>
      <c r="L274" s="1"/>
      <c r="M274" s="1"/>
      <c r="N274" s="1"/>
      <c r="O274" s="1"/>
      <c r="P274" s="1"/>
      <c r="Q274" s="1"/>
      <c r="R274" s="1"/>
      <c r="S274" s="1"/>
      <c r="T274" s="1"/>
      <c r="U274" s="1"/>
      <c r="V274" s="1"/>
      <c r="W274" s="1"/>
      <c r="X274" s="1"/>
      <c r="Y274" s="1"/>
      <c r="Z274" s="1"/>
    </row>
    <row r="275">
      <c r="A275" s="1"/>
      <c r="B275" s="32"/>
      <c r="C275" s="1"/>
      <c r="D275" s="1"/>
      <c r="E275" s="1"/>
      <c r="F275" s="1"/>
      <c r="G275" s="1"/>
      <c r="H275" s="32"/>
      <c r="I275" s="1"/>
      <c r="J275" s="1"/>
      <c r="K275" s="1"/>
      <c r="L275" s="1"/>
      <c r="M275" s="1"/>
      <c r="N275" s="1"/>
      <c r="O275" s="1"/>
      <c r="P275" s="1"/>
      <c r="Q275" s="1"/>
      <c r="R275" s="1"/>
      <c r="S275" s="1"/>
      <c r="T275" s="1"/>
      <c r="U275" s="1"/>
      <c r="V275" s="1"/>
      <c r="W275" s="1"/>
      <c r="X275" s="1"/>
      <c r="Y275" s="1"/>
      <c r="Z275" s="1"/>
    </row>
    <row r="276">
      <c r="A276" s="1"/>
      <c r="B276" s="32"/>
      <c r="C276" s="1"/>
      <c r="D276" s="1"/>
      <c r="E276" s="1"/>
      <c r="F276" s="1"/>
      <c r="G276" s="1"/>
      <c r="H276" s="32"/>
      <c r="I276" s="1"/>
      <c r="J276" s="1"/>
      <c r="K276" s="1"/>
      <c r="L276" s="1"/>
      <c r="M276" s="1"/>
      <c r="N276" s="1"/>
      <c r="O276" s="1"/>
      <c r="P276" s="1"/>
      <c r="Q276" s="1"/>
      <c r="R276" s="1"/>
      <c r="S276" s="1"/>
      <c r="T276" s="1"/>
      <c r="U276" s="1"/>
      <c r="V276" s="1"/>
      <c r="W276" s="1"/>
      <c r="X276" s="1"/>
      <c r="Y276" s="1"/>
      <c r="Z276" s="1"/>
    </row>
    <row r="277">
      <c r="A277" s="1"/>
      <c r="B277" s="32"/>
      <c r="C277" s="1"/>
      <c r="D277" s="1"/>
      <c r="E277" s="1"/>
      <c r="F277" s="1"/>
      <c r="G277" s="1"/>
      <c r="H277" s="32"/>
      <c r="I277" s="1"/>
      <c r="J277" s="1"/>
      <c r="K277" s="1"/>
      <c r="L277" s="1"/>
      <c r="M277" s="1"/>
      <c r="N277" s="1"/>
      <c r="O277" s="1"/>
      <c r="P277" s="1"/>
      <c r="Q277" s="1"/>
      <c r="R277" s="1"/>
      <c r="S277" s="1"/>
      <c r="T277" s="1"/>
      <c r="U277" s="1"/>
      <c r="V277" s="1"/>
      <c r="W277" s="1"/>
      <c r="X277" s="1"/>
      <c r="Y277" s="1"/>
      <c r="Z277" s="1"/>
    </row>
    <row r="278">
      <c r="A278" s="1"/>
      <c r="B278" s="32"/>
      <c r="C278" s="1"/>
      <c r="D278" s="1"/>
      <c r="E278" s="1"/>
      <c r="F278" s="1"/>
      <c r="G278" s="1"/>
      <c r="H278" s="32"/>
      <c r="I278" s="1"/>
      <c r="J278" s="1"/>
      <c r="K278" s="1"/>
      <c r="L278" s="1"/>
      <c r="M278" s="1"/>
      <c r="N278" s="1"/>
      <c r="O278" s="1"/>
      <c r="P278" s="1"/>
      <c r="Q278" s="1"/>
      <c r="R278" s="1"/>
      <c r="S278" s="1"/>
      <c r="T278" s="1"/>
      <c r="U278" s="1"/>
      <c r="V278" s="1"/>
      <c r="W278" s="1"/>
      <c r="X278" s="1"/>
      <c r="Y278" s="1"/>
      <c r="Z278" s="1"/>
    </row>
    <row r="279">
      <c r="A279" s="1"/>
      <c r="B279" s="32"/>
      <c r="C279" s="1"/>
      <c r="D279" s="1"/>
      <c r="E279" s="1"/>
      <c r="F279" s="1"/>
      <c r="G279" s="1"/>
      <c r="H279" s="32"/>
      <c r="I279" s="1"/>
      <c r="J279" s="1"/>
      <c r="K279" s="1"/>
      <c r="L279" s="1"/>
      <c r="M279" s="1"/>
      <c r="N279" s="1"/>
      <c r="O279" s="1"/>
      <c r="P279" s="1"/>
      <c r="Q279" s="1"/>
      <c r="R279" s="1"/>
      <c r="S279" s="1"/>
      <c r="T279" s="1"/>
      <c r="U279" s="1"/>
      <c r="V279" s="1"/>
      <c r="W279" s="1"/>
      <c r="X279" s="1"/>
      <c r="Y279" s="1"/>
      <c r="Z279" s="1"/>
    </row>
    <row r="280">
      <c r="A280" s="1"/>
      <c r="B280" s="32"/>
      <c r="C280" s="1"/>
      <c r="D280" s="1"/>
      <c r="E280" s="1"/>
      <c r="F280" s="1"/>
      <c r="G280" s="1"/>
      <c r="H280" s="32"/>
      <c r="I280" s="1"/>
      <c r="J280" s="1"/>
      <c r="K280" s="1"/>
      <c r="L280" s="1"/>
      <c r="M280" s="1"/>
      <c r="N280" s="1"/>
      <c r="O280" s="1"/>
      <c r="P280" s="1"/>
      <c r="Q280" s="1"/>
      <c r="R280" s="1"/>
      <c r="S280" s="1"/>
      <c r="T280" s="1"/>
      <c r="U280" s="1"/>
      <c r="V280" s="1"/>
      <c r="W280" s="1"/>
      <c r="X280" s="1"/>
      <c r="Y280" s="1"/>
      <c r="Z280" s="1"/>
    </row>
    <row r="281">
      <c r="A281" s="1"/>
      <c r="B281" s="32"/>
      <c r="C281" s="1"/>
      <c r="D281" s="1"/>
      <c r="E281" s="1"/>
      <c r="F281" s="1"/>
      <c r="G281" s="1"/>
      <c r="H281" s="32"/>
      <c r="I281" s="1"/>
      <c r="J281" s="1"/>
      <c r="K281" s="1"/>
      <c r="L281" s="1"/>
      <c r="M281" s="1"/>
      <c r="N281" s="1"/>
      <c r="O281" s="1"/>
      <c r="P281" s="1"/>
      <c r="Q281" s="1"/>
      <c r="R281" s="1"/>
      <c r="S281" s="1"/>
      <c r="T281" s="1"/>
      <c r="U281" s="1"/>
      <c r="V281" s="1"/>
      <c r="W281" s="1"/>
      <c r="X281" s="1"/>
      <c r="Y281" s="1"/>
      <c r="Z281" s="1"/>
    </row>
    <row r="282">
      <c r="A282" s="1"/>
      <c r="B282" s="32"/>
      <c r="C282" s="1"/>
      <c r="D282" s="1"/>
      <c r="E282" s="1"/>
      <c r="F282" s="1"/>
      <c r="G282" s="1"/>
      <c r="H282" s="32"/>
      <c r="I282" s="1"/>
      <c r="J282" s="1"/>
      <c r="K282" s="1"/>
      <c r="L282" s="1"/>
      <c r="M282" s="1"/>
      <c r="N282" s="1"/>
      <c r="O282" s="1"/>
      <c r="P282" s="1"/>
      <c r="Q282" s="1"/>
      <c r="R282" s="1"/>
      <c r="S282" s="1"/>
      <c r="T282" s="1"/>
      <c r="U282" s="1"/>
      <c r="V282" s="1"/>
      <c r="W282" s="1"/>
      <c r="X282" s="1"/>
      <c r="Y282" s="1"/>
      <c r="Z282" s="1"/>
    </row>
    <row r="283">
      <c r="A283" s="1"/>
      <c r="B283" s="32"/>
      <c r="C283" s="1"/>
      <c r="D283" s="1"/>
      <c r="E283" s="1"/>
      <c r="F283" s="1"/>
      <c r="G283" s="1"/>
      <c r="H283" s="32"/>
      <c r="I283" s="1"/>
      <c r="J283" s="1"/>
      <c r="K283" s="1"/>
      <c r="L283" s="1"/>
      <c r="M283" s="1"/>
      <c r="N283" s="1"/>
      <c r="O283" s="1"/>
      <c r="P283" s="1"/>
      <c r="Q283" s="1"/>
      <c r="R283" s="1"/>
      <c r="S283" s="1"/>
      <c r="T283" s="1"/>
      <c r="U283" s="1"/>
      <c r="V283" s="1"/>
      <c r="W283" s="1"/>
      <c r="X283" s="1"/>
      <c r="Y283" s="1"/>
      <c r="Z283" s="1"/>
    </row>
    <row r="284">
      <c r="A284" s="1"/>
      <c r="B284" s="32"/>
      <c r="C284" s="1"/>
      <c r="D284" s="1"/>
      <c r="E284" s="1"/>
      <c r="F284" s="1"/>
      <c r="G284" s="1"/>
      <c r="H284" s="32"/>
      <c r="I284" s="1"/>
      <c r="J284" s="1"/>
      <c r="K284" s="1"/>
      <c r="L284" s="1"/>
      <c r="M284" s="1"/>
      <c r="N284" s="1"/>
      <c r="O284" s="1"/>
      <c r="P284" s="1"/>
      <c r="Q284" s="1"/>
      <c r="R284" s="1"/>
      <c r="S284" s="1"/>
      <c r="T284" s="1"/>
      <c r="U284" s="1"/>
      <c r="V284" s="1"/>
      <c r="W284" s="1"/>
      <c r="X284" s="1"/>
      <c r="Y284" s="1"/>
      <c r="Z284" s="1"/>
    </row>
    <row r="285">
      <c r="A285" s="1"/>
      <c r="B285" s="32"/>
      <c r="C285" s="1"/>
      <c r="D285" s="1"/>
      <c r="E285" s="1"/>
      <c r="F285" s="1"/>
      <c r="G285" s="1"/>
      <c r="H285" s="32"/>
      <c r="I285" s="1"/>
      <c r="J285" s="1"/>
      <c r="K285" s="1"/>
      <c r="L285" s="1"/>
      <c r="M285" s="1"/>
      <c r="N285" s="1"/>
      <c r="O285" s="1"/>
      <c r="P285" s="1"/>
      <c r="Q285" s="1"/>
      <c r="R285" s="1"/>
      <c r="S285" s="1"/>
      <c r="T285" s="1"/>
      <c r="U285" s="1"/>
      <c r="V285" s="1"/>
      <c r="W285" s="1"/>
      <c r="X285" s="1"/>
      <c r="Y285" s="1"/>
      <c r="Z285" s="1"/>
    </row>
    <row r="286">
      <c r="A286" s="1"/>
      <c r="B286" s="32"/>
      <c r="C286" s="1"/>
      <c r="D286" s="1"/>
      <c r="E286" s="1"/>
      <c r="F286" s="1"/>
      <c r="G286" s="1"/>
      <c r="H286" s="32"/>
      <c r="I286" s="1"/>
      <c r="J286" s="1"/>
      <c r="K286" s="1"/>
      <c r="L286" s="1"/>
      <c r="M286" s="1"/>
      <c r="N286" s="1"/>
      <c r="O286" s="1"/>
      <c r="P286" s="1"/>
      <c r="Q286" s="1"/>
      <c r="R286" s="1"/>
      <c r="S286" s="1"/>
      <c r="T286" s="1"/>
      <c r="U286" s="1"/>
      <c r="V286" s="1"/>
      <c r="W286" s="1"/>
      <c r="X286" s="1"/>
      <c r="Y286" s="1"/>
      <c r="Z286" s="1"/>
    </row>
    <row r="287">
      <c r="A287" s="1"/>
      <c r="B287" s="32"/>
      <c r="C287" s="1"/>
      <c r="D287" s="1"/>
      <c r="E287" s="1"/>
      <c r="F287" s="1"/>
      <c r="G287" s="1"/>
      <c r="H287" s="32"/>
      <c r="I287" s="1"/>
      <c r="J287" s="1"/>
      <c r="K287" s="1"/>
      <c r="L287" s="1"/>
      <c r="M287" s="1"/>
      <c r="N287" s="1"/>
      <c r="O287" s="1"/>
      <c r="P287" s="1"/>
      <c r="Q287" s="1"/>
      <c r="R287" s="1"/>
      <c r="S287" s="1"/>
      <c r="T287" s="1"/>
      <c r="U287" s="1"/>
      <c r="V287" s="1"/>
      <c r="W287" s="1"/>
      <c r="X287" s="1"/>
      <c r="Y287" s="1"/>
      <c r="Z287" s="1"/>
    </row>
    <row r="288">
      <c r="A288" s="1"/>
      <c r="B288" s="32"/>
      <c r="C288" s="1"/>
      <c r="D288" s="1"/>
      <c r="E288" s="1"/>
      <c r="F288" s="1"/>
      <c r="G288" s="1"/>
      <c r="H288" s="32"/>
      <c r="I288" s="1"/>
      <c r="J288" s="1"/>
      <c r="K288" s="1"/>
      <c r="L288" s="1"/>
      <c r="M288" s="1"/>
      <c r="N288" s="1"/>
      <c r="O288" s="1"/>
      <c r="P288" s="1"/>
      <c r="Q288" s="1"/>
      <c r="R288" s="1"/>
      <c r="S288" s="1"/>
      <c r="T288" s="1"/>
      <c r="U288" s="1"/>
      <c r="V288" s="1"/>
      <c r="W288" s="1"/>
      <c r="X288" s="1"/>
      <c r="Y288" s="1"/>
      <c r="Z288" s="1"/>
    </row>
    <row r="289">
      <c r="A289" s="1"/>
      <c r="B289" s="32"/>
      <c r="C289" s="1"/>
      <c r="D289" s="1"/>
      <c r="E289" s="1"/>
      <c r="F289" s="1"/>
      <c r="G289" s="1"/>
      <c r="H289" s="32"/>
      <c r="I289" s="1"/>
      <c r="J289" s="1"/>
      <c r="K289" s="1"/>
      <c r="L289" s="1"/>
      <c r="M289" s="1"/>
      <c r="N289" s="1"/>
      <c r="O289" s="1"/>
      <c r="P289" s="1"/>
      <c r="Q289" s="1"/>
      <c r="R289" s="1"/>
      <c r="S289" s="1"/>
      <c r="T289" s="1"/>
      <c r="U289" s="1"/>
      <c r="V289" s="1"/>
      <c r="W289" s="1"/>
      <c r="X289" s="1"/>
      <c r="Y289" s="1"/>
      <c r="Z289" s="1"/>
    </row>
    <row r="290">
      <c r="A290" s="1"/>
      <c r="B290" s="32"/>
      <c r="C290" s="1"/>
      <c r="D290" s="1"/>
      <c r="E290" s="1"/>
      <c r="F290" s="1"/>
      <c r="G290" s="1"/>
      <c r="H290" s="32"/>
      <c r="I290" s="1"/>
      <c r="J290" s="1"/>
      <c r="K290" s="1"/>
      <c r="L290" s="1"/>
      <c r="M290" s="1"/>
      <c r="N290" s="1"/>
      <c r="O290" s="1"/>
      <c r="P290" s="1"/>
      <c r="Q290" s="1"/>
      <c r="R290" s="1"/>
      <c r="S290" s="1"/>
      <c r="T290" s="1"/>
      <c r="U290" s="1"/>
      <c r="V290" s="1"/>
      <c r="W290" s="1"/>
      <c r="X290" s="1"/>
      <c r="Y290" s="1"/>
      <c r="Z290" s="1"/>
    </row>
    <row r="291">
      <c r="A291" s="1"/>
      <c r="B291" s="32"/>
      <c r="C291" s="1"/>
      <c r="D291" s="1"/>
      <c r="E291" s="1"/>
      <c r="F291" s="1"/>
      <c r="G291" s="1"/>
      <c r="H291" s="32"/>
      <c r="I291" s="1"/>
      <c r="J291" s="1"/>
      <c r="K291" s="1"/>
      <c r="L291" s="1"/>
      <c r="M291" s="1"/>
      <c r="N291" s="1"/>
      <c r="O291" s="1"/>
      <c r="P291" s="1"/>
      <c r="Q291" s="1"/>
      <c r="R291" s="1"/>
      <c r="S291" s="1"/>
      <c r="T291" s="1"/>
      <c r="U291" s="1"/>
      <c r="V291" s="1"/>
      <c r="W291" s="1"/>
      <c r="X291" s="1"/>
      <c r="Y291" s="1"/>
      <c r="Z291" s="1"/>
    </row>
    <row r="292">
      <c r="A292" s="1"/>
      <c r="B292" s="32"/>
      <c r="C292" s="1"/>
      <c r="D292" s="1"/>
      <c r="E292" s="1"/>
      <c r="F292" s="1"/>
      <c r="G292" s="1"/>
      <c r="H292" s="32"/>
      <c r="I292" s="1"/>
      <c r="J292" s="1"/>
      <c r="K292" s="1"/>
      <c r="L292" s="1"/>
      <c r="M292" s="1"/>
      <c r="N292" s="1"/>
      <c r="O292" s="1"/>
      <c r="P292" s="1"/>
      <c r="Q292" s="1"/>
      <c r="R292" s="1"/>
      <c r="S292" s="1"/>
      <c r="T292" s="1"/>
      <c r="U292" s="1"/>
      <c r="V292" s="1"/>
      <c r="W292" s="1"/>
      <c r="X292" s="1"/>
      <c r="Y292" s="1"/>
      <c r="Z292" s="1"/>
    </row>
    <row r="293">
      <c r="A293" s="1"/>
      <c r="B293" s="32"/>
      <c r="C293" s="1"/>
      <c r="D293" s="1"/>
      <c r="E293" s="1"/>
      <c r="F293" s="1"/>
      <c r="G293" s="1"/>
      <c r="H293" s="32"/>
      <c r="I293" s="1"/>
      <c r="J293" s="1"/>
      <c r="K293" s="1"/>
      <c r="L293" s="1"/>
      <c r="M293" s="1"/>
      <c r="N293" s="1"/>
      <c r="O293" s="1"/>
      <c r="P293" s="1"/>
      <c r="Q293" s="1"/>
      <c r="R293" s="1"/>
      <c r="S293" s="1"/>
      <c r="T293" s="1"/>
      <c r="U293" s="1"/>
      <c r="V293" s="1"/>
      <c r="W293" s="1"/>
      <c r="X293" s="1"/>
      <c r="Y293" s="1"/>
      <c r="Z293" s="1"/>
    </row>
    <row r="294">
      <c r="A294" s="1"/>
      <c r="B294" s="32"/>
      <c r="C294" s="1"/>
      <c r="D294" s="1"/>
      <c r="E294" s="1"/>
      <c r="F294" s="1"/>
      <c r="G294" s="1"/>
      <c r="H294" s="32"/>
      <c r="I294" s="1"/>
      <c r="J294" s="1"/>
      <c r="K294" s="1"/>
      <c r="L294" s="1"/>
      <c r="M294" s="1"/>
      <c r="N294" s="1"/>
      <c r="O294" s="1"/>
      <c r="P294" s="1"/>
      <c r="Q294" s="1"/>
      <c r="R294" s="1"/>
      <c r="S294" s="1"/>
      <c r="T294" s="1"/>
      <c r="U294" s="1"/>
      <c r="V294" s="1"/>
      <c r="W294" s="1"/>
      <c r="X294" s="1"/>
      <c r="Y294" s="1"/>
      <c r="Z294" s="1"/>
    </row>
    <row r="295">
      <c r="A295" s="1"/>
      <c r="B295" s="32"/>
      <c r="C295" s="1"/>
      <c r="D295" s="1"/>
      <c r="E295" s="1"/>
      <c r="F295" s="1"/>
      <c r="G295" s="1"/>
      <c r="H295" s="32"/>
      <c r="I295" s="1"/>
      <c r="J295" s="1"/>
      <c r="K295" s="1"/>
      <c r="L295" s="1"/>
      <c r="M295" s="1"/>
      <c r="N295" s="1"/>
      <c r="O295" s="1"/>
      <c r="P295" s="1"/>
      <c r="Q295" s="1"/>
      <c r="R295" s="1"/>
      <c r="S295" s="1"/>
      <c r="T295" s="1"/>
      <c r="U295" s="1"/>
      <c r="V295" s="1"/>
      <c r="W295" s="1"/>
      <c r="X295" s="1"/>
      <c r="Y295" s="1"/>
      <c r="Z295" s="1"/>
    </row>
    <row r="296">
      <c r="A296" s="1"/>
      <c r="B296" s="32"/>
      <c r="C296" s="1"/>
      <c r="D296" s="1"/>
      <c r="E296" s="1"/>
      <c r="F296" s="1"/>
      <c r="G296" s="1"/>
      <c r="H296" s="32"/>
      <c r="I296" s="1"/>
      <c r="J296" s="1"/>
      <c r="K296" s="1"/>
      <c r="L296" s="1"/>
      <c r="M296" s="1"/>
      <c r="N296" s="1"/>
      <c r="O296" s="1"/>
      <c r="P296" s="1"/>
      <c r="Q296" s="1"/>
      <c r="R296" s="1"/>
      <c r="S296" s="1"/>
      <c r="T296" s="1"/>
      <c r="U296" s="1"/>
      <c r="V296" s="1"/>
      <c r="W296" s="1"/>
      <c r="X296" s="1"/>
      <c r="Y296" s="1"/>
      <c r="Z296" s="1"/>
    </row>
    <row r="297">
      <c r="A297" s="1"/>
      <c r="B297" s="32"/>
      <c r="C297" s="1"/>
      <c r="D297" s="1"/>
      <c r="E297" s="1"/>
      <c r="F297" s="1"/>
      <c r="G297" s="1"/>
      <c r="H297" s="32"/>
      <c r="I297" s="1"/>
      <c r="J297" s="1"/>
      <c r="K297" s="1"/>
      <c r="L297" s="1"/>
      <c r="M297" s="1"/>
      <c r="N297" s="1"/>
      <c r="O297" s="1"/>
      <c r="P297" s="1"/>
      <c r="Q297" s="1"/>
      <c r="R297" s="1"/>
      <c r="S297" s="1"/>
      <c r="T297" s="1"/>
      <c r="U297" s="1"/>
      <c r="V297" s="1"/>
      <c r="W297" s="1"/>
      <c r="X297" s="1"/>
      <c r="Y297" s="1"/>
      <c r="Z297" s="1"/>
    </row>
    <row r="298">
      <c r="A298" s="1"/>
      <c r="B298" s="32"/>
      <c r="C298" s="1"/>
      <c r="D298" s="1"/>
      <c r="E298" s="1"/>
      <c r="F298" s="1"/>
      <c r="G298" s="1"/>
      <c r="H298" s="32"/>
      <c r="I298" s="1"/>
      <c r="J298" s="1"/>
      <c r="K298" s="1"/>
      <c r="L298" s="1"/>
      <c r="M298" s="1"/>
      <c r="N298" s="1"/>
      <c r="O298" s="1"/>
      <c r="P298" s="1"/>
      <c r="Q298" s="1"/>
      <c r="R298" s="1"/>
      <c r="S298" s="1"/>
      <c r="T298" s="1"/>
      <c r="U298" s="1"/>
      <c r="V298" s="1"/>
      <c r="W298" s="1"/>
      <c r="X298" s="1"/>
      <c r="Y298" s="1"/>
      <c r="Z298" s="1"/>
    </row>
    <row r="299">
      <c r="A299" s="1"/>
      <c r="B299" s="32"/>
      <c r="C299" s="1"/>
      <c r="D299" s="1"/>
      <c r="E299" s="1"/>
      <c r="F299" s="1"/>
      <c r="G299" s="1"/>
      <c r="H299" s="32"/>
      <c r="I299" s="1"/>
      <c r="J299" s="1"/>
      <c r="K299" s="1"/>
      <c r="L299" s="1"/>
      <c r="M299" s="1"/>
      <c r="N299" s="1"/>
      <c r="O299" s="1"/>
      <c r="P299" s="1"/>
      <c r="Q299" s="1"/>
      <c r="R299" s="1"/>
      <c r="S299" s="1"/>
      <c r="T299" s="1"/>
      <c r="U299" s="1"/>
      <c r="V299" s="1"/>
      <c r="W299" s="1"/>
      <c r="X299" s="1"/>
      <c r="Y299" s="1"/>
      <c r="Z299" s="1"/>
    </row>
    <row r="300">
      <c r="A300" s="1"/>
      <c r="B300" s="32"/>
      <c r="C300" s="1"/>
      <c r="D300" s="1"/>
      <c r="E300" s="1"/>
      <c r="F300" s="1"/>
      <c r="G300" s="1"/>
      <c r="H300" s="32"/>
      <c r="I300" s="1"/>
      <c r="J300" s="1"/>
      <c r="K300" s="1"/>
      <c r="L300" s="1"/>
      <c r="M300" s="1"/>
      <c r="N300" s="1"/>
      <c r="O300" s="1"/>
      <c r="P300" s="1"/>
      <c r="Q300" s="1"/>
      <c r="R300" s="1"/>
      <c r="S300" s="1"/>
      <c r="T300" s="1"/>
      <c r="U300" s="1"/>
      <c r="V300" s="1"/>
      <c r="W300" s="1"/>
      <c r="X300" s="1"/>
      <c r="Y300" s="1"/>
      <c r="Z300" s="1"/>
    </row>
    <row r="301">
      <c r="A301" s="1"/>
      <c r="B301" s="32"/>
      <c r="C301" s="1"/>
      <c r="D301" s="1"/>
      <c r="E301" s="1"/>
      <c r="F301" s="1"/>
      <c r="G301" s="1"/>
      <c r="H301" s="32"/>
      <c r="I301" s="1"/>
      <c r="J301" s="1"/>
      <c r="K301" s="1"/>
      <c r="L301" s="1"/>
      <c r="M301" s="1"/>
      <c r="N301" s="1"/>
      <c r="O301" s="1"/>
      <c r="P301" s="1"/>
      <c r="Q301" s="1"/>
      <c r="R301" s="1"/>
      <c r="S301" s="1"/>
      <c r="T301" s="1"/>
      <c r="U301" s="1"/>
      <c r="V301" s="1"/>
      <c r="W301" s="1"/>
      <c r="X301" s="1"/>
      <c r="Y301" s="1"/>
      <c r="Z301" s="1"/>
    </row>
    <row r="302">
      <c r="A302" s="1"/>
      <c r="B302" s="32"/>
      <c r="C302" s="1"/>
      <c r="D302" s="1"/>
      <c r="E302" s="1"/>
      <c r="F302" s="1"/>
      <c r="G302" s="1"/>
      <c r="H302" s="32"/>
      <c r="I302" s="1"/>
      <c r="J302" s="1"/>
      <c r="K302" s="1"/>
      <c r="L302" s="1"/>
      <c r="M302" s="1"/>
      <c r="N302" s="1"/>
      <c r="O302" s="1"/>
      <c r="P302" s="1"/>
      <c r="Q302" s="1"/>
      <c r="R302" s="1"/>
      <c r="S302" s="1"/>
      <c r="T302" s="1"/>
      <c r="U302" s="1"/>
      <c r="V302" s="1"/>
      <c r="W302" s="1"/>
      <c r="X302" s="1"/>
      <c r="Y302" s="1"/>
      <c r="Z302" s="1"/>
    </row>
    <row r="303">
      <c r="A303" s="1"/>
      <c r="B303" s="32"/>
      <c r="C303" s="1"/>
      <c r="D303" s="1"/>
      <c r="E303" s="1"/>
      <c r="F303" s="1"/>
      <c r="G303" s="1"/>
      <c r="H303" s="32"/>
      <c r="I303" s="1"/>
      <c r="J303" s="1"/>
      <c r="K303" s="1"/>
      <c r="L303" s="1"/>
      <c r="M303" s="1"/>
      <c r="N303" s="1"/>
      <c r="O303" s="1"/>
      <c r="P303" s="1"/>
      <c r="Q303" s="1"/>
      <c r="R303" s="1"/>
      <c r="S303" s="1"/>
      <c r="T303" s="1"/>
      <c r="U303" s="1"/>
      <c r="V303" s="1"/>
      <c r="W303" s="1"/>
      <c r="X303" s="1"/>
      <c r="Y303" s="1"/>
      <c r="Z303" s="1"/>
    </row>
    <row r="304">
      <c r="A304" s="1"/>
      <c r="B304" s="32"/>
      <c r="C304" s="1"/>
      <c r="D304" s="1"/>
      <c r="E304" s="1"/>
      <c r="F304" s="1"/>
      <c r="G304" s="1"/>
      <c r="H304" s="32"/>
      <c r="I304" s="1"/>
      <c r="J304" s="1"/>
      <c r="K304" s="1"/>
      <c r="L304" s="1"/>
      <c r="M304" s="1"/>
      <c r="N304" s="1"/>
      <c r="O304" s="1"/>
      <c r="P304" s="1"/>
      <c r="Q304" s="1"/>
      <c r="R304" s="1"/>
      <c r="S304" s="1"/>
      <c r="T304" s="1"/>
      <c r="U304" s="1"/>
      <c r="V304" s="1"/>
      <c r="W304" s="1"/>
      <c r="X304" s="1"/>
      <c r="Y304" s="1"/>
      <c r="Z304" s="1"/>
    </row>
    <row r="305">
      <c r="A305" s="1"/>
      <c r="B305" s="32"/>
      <c r="C305" s="1"/>
      <c r="D305" s="1"/>
      <c r="E305" s="1"/>
      <c r="F305" s="1"/>
      <c r="G305" s="1"/>
      <c r="H305" s="32"/>
      <c r="I305" s="1"/>
      <c r="J305" s="1"/>
      <c r="K305" s="1"/>
      <c r="L305" s="1"/>
      <c r="M305" s="1"/>
      <c r="N305" s="1"/>
      <c r="O305" s="1"/>
      <c r="P305" s="1"/>
      <c r="Q305" s="1"/>
      <c r="R305" s="1"/>
      <c r="S305" s="1"/>
      <c r="T305" s="1"/>
      <c r="U305" s="1"/>
      <c r="V305" s="1"/>
      <c r="W305" s="1"/>
      <c r="X305" s="1"/>
      <c r="Y305" s="1"/>
      <c r="Z305" s="1"/>
    </row>
    <row r="306">
      <c r="A306" s="1"/>
      <c r="B306" s="32"/>
      <c r="C306" s="1"/>
      <c r="D306" s="1"/>
      <c r="E306" s="1"/>
      <c r="F306" s="1"/>
      <c r="G306" s="1"/>
      <c r="H306" s="32"/>
      <c r="I306" s="1"/>
      <c r="J306" s="1"/>
      <c r="K306" s="1"/>
      <c r="L306" s="1"/>
      <c r="M306" s="1"/>
      <c r="N306" s="1"/>
      <c r="O306" s="1"/>
      <c r="P306" s="1"/>
      <c r="Q306" s="1"/>
      <c r="R306" s="1"/>
      <c r="S306" s="1"/>
      <c r="T306" s="1"/>
      <c r="U306" s="1"/>
      <c r="V306" s="1"/>
      <c r="W306" s="1"/>
      <c r="X306" s="1"/>
      <c r="Y306" s="1"/>
      <c r="Z306" s="1"/>
    </row>
    <row r="307">
      <c r="A307" s="1"/>
      <c r="B307" s="32"/>
      <c r="C307" s="1"/>
      <c r="D307" s="1"/>
      <c r="E307" s="1"/>
      <c r="F307" s="1"/>
      <c r="G307" s="1"/>
      <c r="H307" s="32"/>
      <c r="I307" s="1"/>
      <c r="J307" s="1"/>
      <c r="K307" s="1"/>
      <c r="L307" s="1"/>
      <c r="M307" s="1"/>
      <c r="N307" s="1"/>
      <c r="O307" s="1"/>
      <c r="P307" s="1"/>
      <c r="Q307" s="1"/>
      <c r="R307" s="1"/>
      <c r="S307" s="1"/>
      <c r="T307" s="1"/>
      <c r="U307" s="1"/>
      <c r="V307" s="1"/>
      <c r="W307" s="1"/>
      <c r="X307" s="1"/>
      <c r="Y307" s="1"/>
      <c r="Z307" s="1"/>
    </row>
    <row r="308">
      <c r="A308" s="1"/>
      <c r="B308" s="32"/>
      <c r="C308" s="1"/>
      <c r="D308" s="1"/>
      <c r="E308" s="1"/>
      <c r="F308" s="1"/>
      <c r="G308" s="1"/>
      <c r="H308" s="32"/>
      <c r="I308" s="1"/>
      <c r="J308" s="1"/>
      <c r="K308" s="1"/>
      <c r="L308" s="1"/>
      <c r="M308" s="1"/>
      <c r="N308" s="1"/>
      <c r="O308" s="1"/>
      <c r="P308" s="1"/>
      <c r="Q308" s="1"/>
      <c r="R308" s="1"/>
      <c r="S308" s="1"/>
      <c r="T308" s="1"/>
      <c r="U308" s="1"/>
      <c r="V308" s="1"/>
      <c r="W308" s="1"/>
      <c r="X308" s="1"/>
      <c r="Y308" s="1"/>
      <c r="Z308" s="1"/>
    </row>
    <row r="309">
      <c r="A309" s="1"/>
      <c r="B309" s="32"/>
      <c r="C309" s="1"/>
      <c r="D309" s="1"/>
      <c r="E309" s="1"/>
      <c r="F309" s="1"/>
      <c r="G309" s="1"/>
      <c r="H309" s="32"/>
      <c r="I309" s="1"/>
      <c r="J309" s="1"/>
      <c r="K309" s="1"/>
      <c r="L309" s="1"/>
      <c r="M309" s="1"/>
      <c r="N309" s="1"/>
      <c r="O309" s="1"/>
      <c r="P309" s="1"/>
      <c r="Q309" s="1"/>
      <c r="R309" s="1"/>
      <c r="S309" s="1"/>
      <c r="T309" s="1"/>
      <c r="U309" s="1"/>
      <c r="V309" s="1"/>
      <c r="W309" s="1"/>
      <c r="X309" s="1"/>
      <c r="Y309" s="1"/>
      <c r="Z309" s="1"/>
    </row>
    <row r="310">
      <c r="A310" s="1"/>
      <c r="B310" s="32"/>
      <c r="C310" s="1"/>
      <c r="D310" s="1"/>
      <c r="E310" s="1"/>
      <c r="F310" s="1"/>
      <c r="G310" s="1"/>
      <c r="H310" s="32"/>
      <c r="I310" s="1"/>
      <c r="J310" s="1"/>
      <c r="K310" s="1"/>
      <c r="L310" s="1"/>
      <c r="M310" s="1"/>
      <c r="N310" s="1"/>
      <c r="O310" s="1"/>
      <c r="P310" s="1"/>
      <c r="Q310" s="1"/>
      <c r="R310" s="1"/>
      <c r="S310" s="1"/>
      <c r="T310" s="1"/>
      <c r="U310" s="1"/>
      <c r="V310" s="1"/>
      <c r="W310" s="1"/>
      <c r="X310" s="1"/>
      <c r="Y310" s="1"/>
      <c r="Z310" s="1"/>
    </row>
    <row r="311">
      <c r="A311" s="1"/>
      <c r="B311" s="32"/>
      <c r="C311" s="1"/>
      <c r="D311" s="1"/>
      <c r="E311" s="1"/>
      <c r="F311" s="1"/>
      <c r="G311" s="1"/>
      <c r="H311" s="32"/>
      <c r="I311" s="1"/>
      <c r="J311" s="1"/>
      <c r="K311" s="1"/>
      <c r="L311" s="1"/>
      <c r="M311" s="1"/>
      <c r="N311" s="1"/>
      <c r="O311" s="1"/>
      <c r="P311" s="1"/>
      <c r="Q311" s="1"/>
      <c r="R311" s="1"/>
      <c r="S311" s="1"/>
      <c r="T311" s="1"/>
      <c r="U311" s="1"/>
      <c r="V311" s="1"/>
      <c r="W311" s="1"/>
      <c r="X311" s="1"/>
      <c r="Y311" s="1"/>
      <c r="Z311" s="1"/>
    </row>
    <row r="312">
      <c r="A312" s="1"/>
      <c r="B312" s="32"/>
      <c r="C312" s="1"/>
      <c r="D312" s="1"/>
      <c r="E312" s="1"/>
      <c r="F312" s="1"/>
      <c r="G312" s="1"/>
      <c r="H312" s="32"/>
      <c r="I312" s="1"/>
      <c r="J312" s="1"/>
      <c r="K312" s="1"/>
      <c r="L312" s="1"/>
      <c r="M312" s="1"/>
      <c r="N312" s="1"/>
      <c r="O312" s="1"/>
      <c r="P312" s="1"/>
      <c r="Q312" s="1"/>
      <c r="R312" s="1"/>
      <c r="S312" s="1"/>
      <c r="T312" s="1"/>
      <c r="U312" s="1"/>
      <c r="V312" s="1"/>
      <c r="W312" s="1"/>
      <c r="X312" s="1"/>
      <c r="Y312" s="1"/>
      <c r="Z312" s="1"/>
    </row>
    <row r="313">
      <c r="A313" s="1"/>
      <c r="B313" s="32"/>
      <c r="C313" s="1"/>
      <c r="D313" s="1"/>
      <c r="E313" s="1"/>
      <c r="F313" s="1"/>
      <c r="G313" s="1"/>
      <c r="H313" s="32"/>
      <c r="I313" s="1"/>
      <c r="J313" s="1"/>
      <c r="K313" s="1"/>
      <c r="L313" s="1"/>
      <c r="M313" s="1"/>
      <c r="N313" s="1"/>
      <c r="O313" s="1"/>
      <c r="P313" s="1"/>
      <c r="Q313" s="1"/>
      <c r="R313" s="1"/>
      <c r="S313" s="1"/>
      <c r="T313" s="1"/>
      <c r="U313" s="1"/>
      <c r="V313" s="1"/>
      <c r="W313" s="1"/>
      <c r="X313" s="1"/>
      <c r="Y313" s="1"/>
      <c r="Z313" s="1"/>
    </row>
    <row r="314">
      <c r="A314" s="1"/>
      <c r="B314" s="32"/>
      <c r="C314" s="1"/>
      <c r="D314" s="1"/>
      <c r="E314" s="1"/>
      <c r="F314" s="1"/>
      <c r="G314" s="1"/>
      <c r="H314" s="32"/>
      <c r="I314" s="1"/>
      <c r="J314" s="1"/>
      <c r="K314" s="1"/>
      <c r="L314" s="1"/>
      <c r="M314" s="1"/>
      <c r="N314" s="1"/>
      <c r="O314" s="1"/>
      <c r="P314" s="1"/>
      <c r="Q314" s="1"/>
      <c r="R314" s="1"/>
      <c r="S314" s="1"/>
      <c r="T314" s="1"/>
      <c r="U314" s="1"/>
      <c r="V314" s="1"/>
      <c r="W314" s="1"/>
      <c r="X314" s="1"/>
      <c r="Y314" s="1"/>
      <c r="Z314" s="1"/>
    </row>
    <row r="315">
      <c r="A315" s="1"/>
      <c r="B315" s="32"/>
      <c r="C315" s="1"/>
      <c r="D315" s="1"/>
      <c r="E315" s="1"/>
      <c r="F315" s="1"/>
      <c r="G315" s="1"/>
      <c r="H315" s="32"/>
      <c r="I315" s="1"/>
      <c r="J315" s="1"/>
      <c r="K315" s="1"/>
      <c r="L315" s="1"/>
      <c r="M315" s="1"/>
      <c r="N315" s="1"/>
      <c r="O315" s="1"/>
      <c r="P315" s="1"/>
      <c r="Q315" s="1"/>
      <c r="R315" s="1"/>
      <c r="S315" s="1"/>
      <c r="T315" s="1"/>
      <c r="U315" s="1"/>
      <c r="V315" s="1"/>
      <c r="W315" s="1"/>
      <c r="X315" s="1"/>
      <c r="Y315" s="1"/>
      <c r="Z315" s="1"/>
    </row>
    <row r="316">
      <c r="A316" s="1"/>
      <c r="B316" s="32"/>
      <c r="C316" s="1"/>
      <c r="D316" s="1"/>
      <c r="E316" s="1"/>
      <c r="F316" s="1"/>
      <c r="G316" s="1"/>
      <c r="H316" s="32"/>
      <c r="I316" s="1"/>
      <c r="J316" s="1"/>
      <c r="K316" s="1"/>
      <c r="L316" s="1"/>
      <c r="M316" s="1"/>
      <c r="N316" s="1"/>
      <c r="O316" s="1"/>
      <c r="P316" s="1"/>
      <c r="Q316" s="1"/>
      <c r="R316" s="1"/>
      <c r="S316" s="1"/>
      <c r="T316" s="1"/>
      <c r="U316" s="1"/>
      <c r="V316" s="1"/>
      <c r="W316" s="1"/>
      <c r="X316" s="1"/>
      <c r="Y316" s="1"/>
      <c r="Z316" s="1"/>
    </row>
    <row r="317">
      <c r="A317" s="1"/>
      <c r="B317" s="32"/>
      <c r="C317" s="1"/>
      <c r="D317" s="1"/>
      <c r="E317" s="1"/>
      <c r="F317" s="1"/>
      <c r="G317" s="1"/>
      <c r="H317" s="32"/>
      <c r="I317" s="1"/>
      <c r="J317" s="1"/>
      <c r="K317" s="1"/>
      <c r="L317" s="1"/>
      <c r="M317" s="1"/>
      <c r="N317" s="1"/>
      <c r="O317" s="1"/>
      <c r="P317" s="1"/>
      <c r="Q317" s="1"/>
      <c r="R317" s="1"/>
      <c r="S317" s="1"/>
      <c r="T317" s="1"/>
      <c r="U317" s="1"/>
      <c r="V317" s="1"/>
      <c r="W317" s="1"/>
      <c r="X317" s="1"/>
      <c r="Y317" s="1"/>
      <c r="Z317" s="1"/>
    </row>
    <row r="318">
      <c r="A318" s="1"/>
      <c r="B318" s="32"/>
      <c r="C318" s="1"/>
      <c r="D318" s="1"/>
      <c r="E318" s="1"/>
      <c r="F318" s="1"/>
      <c r="G318" s="1"/>
      <c r="H318" s="32"/>
      <c r="I318" s="1"/>
      <c r="J318" s="1"/>
      <c r="K318" s="1"/>
      <c r="L318" s="1"/>
      <c r="M318" s="1"/>
      <c r="N318" s="1"/>
      <c r="O318" s="1"/>
      <c r="P318" s="1"/>
      <c r="Q318" s="1"/>
      <c r="R318" s="1"/>
      <c r="S318" s="1"/>
      <c r="T318" s="1"/>
      <c r="U318" s="1"/>
      <c r="V318" s="1"/>
      <c r="W318" s="1"/>
      <c r="X318" s="1"/>
      <c r="Y318" s="1"/>
      <c r="Z318" s="1"/>
    </row>
    <row r="319">
      <c r="A319" s="1"/>
      <c r="B319" s="32"/>
      <c r="C319" s="1"/>
      <c r="D319" s="1"/>
      <c r="E319" s="1"/>
      <c r="F319" s="1"/>
      <c r="G319" s="1"/>
      <c r="H319" s="32"/>
      <c r="I319" s="1"/>
      <c r="J319" s="1"/>
      <c r="K319" s="1"/>
      <c r="L319" s="1"/>
      <c r="M319" s="1"/>
      <c r="N319" s="1"/>
      <c r="O319" s="1"/>
      <c r="P319" s="1"/>
      <c r="Q319" s="1"/>
      <c r="R319" s="1"/>
      <c r="S319" s="1"/>
      <c r="T319" s="1"/>
      <c r="U319" s="1"/>
      <c r="V319" s="1"/>
      <c r="W319" s="1"/>
      <c r="X319" s="1"/>
      <c r="Y319" s="1"/>
      <c r="Z319" s="1"/>
    </row>
    <row r="320">
      <c r="A320" s="1"/>
      <c r="B320" s="32"/>
      <c r="C320" s="1"/>
      <c r="D320" s="1"/>
      <c r="E320" s="1"/>
      <c r="F320" s="1"/>
      <c r="G320" s="1"/>
      <c r="H320" s="32"/>
      <c r="I320" s="1"/>
      <c r="J320" s="1"/>
      <c r="K320" s="1"/>
      <c r="L320" s="1"/>
      <c r="M320" s="1"/>
      <c r="N320" s="1"/>
      <c r="O320" s="1"/>
      <c r="P320" s="1"/>
      <c r="Q320" s="1"/>
      <c r="R320" s="1"/>
      <c r="S320" s="1"/>
      <c r="T320" s="1"/>
      <c r="U320" s="1"/>
      <c r="V320" s="1"/>
      <c r="W320" s="1"/>
      <c r="X320" s="1"/>
      <c r="Y320" s="1"/>
      <c r="Z320" s="1"/>
    </row>
    <row r="321">
      <c r="A321" s="1"/>
      <c r="B321" s="32"/>
      <c r="C321" s="1"/>
      <c r="D321" s="1"/>
      <c r="E321" s="1"/>
      <c r="F321" s="1"/>
      <c r="G321" s="1"/>
      <c r="H321" s="32"/>
      <c r="I321" s="1"/>
      <c r="J321" s="1"/>
      <c r="K321" s="1"/>
      <c r="L321" s="1"/>
      <c r="M321" s="1"/>
      <c r="N321" s="1"/>
      <c r="O321" s="1"/>
      <c r="P321" s="1"/>
      <c r="Q321" s="1"/>
      <c r="R321" s="1"/>
      <c r="S321" s="1"/>
      <c r="T321" s="1"/>
      <c r="U321" s="1"/>
      <c r="V321" s="1"/>
      <c r="W321" s="1"/>
      <c r="X321" s="1"/>
      <c r="Y321" s="1"/>
      <c r="Z321" s="1"/>
    </row>
    <row r="322">
      <c r="A322" s="1"/>
      <c r="B322" s="32"/>
      <c r="C322" s="1"/>
      <c r="D322" s="1"/>
      <c r="E322" s="1"/>
      <c r="F322" s="1"/>
      <c r="G322" s="1"/>
      <c r="H322" s="32"/>
      <c r="I322" s="1"/>
      <c r="J322" s="1"/>
      <c r="K322" s="1"/>
      <c r="L322" s="1"/>
      <c r="M322" s="1"/>
      <c r="N322" s="1"/>
      <c r="O322" s="1"/>
      <c r="P322" s="1"/>
      <c r="Q322" s="1"/>
      <c r="R322" s="1"/>
      <c r="S322" s="1"/>
      <c r="T322" s="1"/>
      <c r="U322" s="1"/>
      <c r="V322" s="1"/>
      <c r="W322" s="1"/>
      <c r="X322" s="1"/>
      <c r="Y322" s="1"/>
      <c r="Z322" s="1"/>
    </row>
    <row r="323">
      <c r="A323" s="1"/>
      <c r="B323" s="32"/>
      <c r="C323" s="1"/>
      <c r="D323" s="1"/>
      <c r="E323" s="1"/>
      <c r="F323" s="1"/>
      <c r="G323" s="1"/>
      <c r="H323" s="32"/>
      <c r="I323" s="1"/>
      <c r="J323" s="1"/>
      <c r="K323" s="1"/>
      <c r="L323" s="1"/>
      <c r="M323" s="1"/>
      <c r="N323" s="1"/>
      <c r="O323" s="1"/>
      <c r="P323" s="1"/>
      <c r="Q323" s="1"/>
      <c r="R323" s="1"/>
      <c r="S323" s="1"/>
      <c r="T323" s="1"/>
      <c r="U323" s="1"/>
      <c r="V323" s="1"/>
      <c r="W323" s="1"/>
      <c r="X323" s="1"/>
      <c r="Y323" s="1"/>
      <c r="Z323" s="1"/>
    </row>
    <row r="324">
      <c r="A324" s="1"/>
      <c r="B324" s="32"/>
      <c r="C324" s="1"/>
      <c r="D324" s="1"/>
      <c r="E324" s="1"/>
      <c r="F324" s="1"/>
      <c r="G324" s="1"/>
      <c r="H324" s="32"/>
      <c r="I324" s="1"/>
      <c r="J324" s="1"/>
      <c r="K324" s="1"/>
      <c r="L324" s="1"/>
      <c r="M324" s="1"/>
      <c r="N324" s="1"/>
      <c r="O324" s="1"/>
      <c r="P324" s="1"/>
      <c r="Q324" s="1"/>
      <c r="R324" s="1"/>
      <c r="S324" s="1"/>
      <c r="T324" s="1"/>
      <c r="U324" s="1"/>
      <c r="V324" s="1"/>
      <c r="W324" s="1"/>
      <c r="X324" s="1"/>
      <c r="Y324" s="1"/>
      <c r="Z324" s="1"/>
    </row>
    <row r="325">
      <c r="A325" s="1"/>
      <c r="B325" s="32"/>
      <c r="C325" s="1"/>
      <c r="D325" s="1"/>
      <c r="E325" s="1"/>
      <c r="F325" s="1"/>
      <c r="G325" s="1"/>
      <c r="H325" s="32"/>
      <c r="I325" s="1"/>
      <c r="J325" s="1"/>
      <c r="K325" s="1"/>
      <c r="L325" s="1"/>
      <c r="M325" s="1"/>
      <c r="N325" s="1"/>
      <c r="O325" s="1"/>
      <c r="P325" s="1"/>
      <c r="Q325" s="1"/>
      <c r="R325" s="1"/>
      <c r="S325" s="1"/>
      <c r="T325" s="1"/>
      <c r="U325" s="1"/>
      <c r="V325" s="1"/>
      <c r="W325" s="1"/>
      <c r="X325" s="1"/>
      <c r="Y325" s="1"/>
      <c r="Z325" s="1"/>
    </row>
    <row r="326">
      <c r="A326" s="1"/>
      <c r="B326" s="32"/>
      <c r="C326" s="1"/>
      <c r="D326" s="1"/>
      <c r="E326" s="1"/>
      <c r="F326" s="1"/>
      <c r="G326" s="1"/>
      <c r="H326" s="32"/>
      <c r="I326" s="1"/>
      <c r="J326" s="1"/>
      <c r="K326" s="1"/>
      <c r="L326" s="1"/>
      <c r="M326" s="1"/>
      <c r="N326" s="1"/>
      <c r="O326" s="1"/>
      <c r="P326" s="1"/>
      <c r="Q326" s="1"/>
      <c r="R326" s="1"/>
      <c r="S326" s="1"/>
      <c r="T326" s="1"/>
      <c r="U326" s="1"/>
      <c r="V326" s="1"/>
      <c r="W326" s="1"/>
      <c r="X326" s="1"/>
      <c r="Y326" s="1"/>
      <c r="Z326" s="1"/>
    </row>
    <row r="327">
      <c r="A327" s="1"/>
      <c r="B327" s="32"/>
      <c r="C327" s="1"/>
      <c r="D327" s="1"/>
      <c r="E327" s="1"/>
      <c r="F327" s="1"/>
      <c r="G327" s="1"/>
      <c r="H327" s="32"/>
      <c r="I327" s="1"/>
      <c r="J327" s="1"/>
      <c r="K327" s="1"/>
      <c r="L327" s="1"/>
      <c r="M327" s="1"/>
      <c r="N327" s="1"/>
      <c r="O327" s="1"/>
      <c r="P327" s="1"/>
      <c r="Q327" s="1"/>
      <c r="R327" s="1"/>
      <c r="S327" s="1"/>
      <c r="T327" s="1"/>
      <c r="U327" s="1"/>
      <c r="V327" s="1"/>
      <c r="W327" s="1"/>
      <c r="X327" s="1"/>
      <c r="Y327" s="1"/>
      <c r="Z327" s="1"/>
    </row>
    <row r="328">
      <c r="A328" s="1"/>
      <c r="B328" s="32"/>
      <c r="C328" s="1"/>
      <c r="D328" s="1"/>
      <c r="E328" s="1"/>
      <c r="F328" s="1"/>
      <c r="G328" s="1"/>
      <c r="H328" s="32"/>
      <c r="I328" s="1"/>
      <c r="J328" s="1"/>
      <c r="K328" s="1"/>
      <c r="L328" s="1"/>
      <c r="M328" s="1"/>
      <c r="N328" s="1"/>
      <c r="O328" s="1"/>
      <c r="P328" s="1"/>
      <c r="Q328" s="1"/>
      <c r="R328" s="1"/>
      <c r="S328" s="1"/>
      <c r="T328" s="1"/>
      <c r="U328" s="1"/>
      <c r="V328" s="1"/>
      <c r="W328" s="1"/>
      <c r="X328" s="1"/>
      <c r="Y328" s="1"/>
      <c r="Z328" s="1"/>
    </row>
    <row r="329">
      <c r="A329" s="1"/>
      <c r="B329" s="32"/>
      <c r="C329" s="1"/>
      <c r="D329" s="1"/>
      <c r="E329" s="1"/>
      <c r="F329" s="1"/>
      <c r="G329" s="1"/>
      <c r="H329" s="32"/>
      <c r="I329" s="1"/>
      <c r="J329" s="1"/>
      <c r="K329" s="1"/>
      <c r="L329" s="1"/>
      <c r="M329" s="1"/>
      <c r="N329" s="1"/>
      <c r="O329" s="1"/>
      <c r="P329" s="1"/>
      <c r="Q329" s="1"/>
      <c r="R329" s="1"/>
      <c r="S329" s="1"/>
      <c r="T329" s="1"/>
      <c r="U329" s="1"/>
      <c r="V329" s="1"/>
      <c r="W329" s="1"/>
      <c r="X329" s="1"/>
      <c r="Y329" s="1"/>
      <c r="Z329" s="1"/>
    </row>
    <row r="330">
      <c r="A330" s="1"/>
      <c r="B330" s="32"/>
      <c r="C330" s="1"/>
      <c r="D330" s="1"/>
      <c r="E330" s="1"/>
      <c r="F330" s="1"/>
      <c r="G330" s="1"/>
      <c r="H330" s="32"/>
      <c r="I330" s="1"/>
      <c r="J330" s="1"/>
      <c r="K330" s="1"/>
      <c r="L330" s="1"/>
      <c r="M330" s="1"/>
      <c r="N330" s="1"/>
      <c r="O330" s="1"/>
      <c r="P330" s="1"/>
      <c r="Q330" s="1"/>
      <c r="R330" s="1"/>
      <c r="S330" s="1"/>
      <c r="T330" s="1"/>
      <c r="U330" s="1"/>
      <c r="V330" s="1"/>
      <c r="W330" s="1"/>
      <c r="X330" s="1"/>
      <c r="Y330" s="1"/>
      <c r="Z330" s="1"/>
    </row>
    <row r="331">
      <c r="A331" s="1"/>
      <c r="B331" s="32"/>
      <c r="C331" s="1"/>
      <c r="D331" s="1"/>
      <c r="E331" s="1"/>
      <c r="F331" s="1"/>
      <c r="G331" s="1"/>
      <c r="H331" s="32"/>
      <c r="I331" s="1"/>
      <c r="J331" s="1"/>
      <c r="K331" s="1"/>
      <c r="L331" s="1"/>
      <c r="M331" s="1"/>
      <c r="N331" s="1"/>
      <c r="O331" s="1"/>
      <c r="P331" s="1"/>
      <c r="Q331" s="1"/>
      <c r="R331" s="1"/>
      <c r="S331" s="1"/>
      <c r="T331" s="1"/>
      <c r="U331" s="1"/>
      <c r="V331" s="1"/>
      <c r="W331" s="1"/>
      <c r="X331" s="1"/>
      <c r="Y331" s="1"/>
      <c r="Z331" s="1"/>
    </row>
    <row r="332">
      <c r="A332" s="1"/>
      <c r="B332" s="32"/>
      <c r="C332" s="1"/>
      <c r="D332" s="1"/>
      <c r="E332" s="1"/>
      <c r="F332" s="1"/>
      <c r="G332" s="1"/>
      <c r="H332" s="32"/>
      <c r="I332" s="1"/>
      <c r="J332" s="1"/>
      <c r="K332" s="1"/>
      <c r="L332" s="1"/>
      <c r="M332" s="1"/>
      <c r="N332" s="1"/>
      <c r="O332" s="1"/>
      <c r="P332" s="1"/>
      <c r="Q332" s="1"/>
      <c r="R332" s="1"/>
      <c r="S332" s="1"/>
      <c r="T332" s="1"/>
      <c r="U332" s="1"/>
      <c r="V332" s="1"/>
      <c r="W332" s="1"/>
      <c r="X332" s="1"/>
      <c r="Y332" s="1"/>
      <c r="Z332" s="1"/>
    </row>
    <row r="333">
      <c r="A333" s="1"/>
      <c r="B333" s="32"/>
      <c r="C333" s="1"/>
      <c r="D333" s="1"/>
      <c r="E333" s="1"/>
      <c r="F333" s="1"/>
      <c r="G333" s="1"/>
      <c r="H333" s="32"/>
      <c r="I333" s="1"/>
      <c r="J333" s="1"/>
      <c r="K333" s="1"/>
      <c r="L333" s="1"/>
      <c r="M333" s="1"/>
      <c r="N333" s="1"/>
      <c r="O333" s="1"/>
      <c r="P333" s="1"/>
      <c r="Q333" s="1"/>
      <c r="R333" s="1"/>
      <c r="S333" s="1"/>
      <c r="T333" s="1"/>
      <c r="U333" s="1"/>
      <c r="V333" s="1"/>
      <c r="W333" s="1"/>
      <c r="X333" s="1"/>
      <c r="Y333" s="1"/>
      <c r="Z333" s="1"/>
    </row>
    <row r="334">
      <c r="A334" s="1"/>
      <c r="B334" s="32"/>
      <c r="C334" s="1"/>
      <c r="D334" s="1"/>
      <c r="E334" s="1"/>
      <c r="F334" s="1"/>
      <c r="G334" s="1"/>
      <c r="H334" s="32"/>
      <c r="I334" s="1"/>
      <c r="J334" s="1"/>
      <c r="K334" s="1"/>
      <c r="L334" s="1"/>
      <c r="M334" s="1"/>
      <c r="N334" s="1"/>
      <c r="O334" s="1"/>
      <c r="P334" s="1"/>
      <c r="Q334" s="1"/>
      <c r="R334" s="1"/>
      <c r="S334" s="1"/>
      <c r="T334" s="1"/>
      <c r="U334" s="1"/>
      <c r="V334" s="1"/>
      <c r="W334" s="1"/>
      <c r="X334" s="1"/>
      <c r="Y334" s="1"/>
      <c r="Z334" s="1"/>
    </row>
    <row r="335">
      <c r="A335" s="1"/>
      <c r="B335" s="32"/>
      <c r="C335" s="1"/>
      <c r="D335" s="1"/>
      <c r="E335" s="1"/>
      <c r="F335" s="1"/>
      <c r="G335" s="1"/>
      <c r="H335" s="32"/>
      <c r="I335" s="1"/>
      <c r="J335" s="1"/>
      <c r="K335" s="1"/>
      <c r="L335" s="1"/>
      <c r="M335" s="1"/>
      <c r="N335" s="1"/>
      <c r="O335" s="1"/>
      <c r="P335" s="1"/>
      <c r="Q335" s="1"/>
      <c r="R335" s="1"/>
      <c r="S335" s="1"/>
      <c r="T335" s="1"/>
      <c r="U335" s="1"/>
      <c r="V335" s="1"/>
      <c r="W335" s="1"/>
      <c r="X335" s="1"/>
      <c r="Y335" s="1"/>
      <c r="Z335" s="1"/>
    </row>
    <row r="336">
      <c r="A336" s="1"/>
      <c r="B336" s="32"/>
      <c r="C336" s="1"/>
      <c r="D336" s="1"/>
      <c r="E336" s="1"/>
      <c r="F336" s="1"/>
      <c r="G336" s="1"/>
      <c r="H336" s="32"/>
      <c r="I336" s="1"/>
      <c r="J336" s="1"/>
      <c r="K336" s="1"/>
      <c r="L336" s="1"/>
      <c r="M336" s="1"/>
      <c r="N336" s="1"/>
      <c r="O336" s="1"/>
      <c r="P336" s="1"/>
      <c r="Q336" s="1"/>
      <c r="R336" s="1"/>
      <c r="S336" s="1"/>
      <c r="T336" s="1"/>
      <c r="U336" s="1"/>
      <c r="V336" s="1"/>
      <c r="W336" s="1"/>
      <c r="X336" s="1"/>
      <c r="Y336" s="1"/>
      <c r="Z336" s="1"/>
    </row>
    <row r="337">
      <c r="A337" s="1"/>
      <c r="B337" s="32"/>
      <c r="C337" s="1"/>
      <c r="D337" s="1"/>
      <c r="E337" s="1"/>
      <c r="F337" s="1"/>
      <c r="G337" s="1"/>
      <c r="H337" s="32"/>
      <c r="I337" s="1"/>
      <c r="J337" s="1"/>
      <c r="K337" s="1"/>
      <c r="L337" s="1"/>
      <c r="M337" s="1"/>
      <c r="N337" s="1"/>
      <c r="O337" s="1"/>
      <c r="P337" s="1"/>
      <c r="Q337" s="1"/>
      <c r="R337" s="1"/>
      <c r="S337" s="1"/>
      <c r="T337" s="1"/>
      <c r="U337" s="1"/>
      <c r="V337" s="1"/>
      <c r="W337" s="1"/>
      <c r="X337" s="1"/>
      <c r="Y337" s="1"/>
      <c r="Z337" s="1"/>
    </row>
    <row r="338">
      <c r="A338" s="1"/>
      <c r="B338" s="32"/>
      <c r="C338" s="1"/>
      <c r="D338" s="1"/>
      <c r="E338" s="1"/>
      <c r="F338" s="1"/>
      <c r="G338" s="1"/>
      <c r="H338" s="32"/>
      <c r="I338" s="1"/>
      <c r="J338" s="1"/>
      <c r="K338" s="1"/>
      <c r="L338" s="1"/>
      <c r="M338" s="1"/>
      <c r="N338" s="1"/>
      <c r="O338" s="1"/>
      <c r="P338" s="1"/>
      <c r="Q338" s="1"/>
      <c r="R338" s="1"/>
      <c r="S338" s="1"/>
      <c r="T338" s="1"/>
      <c r="U338" s="1"/>
      <c r="V338" s="1"/>
      <c r="W338" s="1"/>
      <c r="X338" s="1"/>
      <c r="Y338" s="1"/>
      <c r="Z338" s="1"/>
    </row>
    <row r="339">
      <c r="A339" s="1"/>
      <c r="B339" s="32"/>
      <c r="C339" s="1"/>
      <c r="D339" s="1"/>
      <c r="E339" s="1"/>
      <c r="F339" s="1"/>
      <c r="G339" s="1"/>
      <c r="H339" s="32"/>
      <c r="I339" s="1"/>
      <c r="J339" s="1"/>
      <c r="K339" s="1"/>
      <c r="L339" s="1"/>
      <c r="M339" s="1"/>
      <c r="N339" s="1"/>
      <c r="O339" s="1"/>
      <c r="P339" s="1"/>
      <c r="Q339" s="1"/>
      <c r="R339" s="1"/>
      <c r="S339" s="1"/>
      <c r="T339" s="1"/>
      <c r="U339" s="1"/>
      <c r="V339" s="1"/>
      <c r="W339" s="1"/>
      <c r="X339" s="1"/>
      <c r="Y339" s="1"/>
      <c r="Z339" s="1"/>
    </row>
    <row r="340">
      <c r="A340" s="1"/>
      <c r="B340" s="32"/>
      <c r="C340" s="1"/>
      <c r="D340" s="1"/>
      <c r="E340" s="1"/>
      <c r="F340" s="1"/>
      <c r="G340" s="1"/>
      <c r="H340" s="32"/>
      <c r="I340" s="1"/>
      <c r="J340" s="1"/>
      <c r="K340" s="1"/>
      <c r="L340" s="1"/>
      <c r="M340" s="1"/>
      <c r="N340" s="1"/>
      <c r="O340" s="1"/>
      <c r="P340" s="1"/>
      <c r="Q340" s="1"/>
      <c r="R340" s="1"/>
      <c r="S340" s="1"/>
      <c r="T340" s="1"/>
      <c r="U340" s="1"/>
      <c r="V340" s="1"/>
      <c r="W340" s="1"/>
      <c r="X340" s="1"/>
      <c r="Y340" s="1"/>
      <c r="Z340" s="1"/>
    </row>
    <row r="341">
      <c r="A341" s="1"/>
      <c r="B341" s="32"/>
      <c r="C341" s="1"/>
      <c r="D341" s="1"/>
      <c r="E341" s="1"/>
      <c r="F341" s="1"/>
      <c r="G341" s="1"/>
      <c r="H341" s="32"/>
      <c r="I341" s="1"/>
      <c r="J341" s="1"/>
      <c r="K341" s="1"/>
      <c r="L341" s="1"/>
      <c r="M341" s="1"/>
      <c r="N341" s="1"/>
      <c r="O341" s="1"/>
      <c r="P341" s="1"/>
      <c r="Q341" s="1"/>
      <c r="R341" s="1"/>
      <c r="S341" s="1"/>
      <c r="T341" s="1"/>
      <c r="U341" s="1"/>
      <c r="V341" s="1"/>
      <c r="W341" s="1"/>
      <c r="X341" s="1"/>
      <c r="Y341" s="1"/>
      <c r="Z341" s="1"/>
    </row>
    <row r="342">
      <c r="A342" s="1"/>
      <c r="B342" s="32"/>
      <c r="C342" s="1"/>
      <c r="D342" s="1"/>
      <c r="E342" s="1"/>
      <c r="F342" s="1"/>
      <c r="G342" s="1"/>
      <c r="H342" s="32"/>
      <c r="I342" s="1"/>
      <c r="J342" s="1"/>
      <c r="K342" s="1"/>
      <c r="L342" s="1"/>
      <c r="M342" s="1"/>
      <c r="N342" s="1"/>
      <c r="O342" s="1"/>
      <c r="P342" s="1"/>
      <c r="Q342" s="1"/>
      <c r="R342" s="1"/>
      <c r="S342" s="1"/>
      <c r="T342" s="1"/>
      <c r="U342" s="1"/>
      <c r="V342" s="1"/>
      <c r="W342" s="1"/>
      <c r="X342" s="1"/>
      <c r="Y342" s="1"/>
      <c r="Z342" s="1"/>
    </row>
    <row r="343">
      <c r="A343" s="1"/>
      <c r="B343" s="32"/>
      <c r="C343" s="1"/>
      <c r="D343" s="1"/>
      <c r="E343" s="1"/>
      <c r="F343" s="1"/>
      <c r="G343" s="1"/>
      <c r="H343" s="32"/>
      <c r="I343" s="1"/>
      <c r="J343" s="1"/>
      <c r="K343" s="1"/>
      <c r="L343" s="1"/>
      <c r="M343" s="1"/>
      <c r="N343" s="1"/>
      <c r="O343" s="1"/>
      <c r="P343" s="1"/>
      <c r="Q343" s="1"/>
      <c r="R343" s="1"/>
      <c r="S343" s="1"/>
      <c r="T343" s="1"/>
      <c r="U343" s="1"/>
      <c r="V343" s="1"/>
      <c r="W343" s="1"/>
      <c r="X343" s="1"/>
      <c r="Y343" s="1"/>
      <c r="Z343" s="1"/>
    </row>
    <row r="344">
      <c r="A344" s="1"/>
      <c r="B344" s="32"/>
      <c r="C344" s="1"/>
      <c r="D344" s="1"/>
      <c r="E344" s="1"/>
      <c r="F344" s="1"/>
      <c r="G344" s="1"/>
      <c r="H344" s="32"/>
      <c r="I344" s="1"/>
      <c r="J344" s="1"/>
      <c r="K344" s="1"/>
      <c r="L344" s="1"/>
      <c r="M344" s="1"/>
      <c r="N344" s="1"/>
      <c r="O344" s="1"/>
      <c r="P344" s="1"/>
      <c r="Q344" s="1"/>
      <c r="R344" s="1"/>
      <c r="S344" s="1"/>
      <c r="T344" s="1"/>
      <c r="U344" s="1"/>
      <c r="V344" s="1"/>
      <c r="W344" s="1"/>
      <c r="X344" s="1"/>
      <c r="Y344" s="1"/>
      <c r="Z344" s="1"/>
    </row>
    <row r="345">
      <c r="A345" s="1"/>
      <c r="B345" s="32"/>
      <c r="C345" s="1"/>
      <c r="D345" s="1"/>
      <c r="E345" s="1"/>
      <c r="F345" s="1"/>
      <c r="G345" s="1"/>
      <c r="H345" s="32"/>
      <c r="I345" s="1"/>
      <c r="J345" s="1"/>
      <c r="K345" s="1"/>
      <c r="L345" s="1"/>
      <c r="M345" s="1"/>
      <c r="N345" s="1"/>
      <c r="O345" s="1"/>
      <c r="P345" s="1"/>
      <c r="Q345" s="1"/>
      <c r="R345" s="1"/>
      <c r="S345" s="1"/>
      <c r="T345" s="1"/>
      <c r="U345" s="1"/>
      <c r="V345" s="1"/>
      <c r="W345" s="1"/>
      <c r="X345" s="1"/>
      <c r="Y345" s="1"/>
      <c r="Z345" s="1"/>
    </row>
    <row r="346">
      <c r="A346" s="1"/>
      <c r="B346" s="32"/>
      <c r="C346" s="1"/>
      <c r="D346" s="1"/>
      <c r="E346" s="1"/>
      <c r="F346" s="1"/>
      <c r="G346" s="1"/>
      <c r="H346" s="32"/>
      <c r="I346" s="1"/>
      <c r="J346" s="1"/>
      <c r="K346" s="1"/>
      <c r="L346" s="1"/>
      <c r="M346" s="1"/>
      <c r="N346" s="1"/>
      <c r="O346" s="1"/>
      <c r="P346" s="1"/>
      <c r="Q346" s="1"/>
      <c r="R346" s="1"/>
      <c r="S346" s="1"/>
      <c r="T346" s="1"/>
      <c r="U346" s="1"/>
      <c r="V346" s="1"/>
      <c r="W346" s="1"/>
      <c r="X346" s="1"/>
      <c r="Y346" s="1"/>
      <c r="Z346" s="1"/>
    </row>
    <row r="347">
      <c r="A347" s="1"/>
      <c r="B347" s="32"/>
      <c r="C347" s="1"/>
      <c r="D347" s="1"/>
      <c r="E347" s="1"/>
      <c r="F347" s="1"/>
      <c r="G347" s="1"/>
      <c r="H347" s="32"/>
      <c r="I347" s="1"/>
      <c r="J347" s="1"/>
      <c r="K347" s="1"/>
      <c r="L347" s="1"/>
      <c r="M347" s="1"/>
      <c r="N347" s="1"/>
      <c r="O347" s="1"/>
      <c r="P347" s="1"/>
      <c r="Q347" s="1"/>
      <c r="R347" s="1"/>
      <c r="S347" s="1"/>
      <c r="T347" s="1"/>
      <c r="U347" s="1"/>
      <c r="V347" s="1"/>
      <c r="W347" s="1"/>
      <c r="X347" s="1"/>
      <c r="Y347" s="1"/>
      <c r="Z347" s="1"/>
    </row>
    <row r="348">
      <c r="A348" s="1"/>
      <c r="B348" s="32"/>
      <c r="C348" s="1"/>
      <c r="D348" s="1"/>
      <c r="E348" s="1"/>
      <c r="F348" s="1"/>
      <c r="G348" s="1"/>
      <c r="H348" s="32"/>
      <c r="I348" s="1"/>
      <c r="J348" s="1"/>
      <c r="K348" s="1"/>
      <c r="L348" s="1"/>
      <c r="M348" s="1"/>
      <c r="N348" s="1"/>
      <c r="O348" s="1"/>
      <c r="P348" s="1"/>
      <c r="Q348" s="1"/>
      <c r="R348" s="1"/>
      <c r="S348" s="1"/>
      <c r="T348" s="1"/>
      <c r="U348" s="1"/>
      <c r="V348" s="1"/>
      <c r="W348" s="1"/>
      <c r="X348" s="1"/>
      <c r="Y348" s="1"/>
      <c r="Z348" s="1"/>
    </row>
    <row r="349">
      <c r="A349" s="1"/>
      <c r="B349" s="32"/>
      <c r="C349" s="1"/>
      <c r="D349" s="1"/>
      <c r="E349" s="1"/>
      <c r="F349" s="1"/>
      <c r="G349" s="1"/>
      <c r="H349" s="32"/>
      <c r="I349" s="1"/>
      <c r="J349" s="1"/>
      <c r="K349" s="1"/>
      <c r="L349" s="1"/>
      <c r="M349" s="1"/>
      <c r="N349" s="1"/>
      <c r="O349" s="1"/>
      <c r="P349" s="1"/>
      <c r="Q349" s="1"/>
      <c r="R349" s="1"/>
      <c r="S349" s="1"/>
      <c r="T349" s="1"/>
      <c r="U349" s="1"/>
      <c r="V349" s="1"/>
      <c r="W349" s="1"/>
      <c r="X349" s="1"/>
      <c r="Y349" s="1"/>
      <c r="Z349" s="1"/>
    </row>
    <row r="350">
      <c r="A350" s="1"/>
      <c r="B350" s="32"/>
      <c r="C350" s="1"/>
      <c r="D350" s="1"/>
      <c r="E350" s="1"/>
      <c r="F350" s="1"/>
      <c r="G350" s="1"/>
      <c r="H350" s="32"/>
      <c r="I350" s="1"/>
      <c r="J350" s="1"/>
      <c r="K350" s="1"/>
      <c r="L350" s="1"/>
      <c r="M350" s="1"/>
      <c r="N350" s="1"/>
      <c r="O350" s="1"/>
      <c r="P350" s="1"/>
      <c r="Q350" s="1"/>
      <c r="R350" s="1"/>
      <c r="S350" s="1"/>
      <c r="T350" s="1"/>
      <c r="U350" s="1"/>
      <c r="V350" s="1"/>
      <c r="W350" s="1"/>
      <c r="X350" s="1"/>
      <c r="Y350" s="1"/>
      <c r="Z350" s="1"/>
    </row>
    <row r="351">
      <c r="A351" s="1"/>
      <c r="B351" s="32"/>
      <c r="C351" s="1"/>
      <c r="D351" s="1"/>
      <c r="E351" s="1"/>
      <c r="F351" s="1"/>
      <c r="G351" s="1"/>
      <c r="H351" s="32"/>
      <c r="I351" s="1"/>
      <c r="J351" s="1"/>
      <c r="K351" s="1"/>
      <c r="L351" s="1"/>
      <c r="M351" s="1"/>
      <c r="N351" s="1"/>
      <c r="O351" s="1"/>
      <c r="P351" s="1"/>
      <c r="Q351" s="1"/>
      <c r="R351" s="1"/>
      <c r="S351" s="1"/>
      <c r="T351" s="1"/>
      <c r="U351" s="1"/>
      <c r="V351" s="1"/>
      <c r="W351" s="1"/>
      <c r="X351" s="1"/>
      <c r="Y351" s="1"/>
      <c r="Z351" s="1"/>
    </row>
    <row r="352">
      <c r="A352" s="1"/>
      <c r="B352" s="32"/>
      <c r="C352" s="1"/>
      <c r="D352" s="1"/>
      <c r="E352" s="1"/>
      <c r="F352" s="1"/>
      <c r="G352" s="1"/>
      <c r="H352" s="32"/>
      <c r="I352" s="1"/>
      <c r="J352" s="1"/>
      <c r="K352" s="1"/>
      <c r="L352" s="1"/>
      <c r="M352" s="1"/>
      <c r="N352" s="1"/>
      <c r="O352" s="1"/>
      <c r="P352" s="1"/>
      <c r="Q352" s="1"/>
      <c r="R352" s="1"/>
      <c r="S352" s="1"/>
      <c r="T352" s="1"/>
      <c r="U352" s="1"/>
      <c r="V352" s="1"/>
      <c r="W352" s="1"/>
      <c r="X352" s="1"/>
      <c r="Y352" s="1"/>
      <c r="Z352" s="1"/>
    </row>
    <row r="353">
      <c r="A353" s="1"/>
      <c r="B353" s="32"/>
      <c r="C353" s="1"/>
      <c r="D353" s="1"/>
      <c r="E353" s="1"/>
      <c r="F353" s="1"/>
      <c r="G353" s="1"/>
      <c r="H353" s="32"/>
      <c r="I353" s="1"/>
      <c r="J353" s="1"/>
      <c r="K353" s="1"/>
      <c r="L353" s="1"/>
      <c r="M353" s="1"/>
      <c r="N353" s="1"/>
      <c r="O353" s="1"/>
      <c r="P353" s="1"/>
      <c r="Q353" s="1"/>
      <c r="R353" s="1"/>
      <c r="S353" s="1"/>
      <c r="T353" s="1"/>
      <c r="U353" s="1"/>
      <c r="V353" s="1"/>
      <c r="W353" s="1"/>
      <c r="X353" s="1"/>
      <c r="Y353" s="1"/>
      <c r="Z353" s="1"/>
    </row>
    <row r="354">
      <c r="A354" s="1"/>
      <c r="B354" s="32"/>
      <c r="C354" s="1"/>
      <c r="D354" s="1"/>
      <c r="E354" s="1"/>
      <c r="F354" s="1"/>
      <c r="G354" s="1"/>
      <c r="H354" s="32"/>
      <c r="I354" s="1"/>
      <c r="J354" s="1"/>
      <c r="K354" s="1"/>
      <c r="L354" s="1"/>
      <c r="M354" s="1"/>
      <c r="N354" s="1"/>
      <c r="O354" s="1"/>
      <c r="P354" s="1"/>
      <c r="Q354" s="1"/>
      <c r="R354" s="1"/>
      <c r="S354" s="1"/>
      <c r="T354" s="1"/>
      <c r="U354" s="1"/>
      <c r="V354" s="1"/>
      <c r="W354" s="1"/>
      <c r="X354" s="1"/>
      <c r="Y354" s="1"/>
      <c r="Z354" s="1"/>
    </row>
    <row r="355">
      <c r="A355" s="1"/>
      <c r="B355" s="32"/>
      <c r="C355" s="1"/>
      <c r="D355" s="1"/>
      <c r="E355" s="1"/>
      <c r="F355" s="1"/>
      <c r="G355" s="1"/>
      <c r="H355" s="32"/>
      <c r="I355" s="1"/>
      <c r="J355" s="1"/>
      <c r="K355" s="1"/>
      <c r="L355" s="1"/>
      <c r="M355" s="1"/>
      <c r="N355" s="1"/>
      <c r="O355" s="1"/>
      <c r="P355" s="1"/>
      <c r="Q355" s="1"/>
      <c r="R355" s="1"/>
      <c r="S355" s="1"/>
      <c r="T355" s="1"/>
      <c r="U355" s="1"/>
      <c r="V355" s="1"/>
      <c r="W355" s="1"/>
      <c r="X355" s="1"/>
      <c r="Y355" s="1"/>
      <c r="Z355" s="1"/>
    </row>
    <row r="356">
      <c r="A356" s="1"/>
      <c r="B356" s="32"/>
      <c r="C356" s="1"/>
      <c r="D356" s="1"/>
      <c r="E356" s="1"/>
      <c r="F356" s="1"/>
      <c r="G356" s="1"/>
      <c r="H356" s="32"/>
      <c r="I356" s="1"/>
      <c r="J356" s="1"/>
      <c r="K356" s="1"/>
      <c r="L356" s="1"/>
      <c r="M356" s="1"/>
      <c r="N356" s="1"/>
      <c r="O356" s="1"/>
      <c r="P356" s="1"/>
      <c r="Q356" s="1"/>
      <c r="R356" s="1"/>
      <c r="S356" s="1"/>
      <c r="T356" s="1"/>
      <c r="U356" s="1"/>
      <c r="V356" s="1"/>
      <c r="W356" s="1"/>
      <c r="X356" s="1"/>
      <c r="Y356" s="1"/>
      <c r="Z356" s="1"/>
    </row>
    <row r="357">
      <c r="A357" s="1"/>
      <c r="B357" s="32"/>
      <c r="C357" s="1"/>
      <c r="D357" s="1"/>
      <c r="E357" s="1"/>
      <c r="F357" s="1"/>
      <c r="G357" s="1"/>
      <c r="H357" s="32"/>
      <c r="I357" s="1"/>
      <c r="J357" s="1"/>
      <c r="K357" s="1"/>
      <c r="L357" s="1"/>
      <c r="M357" s="1"/>
      <c r="N357" s="1"/>
      <c r="O357" s="1"/>
      <c r="P357" s="1"/>
      <c r="Q357" s="1"/>
      <c r="R357" s="1"/>
      <c r="S357" s="1"/>
      <c r="T357" s="1"/>
      <c r="U357" s="1"/>
      <c r="V357" s="1"/>
      <c r="W357" s="1"/>
      <c r="X357" s="1"/>
      <c r="Y357" s="1"/>
      <c r="Z357" s="1"/>
    </row>
    <row r="358">
      <c r="A358" s="1"/>
      <c r="B358" s="32"/>
      <c r="C358" s="1"/>
      <c r="D358" s="1"/>
      <c r="E358" s="1"/>
      <c r="F358" s="1"/>
      <c r="G358" s="1"/>
      <c r="H358" s="32"/>
      <c r="I358" s="1"/>
      <c r="J358" s="1"/>
      <c r="K358" s="1"/>
      <c r="L358" s="1"/>
      <c r="M358" s="1"/>
      <c r="N358" s="1"/>
      <c r="O358" s="1"/>
      <c r="P358" s="1"/>
      <c r="Q358" s="1"/>
      <c r="R358" s="1"/>
      <c r="S358" s="1"/>
      <c r="T358" s="1"/>
      <c r="U358" s="1"/>
      <c r="V358" s="1"/>
      <c r="W358" s="1"/>
      <c r="X358" s="1"/>
      <c r="Y358" s="1"/>
      <c r="Z358" s="1"/>
    </row>
    <row r="359">
      <c r="A359" s="1"/>
      <c r="B359" s="32"/>
      <c r="C359" s="1"/>
      <c r="D359" s="1"/>
      <c r="E359" s="1"/>
      <c r="F359" s="1"/>
      <c r="G359" s="1"/>
      <c r="H359" s="32"/>
      <c r="I359" s="1"/>
      <c r="J359" s="1"/>
      <c r="K359" s="1"/>
      <c r="L359" s="1"/>
      <c r="M359" s="1"/>
      <c r="N359" s="1"/>
      <c r="O359" s="1"/>
      <c r="P359" s="1"/>
      <c r="Q359" s="1"/>
      <c r="R359" s="1"/>
      <c r="S359" s="1"/>
      <c r="T359" s="1"/>
      <c r="U359" s="1"/>
      <c r="V359" s="1"/>
      <c r="W359" s="1"/>
      <c r="X359" s="1"/>
      <c r="Y359" s="1"/>
      <c r="Z359" s="1"/>
    </row>
    <row r="360">
      <c r="A360" s="1"/>
      <c r="B360" s="32"/>
      <c r="C360" s="1"/>
      <c r="D360" s="1"/>
      <c r="E360" s="1"/>
      <c r="F360" s="1"/>
      <c r="G360" s="1"/>
      <c r="H360" s="32"/>
      <c r="I360" s="1"/>
      <c r="J360" s="1"/>
      <c r="K360" s="1"/>
      <c r="L360" s="1"/>
      <c r="M360" s="1"/>
      <c r="N360" s="1"/>
      <c r="O360" s="1"/>
      <c r="P360" s="1"/>
      <c r="Q360" s="1"/>
      <c r="R360" s="1"/>
      <c r="S360" s="1"/>
      <c r="T360" s="1"/>
      <c r="U360" s="1"/>
      <c r="V360" s="1"/>
      <c r="W360" s="1"/>
      <c r="X360" s="1"/>
      <c r="Y360" s="1"/>
      <c r="Z360" s="1"/>
    </row>
    <row r="361">
      <c r="A361" s="1"/>
      <c r="B361" s="32"/>
      <c r="C361" s="1"/>
      <c r="D361" s="1"/>
      <c r="E361" s="1"/>
      <c r="F361" s="1"/>
      <c r="G361" s="1"/>
      <c r="H361" s="32"/>
      <c r="I361" s="1"/>
      <c r="J361" s="1"/>
      <c r="K361" s="1"/>
      <c r="L361" s="1"/>
      <c r="M361" s="1"/>
      <c r="N361" s="1"/>
      <c r="O361" s="1"/>
      <c r="P361" s="1"/>
      <c r="Q361" s="1"/>
      <c r="R361" s="1"/>
      <c r="S361" s="1"/>
      <c r="T361" s="1"/>
      <c r="U361" s="1"/>
      <c r="V361" s="1"/>
      <c r="W361" s="1"/>
      <c r="X361" s="1"/>
      <c r="Y361" s="1"/>
      <c r="Z361" s="1"/>
    </row>
    <row r="362">
      <c r="A362" s="1"/>
      <c r="B362" s="32"/>
      <c r="C362" s="1"/>
      <c r="D362" s="1"/>
      <c r="E362" s="1"/>
      <c r="F362" s="1"/>
      <c r="G362" s="1"/>
      <c r="H362" s="32"/>
      <c r="I362" s="1"/>
      <c r="J362" s="1"/>
      <c r="K362" s="1"/>
      <c r="L362" s="1"/>
      <c r="M362" s="1"/>
      <c r="N362" s="1"/>
      <c r="O362" s="1"/>
      <c r="P362" s="1"/>
      <c r="Q362" s="1"/>
      <c r="R362" s="1"/>
      <c r="S362" s="1"/>
      <c r="T362" s="1"/>
      <c r="U362" s="1"/>
      <c r="V362" s="1"/>
      <c r="W362" s="1"/>
      <c r="X362" s="1"/>
      <c r="Y362" s="1"/>
      <c r="Z362" s="1"/>
    </row>
    <row r="363">
      <c r="A363" s="1"/>
      <c r="B363" s="32"/>
      <c r="C363" s="1"/>
      <c r="D363" s="1"/>
      <c r="E363" s="1"/>
      <c r="F363" s="1"/>
      <c r="G363" s="1"/>
      <c r="H363" s="32"/>
      <c r="I363" s="1"/>
      <c r="J363" s="1"/>
      <c r="K363" s="1"/>
      <c r="L363" s="1"/>
      <c r="M363" s="1"/>
      <c r="N363" s="1"/>
      <c r="O363" s="1"/>
      <c r="P363" s="1"/>
      <c r="Q363" s="1"/>
      <c r="R363" s="1"/>
      <c r="S363" s="1"/>
      <c r="T363" s="1"/>
      <c r="U363" s="1"/>
      <c r="V363" s="1"/>
      <c r="W363" s="1"/>
      <c r="X363" s="1"/>
      <c r="Y363" s="1"/>
      <c r="Z363" s="1"/>
    </row>
    <row r="364">
      <c r="A364" s="1"/>
      <c r="B364" s="32"/>
      <c r="C364" s="1"/>
      <c r="D364" s="1"/>
      <c r="E364" s="1"/>
      <c r="F364" s="1"/>
      <c r="G364" s="1"/>
      <c r="H364" s="32"/>
      <c r="I364" s="1"/>
      <c r="J364" s="1"/>
      <c r="K364" s="1"/>
      <c r="L364" s="1"/>
      <c r="M364" s="1"/>
      <c r="N364" s="1"/>
      <c r="O364" s="1"/>
      <c r="P364" s="1"/>
      <c r="Q364" s="1"/>
      <c r="R364" s="1"/>
      <c r="S364" s="1"/>
      <c r="T364" s="1"/>
      <c r="U364" s="1"/>
      <c r="V364" s="1"/>
      <c r="W364" s="1"/>
      <c r="X364" s="1"/>
      <c r="Y364" s="1"/>
      <c r="Z364" s="1"/>
    </row>
    <row r="365">
      <c r="A365" s="1"/>
      <c r="B365" s="32"/>
      <c r="C365" s="1"/>
      <c r="D365" s="1"/>
      <c r="E365" s="1"/>
      <c r="F365" s="1"/>
      <c r="G365" s="1"/>
      <c r="H365" s="32"/>
      <c r="I365" s="1"/>
      <c r="J365" s="1"/>
      <c r="K365" s="1"/>
      <c r="L365" s="1"/>
      <c r="M365" s="1"/>
      <c r="N365" s="1"/>
      <c r="O365" s="1"/>
      <c r="P365" s="1"/>
      <c r="Q365" s="1"/>
      <c r="R365" s="1"/>
      <c r="S365" s="1"/>
      <c r="T365" s="1"/>
      <c r="U365" s="1"/>
      <c r="V365" s="1"/>
      <c r="W365" s="1"/>
      <c r="X365" s="1"/>
      <c r="Y365" s="1"/>
      <c r="Z365" s="1"/>
    </row>
    <row r="366">
      <c r="A366" s="1"/>
      <c r="B366" s="32"/>
      <c r="C366" s="1"/>
      <c r="D366" s="1"/>
      <c r="E366" s="1"/>
      <c r="F366" s="1"/>
      <c r="G366" s="1"/>
      <c r="H366" s="32"/>
      <c r="I366" s="1"/>
      <c r="J366" s="1"/>
      <c r="K366" s="1"/>
      <c r="L366" s="1"/>
      <c r="M366" s="1"/>
      <c r="N366" s="1"/>
      <c r="O366" s="1"/>
      <c r="P366" s="1"/>
      <c r="Q366" s="1"/>
      <c r="R366" s="1"/>
      <c r="S366" s="1"/>
      <c r="T366" s="1"/>
      <c r="U366" s="1"/>
      <c r="V366" s="1"/>
      <c r="W366" s="1"/>
      <c r="X366" s="1"/>
      <c r="Y366" s="1"/>
      <c r="Z366" s="1"/>
    </row>
    <row r="367">
      <c r="A367" s="1"/>
      <c r="B367" s="32"/>
      <c r="C367" s="1"/>
      <c r="D367" s="1"/>
      <c r="E367" s="1"/>
      <c r="F367" s="1"/>
      <c r="G367" s="1"/>
      <c r="H367" s="32"/>
      <c r="I367" s="1"/>
      <c r="J367" s="1"/>
      <c r="K367" s="1"/>
      <c r="L367" s="1"/>
      <c r="M367" s="1"/>
      <c r="N367" s="1"/>
      <c r="O367" s="1"/>
      <c r="P367" s="1"/>
      <c r="Q367" s="1"/>
      <c r="R367" s="1"/>
      <c r="S367" s="1"/>
      <c r="T367" s="1"/>
      <c r="U367" s="1"/>
      <c r="V367" s="1"/>
      <c r="W367" s="1"/>
      <c r="X367" s="1"/>
      <c r="Y367" s="1"/>
      <c r="Z367" s="1"/>
    </row>
    <row r="368">
      <c r="A368" s="1"/>
      <c r="B368" s="32"/>
      <c r="C368" s="1"/>
      <c r="D368" s="1"/>
      <c r="E368" s="1"/>
      <c r="F368" s="1"/>
      <c r="G368" s="1"/>
      <c r="H368" s="32"/>
      <c r="I368" s="1"/>
      <c r="J368" s="1"/>
      <c r="K368" s="1"/>
      <c r="L368" s="1"/>
      <c r="M368" s="1"/>
      <c r="N368" s="1"/>
      <c r="O368" s="1"/>
      <c r="P368" s="1"/>
      <c r="Q368" s="1"/>
      <c r="R368" s="1"/>
      <c r="S368" s="1"/>
      <c r="T368" s="1"/>
      <c r="U368" s="1"/>
      <c r="V368" s="1"/>
      <c r="W368" s="1"/>
      <c r="X368" s="1"/>
      <c r="Y368" s="1"/>
      <c r="Z368" s="1"/>
    </row>
    <row r="369">
      <c r="A369" s="1"/>
      <c r="B369" s="32"/>
      <c r="C369" s="1"/>
      <c r="D369" s="1"/>
      <c r="E369" s="1"/>
      <c r="F369" s="1"/>
      <c r="G369" s="1"/>
      <c r="H369" s="32"/>
      <c r="I369" s="1"/>
      <c r="J369" s="1"/>
      <c r="K369" s="1"/>
      <c r="L369" s="1"/>
      <c r="M369" s="1"/>
      <c r="N369" s="1"/>
      <c r="O369" s="1"/>
      <c r="P369" s="1"/>
      <c r="Q369" s="1"/>
      <c r="R369" s="1"/>
      <c r="S369" s="1"/>
      <c r="T369" s="1"/>
      <c r="U369" s="1"/>
      <c r="V369" s="1"/>
      <c r="W369" s="1"/>
      <c r="X369" s="1"/>
      <c r="Y369" s="1"/>
      <c r="Z369" s="1"/>
    </row>
    <row r="370">
      <c r="A370" s="1"/>
      <c r="B370" s="32"/>
      <c r="C370" s="1"/>
      <c r="D370" s="1"/>
      <c r="E370" s="1"/>
      <c r="F370" s="1"/>
      <c r="G370" s="1"/>
      <c r="H370" s="32"/>
      <c r="I370" s="1"/>
      <c r="J370" s="1"/>
      <c r="K370" s="1"/>
      <c r="L370" s="1"/>
      <c r="M370" s="1"/>
      <c r="N370" s="1"/>
      <c r="O370" s="1"/>
      <c r="P370" s="1"/>
      <c r="Q370" s="1"/>
      <c r="R370" s="1"/>
      <c r="S370" s="1"/>
      <c r="T370" s="1"/>
      <c r="U370" s="1"/>
      <c r="V370" s="1"/>
      <c r="W370" s="1"/>
      <c r="X370" s="1"/>
      <c r="Y370" s="1"/>
      <c r="Z370" s="1"/>
    </row>
    <row r="371">
      <c r="A371" s="1"/>
      <c r="B371" s="32"/>
      <c r="C371" s="1"/>
      <c r="D371" s="1"/>
      <c r="E371" s="1"/>
      <c r="F371" s="1"/>
      <c r="G371" s="1"/>
      <c r="H371" s="32"/>
      <c r="I371" s="1"/>
      <c r="J371" s="1"/>
      <c r="K371" s="1"/>
      <c r="L371" s="1"/>
      <c r="M371" s="1"/>
      <c r="N371" s="1"/>
      <c r="O371" s="1"/>
      <c r="P371" s="1"/>
      <c r="Q371" s="1"/>
      <c r="R371" s="1"/>
      <c r="S371" s="1"/>
      <c r="T371" s="1"/>
      <c r="U371" s="1"/>
      <c r="V371" s="1"/>
      <c r="W371" s="1"/>
      <c r="X371" s="1"/>
      <c r="Y371" s="1"/>
      <c r="Z371" s="1"/>
    </row>
    <row r="372">
      <c r="A372" s="1"/>
      <c r="B372" s="32"/>
      <c r="C372" s="1"/>
      <c r="D372" s="1"/>
      <c r="E372" s="1"/>
      <c r="F372" s="1"/>
      <c r="G372" s="1"/>
      <c r="H372" s="32"/>
      <c r="I372" s="1"/>
      <c r="J372" s="1"/>
      <c r="K372" s="1"/>
      <c r="L372" s="1"/>
      <c r="M372" s="1"/>
      <c r="N372" s="1"/>
      <c r="O372" s="1"/>
      <c r="P372" s="1"/>
      <c r="Q372" s="1"/>
      <c r="R372" s="1"/>
      <c r="S372" s="1"/>
      <c r="T372" s="1"/>
      <c r="U372" s="1"/>
      <c r="V372" s="1"/>
      <c r="W372" s="1"/>
      <c r="X372" s="1"/>
      <c r="Y372" s="1"/>
      <c r="Z372" s="1"/>
    </row>
    <row r="373">
      <c r="A373" s="1"/>
      <c r="B373" s="32"/>
      <c r="C373" s="1"/>
      <c r="D373" s="1"/>
      <c r="E373" s="1"/>
      <c r="F373" s="1"/>
      <c r="G373" s="1"/>
      <c r="H373" s="32"/>
      <c r="I373" s="1"/>
      <c r="J373" s="1"/>
      <c r="K373" s="1"/>
      <c r="L373" s="1"/>
      <c r="M373" s="1"/>
      <c r="N373" s="1"/>
      <c r="O373" s="1"/>
      <c r="P373" s="1"/>
      <c r="Q373" s="1"/>
      <c r="R373" s="1"/>
      <c r="S373" s="1"/>
      <c r="T373" s="1"/>
      <c r="U373" s="1"/>
      <c r="V373" s="1"/>
      <c r="W373" s="1"/>
      <c r="X373" s="1"/>
      <c r="Y373" s="1"/>
      <c r="Z373" s="1"/>
    </row>
    <row r="374">
      <c r="A374" s="1"/>
      <c r="B374" s="32"/>
      <c r="C374" s="1"/>
      <c r="D374" s="1"/>
      <c r="E374" s="1"/>
      <c r="F374" s="1"/>
      <c r="G374" s="1"/>
      <c r="H374" s="32"/>
      <c r="I374" s="1"/>
      <c r="J374" s="1"/>
      <c r="K374" s="1"/>
      <c r="L374" s="1"/>
      <c r="M374" s="1"/>
      <c r="N374" s="1"/>
      <c r="O374" s="1"/>
      <c r="P374" s="1"/>
      <c r="Q374" s="1"/>
      <c r="R374" s="1"/>
      <c r="S374" s="1"/>
      <c r="T374" s="1"/>
      <c r="U374" s="1"/>
      <c r="V374" s="1"/>
      <c r="W374" s="1"/>
      <c r="X374" s="1"/>
      <c r="Y374" s="1"/>
      <c r="Z374" s="1"/>
    </row>
    <row r="375">
      <c r="A375" s="1"/>
      <c r="B375" s="32"/>
      <c r="C375" s="1"/>
      <c r="D375" s="1"/>
      <c r="E375" s="1"/>
      <c r="F375" s="1"/>
      <c r="G375" s="1"/>
      <c r="H375" s="32"/>
      <c r="I375" s="1"/>
      <c r="J375" s="1"/>
      <c r="K375" s="1"/>
      <c r="L375" s="1"/>
      <c r="M375" s="1"/>
      <c r="N375" s="1"/>
      <c r="O375" s="1"/>
      <c r="P375" s="1"/>
      <c r="Q375" s="1"/>
      <c r="R375" s="1"/>
      <c r="S375" s="1"/>
      <c r="T375" s="1"/>
      <c r="U375" s="1"/>
      <c r="V375" s="1"/>
      <c r="W375" s="1"/>
      <c r="X375" s="1"/>
      <c r="Y375" s="1"/>
      <c r="Z375" s="1"/>
    </row>
    <row r="376">
      <c r="A376" s="1"/>
      <c r="B376" s="32"/>
      <c r="C376" s="1"/>
      <c r="D376" s="1"/>
      <c r="E376" s="1"/>
      <c r="F376" s="1"/>
      <c r="G376" s="1"/>
      <c r="H376" s="32"/>
      <c r="I376" s="1"/>
      <c r="J376" s="1"/>
      <c r="K376" s="1"/>
      <c r="L376" s="1"/>
      <c r="M376" s="1"/>
      <c r="N376" s="1"/>
      <c r="O376" s="1"/>
      <c r="P376" s="1"/>
      <c r="Q376" s="1"/>
      <c r="R376" s="1"/>
      <c r="S376" s="1"/>
      <c r="T376" s="1"/>
      <c r="U376" s="1"/>
      <c r="V376" s="1"/>
      <c r="W376" s="1"/>
      <c r="X376" s="1"/>
      <c r="Y376" s="1"/>
      <c r="Z376" s="1"/>
    </row>
    <row r="377">
      <c r="A377" s="1"/>
      <c r="B377" s="32"/>
      <c r="C377" s="1"/>
      <c r="D377" s="1"/>
      <c r="E377" s="1"/>
      <c r="F377" s="1"/>
      <c r="G377" s="1"/>
      <c r="H377" s="32"/>
      <c r="I377" s="1"/>
      <c r="J377" s="1"/>
      <c r="K377" s="1"/>
      <c r="L377" s="1"/>
      <c r="M377" s="1"/>
      <c r="N377" s="1"/>
      <c r="O377" s="1"/>
      <c r="P377" s="1"/>
      <c r="Q377" s="1"/>
      <c r="R377" s="1"/>
      <c r="S377" s="1"/>
      <c r="T377" s="1"/>
      <c r="U377" s="1"/>
      <c r="V377" s="1"/>
      <c r="W377" s="1"/>
      <c r="X377" s="1"/>
      <c r="Y377" s="1"/>
      <c r="Z377" s="1"/>
    </row>
    <row r="378">
      <c r="A378" s="1"/>
      <c r="B378" s="32"/>
      <c r="C378" s="1"/>
      <c r="D378" s="1"/>
      <c r="E378" s="1"/>
      <c r="F378" s="1"/>
      <c r="G378" s="1"/>
      <c r="H378" s="32"/>
      <c r="I378" s="1"/>
      <c r="J378" s="1"/>
      <c r="K378" s="1"/>
      <c r="L378" s="1"/>
      <c r="M378" s="1"/>
      <c r="N378" s="1"/>
      <c r="O378" s="1"/>
      <c r="P378" s="1"/>
      <c r="Q378" s="1"/>
      <c r="R378" s="1"/>
      <c r="S378" s="1"/>
      <c r="T378" s="1"/>
      <c r="U378" s="1"/>
      <c r="V378" s="1"/>
      <c r="W378" s="1"/>
      <c r="X378" s="1"/>
      <c r="Y378" s="1"/>
      <c r="Z378" s="1"/>
    </row>
    <row r="379">
      <c r="A379" s="1"/>
      <c r="B379" s="32"/>
      <c r="C379" s="1"/>
      <c r="D379" s="1"/>
      <c r="E379" s="1"/>
      <c r="F379" s="1"/>
      <c r="G379" s="1"/>
      <c r="H379" s="32"/>
      <c r="I379" s="1"/>
      <c r="J379" s="1"/>
      <c r="K379" s="1"/>
      <c r="L379" s="1"/>
      <c r="M379" s="1"/>
      <c r="N379" s="1"/>
      <c r="O379" s="1"/>
      <c r="P379" s="1"/>
      <c r="Q379" s="1"/>
      <c r="R379" s="1"/>
      <c r="S379" s="1"/>
      <c r="T379" s="1"/>
      <c r="U379" s="1"/>
      <c r="V379" s="1"/>
      <c r="W379" s="1"/>
      <c r="X379" s="1"/>
      <c r="Y379" s="1"/>
      <c r="Z379" s="1"/>
    </row>
    <row r="380">
      <c r="A380" s="1"/>
      <c r="B380" s="32"/>
      <c r="C380" s="1"/>
      <c r="D380" s="1"/>
      <c r="E380" s="1"/>
      <c r="F380" s="1"/>
      <c r="G380" s="1"/>
      <c r="H380" s="32"/>
      <c r="I380" s="1"/>
      <c r="J380" s="1"/>
      <c r="K380" s="1"/>
      <c r="L380" s="1"/>
      <c r="M380" s="1"/>
      <c r="N380" s="1"/>
      <c r="O380" s="1"/>
      <c r="P380" s="1"/>
      <c r="Q380" s="1"/>
      <c r="R380" s="1"/>
      <c r="S380" s="1"/>
      <c r="T380" s="1"/>
      <c r="U380" s="1"/>
      <c r="V380" s="1"/>
      <c r="W380" s="1"/>
      <c r="X380" s="1"/>
      <c r="Y380" s="1"/>
      <c r="Z380" s="1"/>
    </row>
    <row r="381">
      <c r="A381" s="1"/>
      <c r="B381" s="32"/>
      <c r="C381" s="1"/>
      <c r="D381" s="1"/>
      <c r="E381" s="1"/>
      <c r="F381" s="1"/>
      <c r="G381" s="1"/>
      <c r="H381" s="32"/>
      <c r="I381" s="1"/>
      <c r="J381" s="1"/>
      <c r="K381" s="1"/>
      <c r="L381" s="1"/>
      <c r="M381" s="1"/>
      <c r="N381" s="1"/>
      <c r="O381" s="1"/>
      <c r="P381" s="1"/>
      <c r="Q381" s="1"/>
      <c r="R381" s="1"/>
      <c r="S381" s="1"/>
      <c r="T381" s="1"/>
      <c r="U381" s="1"/>
      <c r="V381" s="1"/>
      <c r="W381" s="1"/>
      <c r="X381" s="1"/>
      <c r="Y381" s="1"/>
      <c r="Z381" s="1"/>
    </row>
    <row r="382">
      <c r="A382" s="1"/>
      <c r="B382" s="32"/>
      <c r="C382" s="1"/>
      <c r="D382" s="1"/>
      <c r="E382" s="1"/>
      <c r="F382" s="1"/>
      <c r="G382" s="1"/>
      <c r="H382" s="32"/>
      <c r="I382" s="1"/>
      <c r="J382" s="1"/>
      <c r="K382" s="1"/>
      <c r="L382" s="1"/>
      <c r="M382" s="1"/>
      <c r="N382" s="1"/>
      <c r="O382" s="1"/>
      <c r="P382" s="1"/>
      <c r="Q382" s="1"/>
      <c r="R382" s="1"/>
      <c r="S382" s="1"/>
      <c r="T382" s="1"/>
      <c r="U382" s="1"/>
      <c r="V382" s="1"/>
      <c r="W382" s="1"/>
      <c r="X382" s="1"/>
      <c r="Y382" s="1"/>
      <c r="Z382" s="1"/>
    </row>
    <row r="383">
      <c r="A383" s="1"/>
      <c r="B383" s="32"/>
      <c r="C383" s="1"/>
      <c r="D383" s="1"/>
      <c r="E383" s="1"/>
      <c r="F383" s="1"/>
      <c r="G383" s="1"/>
      <c r="H383" s="32"/>
      <c r="I383" s="1"/>
      <c r="J383" s="1"/>
      <c r="K383" s="1"/>
      <c r="L383" s="1"/>
      <c r="M383" s="1"/>
      <c r="N383" s="1"/>
      <c r="O383" s="1"/>
      <c r="P383" s="1"/>
      <c r="Q383" s="1"/>
      <c r="R383" s="1"/>
      <c r="S383" s="1"/>
      <c r="T383" s="1"/>
      <c r="U383" s="1"/>
      <c r="V383" s="1"/>
      <c r="W383" s="1"/>
      <c r="X383" s="1"/>
      <c r="Y383" s="1"/>
      <c r="Z383" s="1"/>
    </row>
    <row r="384">
      <c r="A384" s="1"/>
      <c r="B384" s="32"/>
      <c r="C384" s="1"/>
      <c r="D384" s="1"/>
      <c r="E384" s="1"/>
      <c r="F384" s="1"/>
      <c r="G384" s="1"/>
      <c r="H384" s="32"/>
      <c r="I384" s="1"/>
      <c r="J384" s="1"/>
      <c r="K384" s="1"/>
      <c r="L384" s="1"/>
      <c r="M384" s="1"/>
      <c r="N384" s="1"/>
      <c r="O384" s="1"/>
      <c r="P384" s="1"/>
      <c r="Q384" s="1"/>
      <c r="R384" s="1"/>
      <c r="S384" s="1"/>
      <c r="T384" s="1"/>
      <c r="U384" s="1"/>
      <c r="V384" s="1"/>
      <c r="W384" s="1"/>
      <c r="X384" s="1"/>
      <c r="Y384" s="1"/>
      <c r="Z384" s="1"/>
    </row>
    <row r="385">
      <c r="A385" s="1"/>
      <c r="B385" s="32"/>
      <c r="C385" s="1"/>
      <c r="D385" s="1"/>
      <c r="E385" s="1"/>
      <c r="F385" s="1"/>
      <c r="G385" s="1"/>
      <c r="H385" s="32"/>
      <c r="I385" s="1"/>
      <c r="J385" s="1"/>
      <c r="K385" s="1"/>
      <c r="L385" s="1"/>
      <c r="M385" s="1"/>
      <c r="N385" s="1"/>
      <c r="O385" s="1"/>
      <c r="P385" s="1"/>
      <c r="Q385" s="1"/>
      <c r="R385" s="1"/>
      <c r="S385" s="1"/>
      <c r="T385" s="1"/>
      <c r="U385" s="1"/>
      <c r="V385" s="1"/>
      <c r="W385" s="1"/>
      <c r="X385" s="1"/>
      <c r="Y385" s="1"/>
      <c r="Z385" s="1"/>
    </row>
    <row r="386">
      <c r="A386" s="1"/>
      <c r="B386" s="32"/>
      <c r="C386" s="1"/>
      <c r="D386" s="1"/>
      <c r="E386" s="1"/>
      <c r="F386" s="1"/>
      <c r="G386" s="1"/>
      <c r="H386" s="32"/>
      <c r="I386" s="1"/>
      <c r="J386" s="1"/>
      <c r="K386" s="1"/>
      <c r="L386" s="1"/>
      <c r="M386" s="1"/>
      <c r="N386" s="1"/>
      <c r="O386" s="1"/>
      <c r="P386" s="1"/>
      <c r="Q386" s="1"/>
      <c r="R386" s="1"/>
      <c r="S386" s="1"/>
      <c r="T386" s="1"/>
      <c r="U386" s="1"/>
      <c r="V386" s="1"/>
      <c r="W386" s="1"/>
      <c r="X386" s="1"/>
      <c r="Y386" s="1"/>
      <c r="Z386" s="1"/>
    </row>
    <row r="387">
      <c r="A387" s="1"/>
      <c r="B387" s="32"/>
      <c r="C387" s="1"/>
      <c r="D387" s="1"/>
      <c r="E387" s="1"/>
      <c r="F387" s="1"/>
      <c r="G387" s="1"/>
      <c r="H387" s="32"/>
      <c r="I387" s="1"/>
      <c r="J387" s="1"/>
      <c r="K387" s="1"/>
      <c r="L387" s="1"/>
      <c r="M387" s="1"/>
      <c r="N387" s="1"/>
      <c r="O387" s="1"/>
      <c r="P387" s="1"/>
      <c r="Q387" s="1"/>
      <c r="R387" s="1"/>
      <c r="S387" s="1"/>
      <c r="T387" s="1"/>
      <c r="U387" s="1"/>
      <c r="V387" s="1"/>
      <c r="W387" s="1"/>
      <c r="X387" s="1"/>
      <c r="Y387" s="1"/>
      <c r="Z387" s="1"/>
    </row>
    <row r="388">
      <c r="A388" s="1"/>
      <c r="B388" s="32"/>
      <c r="C388" s="1"/>
      <c r="D388" s="1"/>
      <c r="E388" s="1"/>
      <c r="F388" s="1"/>
      <c r="G388" s="1"/>
      <c r="H388" s="32"/>
      <c r="I388" s="1"/>
      <c r="J388" s="1"/>
      <c r="K388" s="1"/>
      <c r="L388" s="1"/>
      <c r="M388" s="1"/>
      <c r="N388" s="1"/>
      <c r="O388" s="1"/>
      <c r="P388" s="1"/>
      <c r="Q388" s="1"/>
      <c r="R388" s="1"/>
      <c r="S388" s="1"/>
      <c r="T388" s="1"/>
      <c r="U388" s="1"/>
      <c r="V388" s="1"/>
      <c r="W388" s="1"/>
      <c r="X388" s="1"/>
      <c r="Y388" s="1"/>
      <c r="Z388" s="1"/>
    </row>
    <row r="389">
      <c r="A389" s="1"/>
      <c r="B389" s="32"/>
      <c r="C389" s="1"/>
      <c r="D389" s="1"/>
      <c r="E389" s="1"/>
      <c r="F389" s="1"/>
      <c r="G389" s="1"/>
      <c r="H389" s="32"/>
      <c r="I389" s="1"/>
      <c r="J389" s="1"/>
      <c r="K389" s="1"/>
      <c r="L389" s="1"/>
      <c r="M389" s="1"/>
      <c r="N389" s="1"/>
      <c r="O389" s="1"/>
      <c r="P389" s="1"/>
      <c r="Q389" s="1"/>
      <c r="R389" s="1"/>
      <c r="S389" s="1"/>
      <c r="T389" s="1"/>
      <c r="U389" s="1"/>
      <c r="V389" s="1"/>
      <c r="W389" s="1"/>
      <c r="X389" s="1"/>
      <c r="Y389" s="1"/>
      <c r="Z389" s="1"/>
    </row>
    <row r="390">
      <c r="A390" s="1"/>
      <c r="B390" s="32"/>
      <c r="C390" s="1"/>
      <c r="D390" s="1"/>
      <c r="E390" s="1"/>
      <c r="F390" s="1"/>
      <c r="G390" s="1"/>
      <c r="H390" s="32"/>
      <c r="I390" s="1"/>
      <c r="J390" s="1"/>
      <c r="K390" s="1"/>
      <c r="L390" s="1"/>
      <c r="M390" s="1"/>
      <c r="N390" s="1"/>
      <c r="O390" s="1"/>
      <c r="P390" s="1"/>
      <c r="Q390" s="1"/>
      <c r="R390" s="1"/>
      <c r="S390" s="1"/>
      <c r="T390" s="1"/>
      <c r="U390" s="1"/>
      <c r="V390" s="1"/>
      <c r="W390" s="1"/>
      <c r="X390" s="1"/>
      <c r="Y390" s="1"/>
      <c r="Z390" s="1"/>
    </row>
    <row r="391">
      <c r="A391" s="1"/>
      <c r="B391" s="32"/>
      <c r="C391" s="1"/>
      <c r="D391" s="1"/>
      <c r="E391" s="1"/>
      <c r="F391" s="1"/>
      <c r="G391" s="1"/>
      <c r="H391" s="32"/>
      <c r="I391" s="1"/>
      <c r="J391" s="1"/>
      <c r="K391" s="1"/>
      <c r="L391" s="1"/>
      <c r="M391" s="1"/>
      <c r="N391" s="1"/>
      <c r="O391" s="1"/>
      <c r="P391" s="1"/>
      <c r="Q391" s="1"/>
      <c r="R391" s="1"/>
      <c r="S391" s="1"/>
      <c r="T391" s="1"/>
      <c r="U391" s="1"/>
      <c r="V391" s="1"/>
      <c r="W391" s="1"/>
      <c r="X391" s="1"/>
      <c r="Y391" s="1"/>
      <c r="Z391" s="1"/>
    </row>
    <row r="392">
      <c r="A392" s="1"/>
      <c r="B392" s="32"/>
      <c r="C392" s="1"/>
      <c r="D392" s="1"/>
      <c r="E392" s="1"/>
      <c r="F392" s="1"/>
      <c r="G392" s="1"/>
      <c r="H392" s="32"/>
      <c r="I392" s="1"/>
      <c r="J392" s="1"/>
      <c r="K392" s="1"/>
      <c r="L392" s="1"/>
      <c r="M392" s="1"/>
      <c r="N392" s="1"/>
      <c r="O392" s="1"/>
      <c r="P392" s="1"/>
      <c r="Q392" s="1"/>
      <c r="R392" s="1"/>
      <c r="S392" s="1"/>
      <c r="T392" s="1"/>
      <c r="U392" s="1"/>
      <c r="V392" s="1"/>
      <c r="W392" s="1"/>
      <c r="X392" s="1"/>
      <c r="Y392" s="1"/>
      <c r="Z392" s="1"/>
    </row>
    <row r="393">
      <c r="A393" s="1"/>
      <c r="B393" s="32"/>
      <c r="C393" s="1"/>
      <c r="D393" s="1"/>
      <c r="E393" s="1"/>
      <c r="F393" s="1"/>
      <c r="G393" s="1"/>
      <c r="H393" s="32"/>
      <c r="I393" s="1"/>
      <c r="J393" s="1"/>
      <c r="K393" s="1"/>
      <c r="L393" s="1"/>
      <c r="M393" s="1"/>
      <c r="N393" s="1"/>
      <c r="O393" s="1"/>
      <c r="P393" s="1"/>
      <c r="Q393" s="1"/>
      <c r="R393" s="1"/>
      <c r="S393" s="1"/>
      <c r="T393" s="1"/>
      <c r="U393" s="1"/>
      <c r="V393" s="1"/>
      <c r="W393" s="1"/>
      <c r="X393" s="1"/>
      <c r="Y393" s="1"/>
      <c r="Z393" s="1"/>
    </row>
    <row r="394">
      <c r="A394" s="1"/>
      <c r="B394" s="32"/>
      <c r="C394" s="1"/>
      <c r="D394" s="1"/>
      <c r="E394" s="1"/>
      <c r="F394" s="1"/>
      <c r="G394" s="1"/>
      <c r="H394" s="32"/>
      <c r="I394" s="1"/>
      <c r="J394" s="1"/>
      <c r="K394" s="1"/>
      <c r="L394" s="1"/>
      <c r="M394" s="1"/>
      <c r="N394" s="1"/>
      <c r="O394" s="1"/>
      <c r="P394" s="1"/>
      <c r="Q394" s="1"/>
      <c r="R394" s="1"/>
      <c r="S394" s="1"/>
      <c r="T394" s="1"/>
      <c r="U394" s="1"/>
      <c r="V394" s="1"/>
      <c r="W394" s="1"/>
      <c r="X394" s="1"/>
      <c r="Y394" s="1"/>
      <c r="Z394" s="1"/>
    </row>
    <row r="395">
      <c r="A395" s="1"/>
      <c r="B395" s="32"/>
      <c r="C395" s="1"/>
      <c r="D395" s="1"/>
      <c r="E395" s="1"/>
      <c r="F395" s="1"/>
      <c r="G395" s="1"/>
      <c r="H395" s="32"/>
      <c r="I395" s="1"/>
      <c r="J395" s="1"/>
      <c r="K395" s="1"/>
      <c r="L395" s="1"/>
      <c r="M395" s="1"/>
      <c r="N395" s="1"/>
      <c r="O395" s="1"/>
      <c r="P395" s="1"/>
      <c r="Q395" s="1"/>
      <c r="R395" s="1"/>
      <c r="S395" s="1"/>
      <c r="T395" s="1"/>
      <c r="U395" s="1"/>
      <c r="V395" s="1"/>
      <c r="W395" s="1"/>
      <c r="X395" s="1"/>
      <c r="Y395" s="1"/>
      <c r="Z395" s="1"/>
    </row>
    <row r="396">
      <c r="A396" s="1"/>
      <c r="B396" s="32"/>
      <c r="C396" s="1"/>
      <c r="D396" s="1"/>
      <c r="E396" s="1"/>
      <c r="F396" s="1"/>
      <c r="G396" s="1"/>
      <c r="H396" s="32"/>
      <c r="I396" s="1"/>
      <c r="J396" s="1"/>
      <c r="K396" s="1"/>
      <c r="L396" s="1"/>
      <c r="M396" s="1"/>
      <c r="N396" s="1"/>
      <c r="O396" s="1"/>
      <c r="P396" s="1"/>
      <c r="Q396" s="1"/>
      <c r="R396" s="1"/>
      <c r="S396" s="1"/>
      <c r="T396" s="1"/>
      <c r="U396" s="1"/>
      <c r="V396" s="1"/>
      <c r="W396" s="1"/>
      <c r="X396" s="1"/>
      <c r="Y396" s="1"/>
      <c r="Z396" s="1"/>
    </row>
    <row r="397">
      <c r="A397" s="1"/>
      <c r="B397" s="32"/>
      <c r="C397" s="1"/>
      <c r="D397" s="1"/>
      <c r="E397" s="1"/>
      <c r="F397" s="1"/>
      <c r="G397" s="1"/>
      <c r="H397" s="32"/>
      <c r="I397" s="1"/>
      <c r="J397" s="1"/>
      <c r="K397" s="1"/>
      <c r="L397" s="1"/>
      <c r="M397" s="1"/>
      <c r="N397" s="1"/>
      <c r="O397" s="1"/>
      <c r="P397" s="1"/>
      <c r="Q397" s="1"/>
      <c r="R397" s="1"/>
      <c r="S397" s="1"/>
      <c r="T397" s="1"/>
      <c r="U397" s="1"/>
      <c r="V397" s="1"/>
      <c r="W397" s="1"/>
      <c r="X397" s="1"/>
      <c r="Y397" s="1"/>
      <c r="Z397" s="1"/>
    </row>
    <row r="398">
      <c r="A398" s="1"/>
      <c r="B398" s="32"/>
      <c r="C398" s="1"/>
      <c r="D398" s="1"/>
      <c r="E398" s="1"/>
      <c r="F398" s="1"/>
      <c r="G398" s="1"/>
      <c r="H398" s="32"/>
      <c r="I398" s="1"/>
      <c r="J398" s="1"/>
      <c r="K398" s="1"/>
      <c r="L398" s="1"/>
      <c r="M398" s="1"/>
      <c r="N398" s="1"/>
      <c r="O398" s="1"/>
      <c r="P398" s="1"/>
      <c r="Q398" s="1"/>
      <c r="R398" s="1"/>
      <c r="S398" s="1"/>
      <c r="T398" s="1"/>
      <c r="U398" s="1"/>
      <c r="V398" s="1"/>
      <c r="W398" s="1"/>
      <c r="X398" s="1"/>
      <c r="Y398" s="1"/>
      <c r="Z398" s="1"/>
    </row>
    <row r="399">
      <c r="A399" s="1"/>
      <c r="B399" s="32"/>
      <c r="C399" s="1"/>
      <c r="D399" s="1"/>
      <c r="E399" s="1"/>
      <c r="F399" s="1"/>
      <c r="G399" s="1"/>
      <c r="H399" s="32"/>
      <c r="I399" s="1"/>
      <c r="J399" s="1"/>
      <c r="K399" s="1"/>
      <c r="L399" s="1"/>
      <c r="M399" s="1"/>
      <c r="N399" s="1"/>
      <c r="O399" s="1"/>
      <c r="P399" s="1"/>
      <c r="Q399" s="1"/>
      <c r="R399" s="1"/>
      <c r="S399" s="1"/>
      <c r="T399" s="1"/>
      <c r="U399" s="1"/>
      <c r="V399" s="1"/>
      <c r="W399" s="1"/>
      <c r="X399" s="1"/>
      <c r="Y399" s="1"/>
      <c r="Z399" s="1"/>
    </row>
    <row r="400">
      <c r="A400" s="1"/>
      <c r="B400" s="32"/>
      <c r="C400" s="1"/>
      <c r="D400" s="1"/>
      <c r="E400" s="1"/>
      <c r="F400" s="1"/>
      <c r="G400" s="1"/>
      <c r="H400" s="32"/>
      <c r="I400" s="1"/>
      <c r="J400" s="1"/>
      <c r="K400" s="1"/>
      <c r="L400" s="1"/>
      <c r="M400" s="1"/>
      <c r="N400" s="1"/>
      <c r="O400" s="1"/>
      <c r="P400" s="1"/>
      <c r="Q400" s="1"/>
      <c r="R400" s="1"/>
      <c r="S400" s="1"/>
      <c r="T400" s="1"/>
      <c r="U400" s="1"/>
      <c r="V400" s="1"/>
      <c r="W400" s="1"/>
      <c r="X400" s="1"/>
      <c r="Y400" s="1"/>
      <c r="Z400" s="1"/>
    </row>
    <row r="401">
      <c r="A401" s="1"/>
      <c r="B401" s="32"/>
      <c r="C401" s="1"/>
      <c r="D401" s="1"/>
      <c r="E401" s="1"/>
      <c r="F401" s="1"/>
      <c r="G401" s="1"/>
      <c r="H401" s="32"/>
      <c r="I401" s="1"/>
      <c r="J401" s="1"/>
      <c r="K401" s="1"/>
      <c r="L401" s="1"/>
      <c r="M401" s="1"/>
      <c r="N401" s="1"/>
      <c r="O401" s="1"/>
      <c r="P401" s="1"/>
      <c r="Q401" s="1"/>
      <c r="R401" s="1"/>
      <c r="S401" s="1"/>
      <c r="T401" s="1"/>
      <c r="U401" s="1"/>
      <c r="V401" s="1"/>
      <c r="W401" s="1"/>
      <c r="X401" s="1"/>
      <c r="Y401" s="1"/>
      <c r="Z401" s="1"/>
    </row>
    <row r="402">
      <c r="A402" s="1"/>
      <c r="B402" s="32"/>
      <c r="C402" s="1"/>
      <c r="D402" s="1"/>
      <c r="E402" s="1"/>
      <c r="F402" s="1"/>
      <c r="G402" s="1"/>
      <c r="H402" s="32"/>
      <c r="I402" s="1"/>
      <c r="J402" s="1"/>
      <c r="K402" s="1"/>
      <c r="L402" s="1"/>
      <c r="M402" s="1"/>
      <c r="N402" s="1"/>
      <c r="O402" s="1"/>
      <c r="P402" s="1"/>
      <c r="Q402" s="1"/>
      <c r="R402" s="1"/>
      <c r="S402" s="1"/>
      <c r="T402" s="1"/>
      <c r="U402" s="1"/>
      <c r="V402" s="1"/>
      <c r="W402" s="1"/>
      <c r="X402" s="1"/>
      <c r="Y402" s="1"/>
      <c r="Z402" s="1"/>
    </row>
    <row r="403">
      <c r="A403" s="1"/>
      <c r="B403" s="32"/>
      <c r="C403" s="1"/>
      <c r="D403" s="1"/>
      <c r="E403" s="1"/>
      <c r="F403" s="1"/>
      <c r="G403" s="1"/>
      <c r="H403" s="32"/>
      <c r="I403" s="1"/>
      <c r="J403" s="1"/>
      <c r="K403" s="1"/>
      <c r="L403" s="1"/>
      <c r="M403" s="1"/>
      <c r="N403" s="1"/>
      <c r="O403" s="1"/>
      <c r="P403" s="1"/>
      <c r="Q403" s="1"/>
      <c r="R403" s="1"/>
      <c r="S403" s="1"/>
      <c r="T403" s="1"/>
      <c r="U403" s="1"/>
      <c r="V403" s="1"/>
      <c r="W403" s="1"/>
      <c r="X403" s="1"/>
      <c r="Y403" s="1"/>
      <c r="Z403" s="1"/>
    </row>
    <row r="404">
      <c r="A404" s="1"/>
      <c r="B404" s="32"/>
      <c r="C404" s="1"/>
      <c r="D404" s="1"/>
      <c r="E404" s="1"/>
      <c r="F404" s="1"/>
      <c r="G404" s="1"/>
      <c r="H404" s="32"/>
      <c r="I404" s="1"/>
      <c r="J404" s="1"/>
      <c r="K404" s="1"/>
      <c r="L404" s="1"/>
      <c r="M404" s="1"/>
      <c r="N404" s="1"/>
      <c r="O404" s="1"/>
      <c r="P404" s="1"/>
      <c r="Q404" s="1"/>
      <c r="R404" s="1"/>
      <c r="S404" s="1"/>
      <c r="T404" s="1"/>
      <c r="U404" s="1"/>
      <c r="V404" s="1"/>
      <c r="W404" s="1"/>
      <c r="X404" s="1"/>
      <c r="Y404" s="1"/>
      <c r="Z404" s="1"/>
    </row>
    <row r="405">
      <c r="A405" s="1"/>
      <c r="B405" s="32"/>
      <c r="C405" s="1"/>
      <c r="D405" s="1"/>
      <c r="E405" s="1"/>
      <c r="F405" s="1"/>
      <c r="G405" s="1"/>
      <c r="H405" s="32"/>
      <c r="I405" s="1"/>
      <c r="J405" s="1"/>
      <c r="K405" s="1"/>
      <c r="L405" s="1"/>
      <c r="M405" s="1"/>
      <c r="N405" s="1"/>
      <c r="O405" s="1"/>
      <c r="P405" s="1"/>
      <c r="Q405" s="1"/>
      <c r="R405" s="1"/>
      <c r="S405" s="1"/>
      <c r="T405" s="1"/>
      <c r="U405" s="1"/>
      <c r="V405" s="1"/>
      <c r="W405" s="1"/>
      <c r="X405" s="1"/>
      <c r="Y405" s="1"/>
      <c r="Z405" s="1"/>
    </row>
    <row r="406">
      <c r="A406" s="1"/>
      <c r="B406" s="32"/>
      <c r="C406" s="1"/>
      <c r="D406" s="1"/>
      <c r="E406" s="1"/>
      <c r="F406" s="1"/>
      <c r="G406" s="1"/>
      <c r="H406" s="32"/>
      <c r="I406" s="1"/>
      <c r="J406" s="1"/>
      <c r="K406" s="1"/>
      <c r="L406" s="1"/>
      <c r="M406" s="1"/>
      <c r="N406" s="1"/>
      <c r="O406" s="1"/>
      <c r="P406" s="1"/>
      <c r="Q406" s="1"/>
      <c r="R406" s="1"/>
      <c r="S406" s="1"/>
      <c r="T406" s="1"/>
      <c r="U406" s="1"/>
      <c r="V406" s="1"/>
      <c r="W406" s="1"/>
      <c r="X406" s="1"/>
      <c r="Y406" s="1"/>
      <c r="Z406" s="1"/>
    </row>
    <row r="407">
      <c r="A407" s="1"/>
      <c r="B407" s="32"/>
      <c r="C407" s="1"/>
      <c r="D407" s="1"/>
      <c r="E407" s="1"/>
      <c r="F407" s="1"/>
      <c r="G407" s="1"/>
      <c r="H407" s="32"/>
      <c r="I407" s="1"/>
      <c r="J407" s="1"/>
      <c r="K407" s="1"/>
      <c r="L407" s="1"/>
      <c r="M407" s="1"/>
      <c r="N407" s="1"/>
      <c r="O407" s="1"/>
      <c r="P407" s="1"/>
      <c r="Q407" s="1"/>
      <c r="R407" s="1"/>
      <c r="S407" s="1"/>
      <c r="T407" s="1"/>
      <c r="U407" s="1"/>
      <c r="V407" s="1"/>
      <c r="W407" s="1"/>
      <c r="X407" s="1"/>
      <c r="Y407" s="1"/>
      <c r="Z407" s="1"/>
    </row>
    <row r="408">
      <c r="A408" s="1"/>
      <c r="B408" s="32"/>
      <c r="C408" s="1"/>
      <c r="D408" s="1"/>
      <c r="E408" s="1"/>
      <c r="F408" s="1"/>
      <c r="G408" s="1"/>
      <c r="H408" s="32"/>
      <c r="I408" s="1"/>
      <c r="J408" s="1"/>
      <c r="K408" s="1"/>
      <c r="L408" s="1"/>
      <c r="M408" s="1"/>
      <c r="N408" s="1"/>
      <c r="O408" s="1"/>
      <c r="P408" s="1"/>
      <c r="Q408" s="1"/>
      <c r="R408" s="1"/>
      <c r="S408" s="1"/>
      <c r="T408" s="1"/>
      <c r="U408" s="1"/>
      <c r="V408" s="1"/>
      <c r="W408" s="1"/>
      <c r="X408" s="1"/>
      <c r="Y408" s="1"/>
      <c r="Z408" s="1"/>
    </row>
    <row r="409">
      <c r="A409" s="1"/>
      <c r="B409" s="32"/>
      <c r="C409" s="1"/>
      <c r="D409" s="1"/>
      <c r="E409" s="1"/>
      <c r="F409" s="1"/>
      <c r="G409" s="1"/>
      <c r="H409" s="32"/>
      <c r="I409" s="1"/>
      <c r="J409" s="1"/>
      <c r="K409" s="1"/>
      <c r="L409" s="1"/>
      <c r="M409" s="1"/>
      <c r="N409" s="1"/>
      <c r="O409" s="1"/>
      <c r="P409" s="1"/>
      <c r="Q409" s="1"/>
      <c r="R409" s="1"/>
      <c r="S409" s="1"/>
      <c r="T409" s="1"/>
      <c r="U409" s="1"/>
      <c r="V409" s="1"/>
      <c r="W409" s="1"/>
      <c r="X409" s="1"/>
      <c r="Y409" s="1"/>
      <c r="Z409" s="1"/>
    </row>
    <row r="410">
      <c r="A410" s="1"/>
      <c r="B410" s="32"/>
      <c r="C410" s="1"/>
      <c r="D410" s="1"/>
      <c r="E410" s="1"/>
      <c r="F410" s="1"/>
      <c r="G410" s="1"/>
      <c r="H410" s="32"/>
      <c r="I410" s="1"/>
      <c r="J410" s="1"/>
      <c r="K410" s="1"/>
      <c r="L410" s="1"/>
      <c r="M410" s="1"/>
      <c r="N410" s="1"/>
      <c r="O410" s="1"/>
      <c r="P410" s="1"/>
      <c r="Q410" s="1"/>
      <c r="R410" s="1"/>
      <c r="S410" s="1"/>
      <c r="T410" s="1"/>
      <c r="U410" s="1"/>
      <c r="V410" s="1"/>
      <c r="W410" s="1"/>
      <c r="X410" s="1"/>
      <c r="Y410" s="1"/>
      <c r="Z410" s="1"/>
    </row>
    <row r="411">
      <c r="A411" s="1"/>
      <c r="B411" s="32"/>
      <c r="C411" s="1"/>
      <c r="D411" s="1"/>
      <c r="E411" s="1"/>
      <c r="F411" s="1"/>
      <c r="G411" s="1"/>
      <c r="H411" s="32"/>
      <c r="I411" s="1"/>
      <c r="J411" s="1"/>
      <c r="K411" s="1"/>
      <c r="L411" s="1"/>
      <c r="M411" s="1"/>
      <c r="N411" s="1"/>
      <c r="O411" s="1"/>
      <c r="P411" s="1"/>
      <c r="Q411" s="1"/>
      <c r="R411" s="1"/>
      <c r="S411" s="1"/>
      <c r="T411" s="1"/>
      <c r="U411" s="1"/>
      <c r="V411" s="1"/>
      <c r="W411" s="1"/>
      <c r="X411" s="1"/>
      <c r="Y411" s="1"/>
      <c r="Z411" s="1"/>
    </row>
    <row r="412">
      <c r="A412" s="1"/>
      <c r="B412" s="32"/>
      <c r="C412" s="1"/>
      <c r="D412" s="1"/>
      <c r="E412" s="1"/>
      <c r="F412" s="1"/>
      <c r="G412" s="1"/>
      <c r="H412" s="32"/>
      <c r="I412" s="1"/>
      <c r="J412" s="1"/>
      <c r="K412" s="1"/>
      <c r="L412" s="1"/>
      <c r="M412" s="1"/>
      <c r="N412" s="1"/>
      <c r="O412" s="1"/>
      <c r="P412" s="1"/>
      <c r="Q412" s="1"/>
      <c r="R412" s="1"/>
      <c r="S412" s="1"/>
      <c r="T412" s="1"/>
      <c r="U412" s="1"/>
      <c r="V412" s="1"/>
      <c r="W412" s="1"/>
      <c r="X412" s="1"/>
      <c r="Y412" s="1"/>
      <c r="Z412" s="1"/>
    </row>
    <row r="413">
      <c r="A413" s="1"/>
      <c r="B413" s="32"/>
      <c r="C413" s="1"/>
      <c r="D413" s="1"/>
      <c r="E413" s="1"/>
      <c r="F413" s="1"/>
      <c r="G413" s="1"/>
      <c r="H413" s="32"/>
      <c r="I413" s="1"/>
      <c r="J413" s="1"/>
      <c r="K413" s="1"/>
      <c r="L413" s="1"/>
      <c r="M413" s="1"/>
      <c r="N413" s="1"/>
      <c r="O413" s="1"/>
      <c r="P413" s="1"/>
      <c r="Q413" s="1"/>
      <c r="R413" s="1"/>
      <c r="S413" s="1"/>
      <c r="T413" s="1"/>
      <c r="U413" s="1"/>
      <c r="V413" s="1"/>
      <c r="W413" s="1"/>
      <c r="X413" s="1"/>
      <c r="Y413" s="1"/>
      <c r="Z413" s="1"/>
    </row>
    <row r="414">
      <c r="A414" s="1"/>
      <c r="B414" s="32"/>
      <c r="C414" s="1"/>
      <c r="D414" s="1"/>
      <c r="E414" s="1"/>
      <c r="F414" s="1"/>
      <c r="G414" s="1"/>
      <c r="H414" s="32"/>
      <c r="I414" s="1"/>
      <c r="J414" s="1"/>
      <c r="K414" s="1"/>
      <c r="L414" s="1"/>
      <c r="M414" s="1"/>
      <c r="N414" s="1"/>
      <c r="O414" s="1"/>
      <c r="P414" s="1"/>
      <c r="Q414" s="1"/>
      <c r="R414" s="1"/>
      <c r="S414" s="1"/>
      <c r="T414" s="1"/>
      <c r="U414" s="1"/>
      <c r="V414" s="1"/>
      <c r="W414" s="1"/>
      <c r="X414" s="1"/>
      <c r="Y414" s="1"/>
      <c r="Z414" s="1"/>
    </row>
    <row r="415">
      <c r="A415" s="1"/>
      <c r="B415" s="32"/>
      <c r="C415" s="1"/>
      <c r="D415" s="1"/>
      <c r="E415" s="1"/>
      <c r="F415" s="1"/>
      <c r="G415" s="1"/>
      <c r="H415" s="32"/>
      <c r="I415" s="1"/>
      <c r="J415" s="1"/>
      <c r="K415" s="1"/>
      <c r="L415" s="1"/>
      <c r="M415" s="1"/>
      <c r="N415" s="1"/>
      <c r="O415" s="1"/>
      <c r="P415" s="1"/>
      <c r="Q415" s="1"/>
      <c r="R415" s="1"/>
      <c r="S415" s="1"/>
      <c r="T415" s="1"/>
      <c r="U415" s="1"/>
      <c r="V415" s="1"/>
      <c r="W415" s="1"/>
      <c r="X415" s="1"/>
      <c r="Y415" s="1"/>
      <c r="Z415" s="1"/>
    </row>
    <row r="416">
      <c r="A416" s="1"/>
      <c r="B416" s="32"/>
      <c r="C416" s="1"/>
      <c r="D416" s="1"/>
      <c r="E416" s="1"/>
      <c r="F416" s="1"/>
      <c r="G416" s="1"/>
      <c r="H416" s="32"/>
      <c r="I416" s="1"/>
      <c r="J416" s="1"/>
      <c r="K416" s="1"/>
      <c r="L416" s="1"/>
      <c r="M416" s="1"/>
      <c r="N416" s="1"/>
      <c r="O416" s="1"/>
      <c r="P416" s="1"/>
      <c r="Q416" s="1"/>
      <c r="R416" s="1"/>
      <c r="S416" s="1"/>
      <c r="T416" s="1"/>
      <c r="U416" s="1"/>
      <c r="V416" s="1"/>
      <c r="W416" s="1"/>
      <c r="X416" s="1"/>
      <c r="Y416" s="1"/>
      <c r="Z416" s="1"/>
    </row>
    <row r="417">
      <c r="A417" s="1"/>
      <c r="B417" s="32"/>
      <c r="C417" s="1"/>
      <c r="D417" s="1"/>
      <c r="E417" s="1"/>
      <c r="F417" s="1"/>
      <c r="G417" s="1"/>
      <c r="H417" s="32"/>
      <c r="I417" s="1"/>
      <c r="J417" s="1"/>
      <c r="K417" s="1"/>
      <c r="L417" s="1"/>
      <c r="M417" s="1"/>
      <c r="N417" s="1"/>
      <c r="O417" s="1"/>
      <c r="P417" s="1"/>
      <c r="Q417" s="1"/>
      <c r="R417" s="1"/>
      <c r="S417" s="1"/>
      <c r="T417" s="1"/>
      <c r="U417" s="1"/>
      <c r="V417" s="1"/>
      <c r="W417" s="1"/>
      <c r="X417" s="1"/>
      <c r="Y417" s="1"/>
      <c r="Z417" s="1"/>
    </row>
    <row r="418">
      <c r="A418" s="1"/>
      <c r="B418" s="32"/>
      <c r="C418" s="1"/>
      <c r="D418" s="1"/>
      <c r="E418" s="1"/>
      <c r="F418" s="1"/>
      <c r="G418" s="1"/>
      <c r="H418" s="32"/>
      <c r="I418" s="1"/>
      <c r="J418" s="1"/>
      <c r="K418" s="1"/>
      <c r="L418" s="1"/>
      <c r="M418" s="1"/>
      <c r="N418" s="1"/>
      <c r="O418" s="1"/>
      <c r="P418" s="1"/>
      <c r="Q418" s="1"/>
      <c r="R418" s="1"/>
      <c r="S418" s="1"/>
      <c r="T418" s="1"/>
      <c r="U418" s="1"/>
      <c r="V418" s="1"/>
      <c r="W418" s="1"/>
      <c r="X418" s="1"/>
      <c r="Y418" s="1"/>
      <c r="Z418" s="1"/>
    </row>
    <row r="419">
      <c r="A419" s="1"/>
      <c r="B419" s="32"/>
      <c r="C419" s="1"/>
      <c r="D419" s="1"/>
      <c r="E419" s="1"/>
      <c r="F419" s="1"/>
      <c r="G419" s="1"/>
      <c r="H419" s="32"/>
      <c r="I419" s="1"/>
      <c r="J419" s="1"/>
      <c r="K419" s="1"/>
      <c r="L419" s="1"/>
      <c r="M419" s="1"/>
      <c r="N419" s="1"/>
      <c r="O419" s="1"/>
      <c r="P419" s="1"/>
      <c r="Q419" s="1"/>
      <c r="R419" s="1"/>
      <c r="S419" s="1"/>
      <c r="T419" s="1"/>
      <c r="U419" s="1"/>
      <c r="V419" s="1"/>
      <c r="W419" s="1"/>
      <c r="X419" s="1"/>
      <c r="Y419" s="1"/>
      <c r="Z419" s="1"/>
    </row>
    <row r="420">
      <c r="A420" s="1"/>
      <c r="B420" s="32"/>
      <c r="C420" s="1"/>
      <c r="D420" s="1"/>
      <c r="E420" s="1"/>
      <c r="F420" s="1"/>
      <c r="G420" s="1"/>
      <c r="H420" s="32"/>
      <c r="I420" s="1"/>
      <c r="J420" s="1"/>
      <c r="K420" s="1"/>
      <c r="L420" s="1"/>
      <c r="M420" s="1"/>
      <c r="N420" s="1"/>
      <c r="O420" s="1"/>
      <c r="P420" s="1"/>
      <c r="Q420" s="1"/>
      <c r="R420" s="1"/>
      <c r="S420" s="1"/>
      <c r="T420" s="1"/>
      <c r="U420" s="1"/>
      <c r="V420" s="1"/>
      <c r="W420" s="1"/>
      <c r="X420" s="1"/>
      <c r="Y420" s="1"/>
      <c r="Z420" s="1"/>
    </row>
    <row r="421">
      <c r="A421" s="1"/>
      <c r="B421" s="32"/>
      <c r="C421" s="1"/>
      <c r="D421" s="1"/>
      <c r="E421" s="1"/>
      <c r="F421" s="1"/>
      <c r="G421" s="1"/>
      <c r="H421" s="32"/>
      <c r="I421" s="1"/>
      <c r="J421" s="1"/>
      <c r="K421" s="1"/>
      <c r="L421" s="1"/>
      <c r="M421" s="1"/>
      <c r="N421" s="1"/>
      <c r="O421" s="1"/>
      <c r="P421" s="1"/>
      <c r="Q421" s="1"/>
      <c r="R421" s="1"/>
      <c r="S421" s="1"/>
      <c r="T421" s="1"/>
      <c r="U421" s="1"/>
      <c r="V421" s="1"/>
      <c r="W421" s="1"/>
      <c r="X421" s="1"/>
      <c r="Y421" s="1"/>
      <c r="Z421" s="1"/>
    </row>
    <row r="422">
      <c r="A422" s="1"/>
      <c r="B422" s="32"/>
      <c r="C422" s="1"/>
      <c r="D422" s="1"/>
      <c r="E422" s="1"/>
      <c r="F422" s="1"/>
      <c r="G422" s="1"/>
      <c r="H422" s="32"/>
      <c r="I422" s="1"/>
      <c r="J422" s="1"/>
      <c r="K422" s="1"/>
      <c r="L422" s="1"/>
      <c r="M422" s="1"/>
      <c r="N422" s="1"/>
      <c r="O422" s="1"/>
      <c r="P422" s="1"/>
      <c r="Q422" s="1"/>
      <c r="R422" s="1"/>
      <c r="S422" s="1"/>
      <c r="T422" s="1"/>
      <c r="U422" s="1"/>
      <c r="V422" s="1"/>
      <c r="W422" s="1"/>
      <c r="X422" s="1"/>
      <c r="Y422" s="1"/>
      <c r="Z422" s="1"/>
    </row>
    <row r="423">
      <c r="A423" s="1"/>
      <c r="B423" s="32"/>
      <c r="C423" s="1"/>
      <c r="D423" s="1"/>
      <c r="E423" s="1"/>
      <c r="F423" s="1"/>
      <c r="G423" s="1"/>
      <c r="H423" s="32"/>
      <c r="I423" s="1"/>
      <c r="J423" s="1"/>
      <c r="K423" s="1"/>
      <c r="L423" s="1"/>
      <c r="M423" s="1"/>
      <c r="N423" s="1"/>
      <c r="O423" s="1"/>
      <c r="P423" s="1"/>
      <c r="Q423" s="1"/>
      <c r="R423" s="1"/>
      <c r="S423" s="1"/>
      <c r="T423" s="1"/>
      <c r="U423" s="1"/>
      <c r="V423" s="1"/>
      <c r="W423" s="1"/>
      <c r="X423" s="1"/>
      <c r="Y423" s="1"/>
      <c r="Z423" s="1"/>
    </row>
    <row r="424">
      <c r="A424" s="1"/>
      <c r="B424" s="32"/>
      <c r="C424" s="1"/>
      <c r="D424" s="1"/>
      <c r="E424" s="1"/>
      <c r="F424" s="1"/>
      <c r="G424" s="1"/>
      <c r="H424" s="32"/>
      <c r="I424" s="1"/>
      <c r="J424" s="1"/>
      <c r="K424" s="1"/>
      <c r="L424" s="1"/>
      <c r="M424" s="1"/>
      <c r="N424" s="1"/>
      <c r="O424" s="1"/>
      <c r="P424" s="1"/>
      <c r="Q424" s="1"/>
      <c r="R424" s="1"/>
      <c r="S424" s="1"/>
      <c r="T424" s="1"/>
      <c r="U424" s="1"/>
      <c r="V424" s="1"/>
      <c r="W424" s="1"/>
      <c r="X424" s="1"/>
      <c r="Y424" s="1"/>
      <c r="Z424" s="1"/>
    </row>
    <row r="425">
      <c r="A425" s="1"/>
      <c r="B425" s="32"/>
      <c r="C425" s="1"/>
      <c r="D425" s="1"/>
      <c r="E425" s="1"/>
      <c r="F425" s="1"/>
      <c r="G425" s="1"/>
      <c r="H425" s="32"/>
      <c r="I425" s="1"/>
      <c r="J425" s="1"/>
      <c r="K425" s="1"/>
      <c r="L425" s="1"/>
      <c r="M425" s="1"/>
      <c r="N425" s="1"/>
      <c r="O425" s="1"/>
      <c r="P425" s="1"/>
      <c r="Q425" s="1"/>
      <c r="R425" s="1"/>
      <c r="S425" s="1"/>
      <c r="T425" s="1"/>
      <c r="U425" s="1"/>
      <c r="V425" s="1"/>
      <c r="W425" s="1"/>
      <c r="X425" s="1"/>
      <c r="Y425" s="1"/>
      <c r="Z425" s="1"/>
    </row>
    <row r="426">
      <c r="A426" s="1"/>
      <c r="B426" s="32"/>
      <c r="C426" s="1"/>
      <c r="D426" s="1"/>
      <c r="E426" s="1"/>
      <c r="F426" s="1"/>
      <c r="G426" s="1"/>
      <c r="H426" s="32"/>
      <c r="I426" s="1"/>
      <c r="J426" s="1"/>
      <c r="K426" s="1"/>
      <c r="L426" s="1"/>
      <c r="M426" s="1"/>
      <c r="N426" s="1"/>
      <c r="O426" s="1"/>
      <c r="P426" s="1"/>
      <c r="Q426" s="1"/>
      <c r="R426" s="1"/>
      <c r="S426" s="1"/>
      <c r="T426" s="1"/>
      <c r="U426" s="1"/>
      <c r="V426" s="1"/>
      <c r="W426" s="1"/>
      <c r="X426" s="1"/>
      <c r="Y426" s="1"/>
      <c r="Z426" s="1"/>
    </row>
    <row r="427">
      <c r="A427" s="1"/>
      <c r="B427" s="32"/>
      <c r="C427" s="1"/>
      <c r="D427" s="1"/>
      <c r="E427" s="1"/>
      <c r="F427" s="1"/>
      <c r="G427" s="1"/>
      <c r="H427" s="32"/>
      <c r="I427" s="1"/>
      <c r="J427" s="1"/>
      <c r="K427" s="1"/>
      <c r="L427" s="1"/>
      <c r="M427" s="1"/>
      <c r="N427" s="1"/>
      <c r="O427" s="1"/>
      <c r="P427" s="1"/>
      <c r="Q427" s="1"/>
      <c r="R427" s="1"/>
      <c r="S427" s="1"/>
      <c r="T427" s="1"/>
      <c r="U427" s="1"/>
      <c r="V427" s="1"/>
      <c r="W427" s="1"/>
      <c r="X427" s="1"/>
      <c r="Y427" s="1"/>
      <c r="Z427" s="1"/>
    </row>
    <row r="428">
      <c r="A428" s="1"/>
      <c r="B428" s="32"/>
      <c r="C428" s="1"/>
      <c r="D428" s="1"/>
      <c r="E428" s="1"/>
      <c r="F428" s="1"/>
      <c r="G428" s="1"/>
      <c r="H428" s="32"/>
      <c r="I428" s="1"/>
      <c r="J428" s="1"/>
      <c r="K428" s="1"/>
      <c r="L428" s="1"/>
      <c r="M428" s="1"/>
      <c r="N428" s="1"/>
      <c r="O428" s="1"/>
      <c r="P428" s="1"/>
      <c r="Q428" s="1"/>
      <c r="R428" s="1"/>
      <c r="S428" s="1"/>
      <c r="T428" s="1"/>
      <c r="U428" s="1"/>
      <c r="V428" s="1"/>
      <c r="W428" s="1"/>
      <c r="X428" s="1"/>
      <c r="Y428" s="1"/>
      <c r="Z428" s="1"/>
    </row>
    <row r="429">
      <c r="A429" s="1"/>
      <c r="B429" s="32"/>
      <c r="C429" s="1"/>
      <c r="D429" s="1"/>
      <c r="E429" s="1"/>
      <c r="F429" s="1"/>
      <c r="G429" s="1"/>
      <c r="H429" s="32"/>
      <c r="I429" s="1"/>
      <c r="J429" s="1"/>
      <c r="K429" s="1"/>
      <c r="L429" s="1"/>
      <c r="M429" s="1"/>
      <c r="N429" s="1"/>
      <c r="O429" s="1"/>
      <c r="P429" s="1"/>
      <c r="Q429" s="1"/>
      <c r="R429" s="1"/>
      <c r="S429" s="1"/>
      <c r="T429" s="1"/>
      <c r="U429" s="1"/>
      <c r="V429" s="1"/>
      <c r="W429" s="1"/>
      <c r="X429" s="1"/>
      <c r="Y429" s="1"/>
      <c r="Z429" s="1"/>
    </row>
    <row r="430">
      <c r="A430" s="1"/>
      <c r="B430" s="32"/>
      <c r="C430" s="1"/>
      <c r="D430" s="1"/>
      <c r="E430" s="1"/>
      <c r="F430" s="1"/>
      <c r="G430" s="1"/>
      <c r="H430" s="32"/>
      <c r="I430" s="1"/>
      <c r="J430" s="1"/>
      <c r="K430" s="1"/>
      <c r="L430" s="1"/>
      <c r="M430" s="1"/>
      <c r="N430" s="1"/>
      <c r="O430" s="1"/>
      <c r="P430" s="1"/>
      <c r="Q430" s="1"/>
      <c r="R430" s="1"/>
      <c r="S430" s="1"/>
      <c r="T430" s="1"/>
      <c r="U430" s="1"/>
      <c r="V430" s="1"/>
      <c r="W430" s="1"/>
      <c r="X430" s="1"/>
      <c r="Y430" s="1"/>
      <c r="Z430" s="1"/>
    </row>
    <row r="431">
      <c r="A431" s="1"/>
      <c r="B431" s="32"/>
      <c r="C431" s="1"/>
      <c r="D431" s="1"/>
      <c r="E431" s="1"/>
      <c r="F431" s="1"/>
      <c r="G431" s="1"/>
      <c r="H431" s="32"/>
      <c r="I431" s="1"/>
      <c r="J431" s="1"/>
      <c r="K431" s="1"/>
      <c r="L431" s="1"/>
      <c r="M431" s="1"/>
      <c r="N431" s="1"/>
      <c r="O431" s="1"/>
      <c r="P431" s="1"/>
      <c r="Q431" s="1"/>
      <c r="R431" s="1"/>
      <c r="S431" s="1"/>
      <c r="T431" s="1"/>
      <c r="U431" s="1"/>
      <c r="V431" s="1"/>
      <c r="W431" s="1"/>
      <c r="X431" s="1"/>
      <c r="Y431" s="1"/>
      <c r="Z431" s="1"/>
    </row>
    <row r="432">
      <c r="A432" s="1"/>
      <c r="B432" s="32"/>
      <c r="C432" s="1"/>
      <c r="D432" s="1"/>
      <c r="E432" s="1"/>
      <c r="F432" s="1"/>
      <c r="G432" s="1"/>
      <c r="H432" s="32"/>
      <c r="I432" s="1"/>
      <c r="J432" s="1"/>
      <c r="K432" s="1"/>
      <c r="L432" s="1"/>
      <c r="M432" s="1"/>
      <c r="N432" s="1"/>
      <c r="O432" s="1"/>
      <c r="P432" s="1"/>
      <c r="Q432" s="1"/>
      <c r="R432" s="1"/>
      <c r="S432" s="1"/>
      <c r="T432" s="1"/>
      <c r="U432" s="1"/>
      <c r="V432" s="1"/>
      <c r="W432" s="1"/>
      <c r="X432" s="1"/>
      <c r="Y432" s="1"/>
      <c r="Z432" s="1"/>
    </row>
    <row r="433">
      <c r="A433" s="1"/>
      <c r="B433" s="32"/>
      <c r="C433" s="1"/>
      <c r="D433" s="1"/>
      <c r="E433" s="1"/>
      <c r="F433" s="1"/>
      <c r="G433" s="1"/>
      <c r="H433" s="32"/>
      <c r="I433" s="1"/>
      <c r="J433" s="1"/>
      <c r="K433" s="1"/>
      <c r="L433" s="1"/>
      <c r="M433" s="1"/>
      <c r="N433" s="1"/>
      <c r="O433" s="1"/>
      <c r="P433" s="1"/>
      <c r="Q433" s="1"/>
      <c r="R433" s="1"/>
      <c r="S433" s="1"/>
      <c r="T433" s="1"/>
      <c r="U433" s="1"/>
      <c r="V433" s="1"/>
      <c r="W433" s="1"/>
      <c r="X433" s="1"/>
      <c r="Y433" s="1"/>
      <c r="Z433" s="1"/>
    </row>
    <row r="434">
      <c r="A434" s="1"/>
      <c r="B434" s="32"/>
      <c r="C434" s="1"/>
      <c r="D434" s="1"/>
      <c r="E434" s="1"/>
      <c r="F434" s="1"/>
      <c r="G434" s="1"/>
      <c r="H434" s="32"/>
      <c r="I434" s="1"/>
      <c r="J434" s="1"/>
      <c r="K434" s="1"/>
      <c r="L434" s="1"/>
      <c r="M434" s="1"/>
      <c r="N434" s="1"/>
      <c r="O434" s="1"/>
      <c r="P434" s="1"/>
      <c r="Q434" s="1"/>
      <c r="R434" s="1"/>
      <c r="S434" s="1"/>
      <c r="T434" s="1"/>
      <c r="U434" s="1"/>
      <c r="V434" s="1"/>
      <c r="W434" s="1"/>
      <c r="X434" s="1"/>
      <c r="Y434" s="1"/>
      <c r="Z434" s="1"/>
    </row>
    <row r="435">
      <c r="A435" s="1"/>
      <c r="B435" s="32"/>
      <c r="C435" s="1"/>
      <c r="D435" s="1"/>
      <c r="E435" s="1"/>
      <c r="F435" s="1"/>
      <c r="G435" s="1"/>
      <c r="H435" s="32"/>
      <c r="I435" s="1"/>
      <c r="J435" s="1"/>
      <c r="K435" s="1"/>
      <c r="L435" s="1"/>
      <c r="M435" s="1"/>
      <c r="N435" s="1"/>
      <c r="O435" s="1"/>
      <c r="P435" s="1"/>
      <c r="Q435" s="1"/>
      <c r="R435" s="1"/>
      <c r="S435" s="1"/>
      <c r="T435" s="1"/>
      <c r="U435" s="1"/>
      <c r="V435" s="1"/>
      <c r="W435" s="1"/>
      <c r="X435" s="1"/>
      <c r="Y435" s="1"/>
      <c r="Z435" s="1"/>
    </row>
    <row r="436">
      <c r="A436" s="1"/>
      <c r="B436" s="32"/>
      <c r="C436" s="1"/>
      <c r="D436" s="1"/>
      <c r="E436" s="1"/>
      <c r="F436" s="1"/>
      <c r="G436" s="1"/>
      <c r="H436" s="32"/>
      <c r="I436" s="1"/>
      <c r="J436" s="1"/>
      <c r="K436" s="1"/>
      <c r="L436" s="1"/>
      <c r="M436" s="1"/>
      <c r="N436" s="1"/>
      <c r="O436" s="1"/>
      <c r="P436" s="1"/>
      <c r="Q436" s="1"/>
      <c r="R436" s="1"/>
      <c r="S436" s="1"/>
      <c r="T436" s="1"/>
      <c r="U436" s="1"/>
      <c r="V436" s="1"/>
      <c r="W436" s="1"/>
      <c r="X436" s="1"/>
      <c r="Y436" s="1"/>
      <c r="Z436" s="1"/>
    </row>
    <row r="437">
      <c r="A437" s="1"/>
      <c r="B437" s="32"/>
      <c r="C437" s="1"/>
      <c r="D437" s="1"/>
      <c r="E437" s="1"/>
      <c r="F437" s="1"/>
      <c r="G437" s="1"/>
      <c r="H437" s="32"/>
      <c r="I437" s="1"/>
      <c r="J437" s="1"/>
      <c r="K437" s="1"/>
      <c r="L437" s="1"/>
      <c r="M437" s="1"/>
      <c r="N437" s="1"/>
      <c r="O437" s="1"/>
      <c r="P437" s="1"/>
      <c r="Q437" s="1"/>
      <c r="R437" s="1"/>
      <c r="S437" s="1"/>
      <c r="T437" s="1"/>
      <c r="U437" s="1"/>
      <c r="V437" s="1"/>
      <c r="W437" s="1"/>
      <c r="X437" s="1"/>
      <c r="Y437" s="1"/>
      <c r="Z437" s="1"/>
    </row>
    <row r="438">
      <c r="A438" s="1"/>
      <c r="B438" s="32"/>
      <c r="C438" s="1"/>
      <c r="D438" s="1"/>
      <c r="E438" s="1"/>
      <c r="F438" s="1"/>
      <c r="G438" s="1"/>
      <c r="H438" s="32"/>
      <c r="I438" s="1"/>
      <c r="J438" s="1"/>
      <c r="K438" s="1"/>
      <c r="L438" s="1"/>
      <c r="M438" s="1"/>
      <c r="N438" s="1"/>
      <c r="O438" s="1"/>
      <c r="P438" s="1"/>
      <c r="Q438" s="1"/>
      <c r="R438" s="1"/>
      <c r="S438" s="1"/>
      <c r="T438" s="1"/>
      <c r="U438" s="1"/>
      <c r="V438" s="1"/>
      <c r="W438" s="1"/>
      <c r="X438" s="1"/>
      <c r="Y438" s="1"/>
      <c r="Z438" s="1"/>
    </row>
    <row r="439">
      <c r="A439" s="1"/>
      <c r="B439" s="32"/>
      <c r="C439" s="1"/>
      <c r="D439" s="1"/>
      <c r="E439" s="1"/>
      <c r="F439" s="1"/>
      <c r="G439" s="1"/>
      <c r="H439" s="32"/>
      <c r="I439" s="1"/>
      <c r="J439" s="1"/>
      <c r="K439" s="1"/>
      <c r="L439" s="1"/>
      <c r="M439" s="1"/>
      <c r="N439" s="1"/>
      <c r="O439" s="1"/>
      <c r="P439" s="1"/>
      <c r="Q439" s="1"/>
      <c r="R439" s="1"/>
      <c r="S439" s="1"/>
      <c r="T439" s="1"/>
      <c r="U439" s="1"/>
      <c r="V439" s="1"/>
      <c r="W439" s="1"/>
      <c r="X439" s="1"/>
      <c r="Y439" s="1"/>
      <c r="Z439" s="1"/>
    </row>
    <row r="440">
      <c r="A440" s="1"/>
      <c r="B440" s="32"/>
      <c r="C440" s="1"/>
      <c r="D440" s="1"/>
      <c r="E440" s="1"/>
      <c r="F440" s="1"/>
      <c r="G440" s="1"/>
      <c r="H440" s="32"/>
      <c r="I440" s="1"/>
      <c r="J440" s="1"/>
      <c r="K440" s="1"/>
      <c r="L440" s="1"/>
      <c r="M440" s="1"/>
      <c r="N440" s="1"/>
      <c r="O440" s="1"/>
      <c r="P440" s="1"/>
      <c r="Q440" s="1"/>
      <c r="R440" s="1"/>
      <c r="S440" s="1"/>
      <c r="T440" s="1"/>
      <c r="U440" s="1"/>
      <c r="V440" s="1"/>
      <c r="W440" s="1"/>
      <c r="X440" s="1"/>
      <c r="Y440" s="1"/>
      <c r="Z440" s="1"/>
    </row>
    <row r="441">
      <c r="A441" s="1"/>
      <c r="B441" s="32"/>
      <c r="C441" s="1"/>
      <c r="D441" s="1"/>
      <c r="E441" s="1"/>
      <c r="F441" s="1"/>
      <c r="G441" s="1"/>
      <c r="H441" s="32"/>
      <c r="I441" s="1"/>
      <c r="J441" s="1"/>
      <c r="K441" s="1"/>
      <c r="L441" s="1"/>
      <c r="M441" s="1"/>
      <c r="N441" s="1"/>
      <c r="O441" s="1"/>
      <c r="P441" s="1"/>
      <c r="Q441" s="1"/>
      <c r="R441" s="1"/>
      <c r="S441" s="1"/>
      <c r="T441" s="1"/>
      <c r="U441" s="1"/>
      <c r="V441" s="1"/>
      <c r="W441" s="1"/>
      <c r="X441" s="1"/>
      <c r="Y441" s="1"/>
      <c r="Z441" s="1"/>
    </row>
    <row r="442">
      <c r="A442" s="1"/>
      <c r="B442" s="32"/>
      <c r="C442" s="1"/>
      <c r="D442" s="1"/>
      <c r="E442" s="1"/>
      <c r="F442" s="1"/>
      <c r="G442" s="1"/>
      <c r="H442" s="32"/>
      <c r="I442" s="1"/>
      <c r="J442" s="1"/>
      <c r="K442" s="1"/>
      <c r="L442" s="1"/>
      <c r="M442" s="1"/>
      <c r="N442" s="1"/>
      <c r="O442" s="1"/>
      <c r="P442" s="1"/>
      <c r="Q442" s="1"/>
      <c r="R442" s="1"/>
      <c r="S442" s="1"/>
      <c r="T442" s="1"/>
      <c r="U442" s="1"/>
      <c r="V442" s="1"/>
      <c r="W442" s="1"/>
      <c r="X442" s="1"/>
      <c r="Y442" s="1"/>
      <c r="Z442" s="1"/>
    </row>
    <row r="443">
      <c r="A443" s="1"/>
      <c r="B443" s="32"/>
      <c r="C443" s="1"/>
      <c r="D443" s="1"/>
      <c r="E443" s="1"/>
      <c r="F443" s="1"/>
      <c r="G443" s="1"/>
      <c r="H443" s="32"/>
      <c r="I443" s="1"/>
      <c r="J443" s="1"/>
      <c r="K443" s="1"/>
      <c r="L443" s="1"/>
      <c r="M443" s="1"/>
      <c r="N443" s="1"/>
      <c r="O443" s="1"/>
      <c r="P443" s="1"/>
      <c r="Q443" s="1"/>
      <c r="R443" s="1"/>
      <c r="S443" s="1"/>
      <c r="T443" s="1"/>
      <c r="U443" s="1"/>
      <c r="V443" s="1"/>
      <c r="W443" s="1"/>
      <c r="X443" s="1"/>
      <c r="Y443" s="1"/>
      <c r="Z443" s="1"/>
    </row>
    <row r="444">
      <c r="A444" s="1"/>
      <c r="B444" s="32"/>
      <c r="C444" s="1"/>
      <c r="D444" s="1"/>
      <c r="E444" s="1"/>
      <c r="F444" s="1"/>
      <c r="G444" s="1"/>
      <c r="H444" s="32"/>
      <c r="I444" s="1"/>
      <c r="J444" s="1"/>
      <c r="K444" s="1"/>
      <c r="L444" s="1"/>
      <c r="M444" s="1"/>
      <c r="N444" s="1"/>
      <c r="O444" s="1"/>
      <c r="P444" s="1"/>
      <c r="Q444" s="1"/>
      <c r="R444" s="1"/>
      <c r="S444" s="1"/>
      <c r="T444" s="1"/>
      <c r="U444" s="1"/>
      <c r="V444" s="1"/>
      <c r="W444" s="1"/>
      <c r="X444" s="1"/>
      <c r="Y444" s="1"/>
      <c r="Z444" s="1"/>
    </row>
    <row r="445">
      <c r="A445" s="1"/>
      <c r="B445" s="32"/>
      <c r="C445" s="1"/>
      <c r="D445" s="1"/>
      <c r="E445" s="1"/>
      <c r="F445" s="1"/>
      <c r="G445" s="1"/>
      <c r="H445" s="32"/>
      <c r="I445" s="1"/>
      <c r="J445" s="1"/>
      <c r="K445" s="1"/>
      <c r="L445" s="1"/>
      <c r="M445" s="1"/>
      <c r="N445" s="1"/>
      <c r="O445" s="1"/>
      <c r="P445" s="1"/>
      <c r="Q445" s="1"/>
      <c r="R445" s="1"/>
      <c r="S445" s="1"/>
      <c r="T445" s="1"/>
      <c r="U445" s="1"/>
      <c r="V445" s="1"/>
      <c r="W445" s="1"/>
      <c r="X445" s="1"/>
      <c r="Y445" s="1"/>
      <c r="Z445" s="1"/>
    </row>
    <row r="446">
      <c r="A446" s="1"/>
      <c r="B446" s="32"/>
      <c r="C446" s="1"/>
      <c r="D446" s="1"/>
      <c r="E446" s="1"/>
      <c r="F446" s="1"/>
      <c r="G446" s="1"/>
      <c r="H446" s="32"/>
      <c r="I446" s="1"/>
      <c r="J446" s="1"/>
      <c r="K446" s="1"/>
      <c r="L446" s="1"/>
      <c r="M446" s="1"/>
      <c r="N446" s="1"/>
      <c r="O446" s="1"/>
      <c r="P446" s="1"/>
      <c r="Q446" s="1"/>
      <c r="R446" s="1"/>
      <c r="S446" s="1"/>
      <c r="T446" s="1"/>
      <c r="U446" s="1"/>
      <c r="V446" s="1"/>
      <c r="W446" s="1"/>
      <c r="X446" s="1"/>
      <c r="Y446" s="1"/>
      <c r="Z446" s="1"/>
    </row>
    <row r="447">
      <c r="A447" s="1"/>
      <c r="B447" s="32"/>
      <c r="C447" s="1"/>
      <c r="D447" s="1"/>
      <c r="E447" s="1"/>
      <c r="F447" s="1"/>
      <c r="G447" s="1"/>
      <c r="H447" s="32"/>
      <c r="I447" s="1"/>
      <c r="J447" s="1"/>
      <c r="K447" s="1"/>
      <c r="L447" s="1"/>
      <c r="M447" s="1"/>
      <c r="N447" s="1"/>
      <c r="O447" s="1"/>
      <c r="P447" s="1"/>
      <c r="Q447" s="1"/>
      <c r="R447" s="1"/>
      <c r="S447" s="1"/>
      <c r="T447" s="1"/>
      <c r="U447" s="1"/>
      <c r="V447" s="1"/>
      <c r="W447" s="1"/>
      <c r="X447" s="1"/>
      <c r="Y447" s="1"/>
      <c r="Z447" s="1"/>
    </row>
    <row r="448">
      <c r="A448" s="1"/>
      <c r="B448" s="32"/>
      <c r="C448" s="1"/>
      <c r="D448" s="1"/>
      <c r="E448" s="1"/>
      <c r="F448" s="1"/>
      <c r="G448" s="1"/>
      <c r="H448" s="32"/>
      <c r="I448" s="1"/>
      <c r="J448" s="1"/>
      <c r="K448" s="1"/>
      <c r="L448" s="1"/>
      <c r="M448" s="1"/>
      <c r="N448" s="1"/>
      <c r="O448" s="1"/>
      <c r="P448" s="1"/>
      <c r="Q448" s="1"/>
      <c r="R448" s="1"/>
      <c r="S448" s="1"/>
      <c r="T448" s="1"/>
      <c r="U448" s="1"/>
      <c r="V448" s="1"/>
      <c r="W448" s="1"/>
      <c r="X448" s="1"/>
      <c r="Y448" s="1"/>
      <c r="Z448" s="1"/>
    </row>
    <row r="449">
      <c r="A449" s="1"/>
      <c r="B449" s="32"/>
      <c r="C449" s="1"/>
      <c r="D449" s="1"/>
      <c r="E449" s="1"/>
      <c r="F449" s="1"/>
      <c r="G449" s="1"/>
      <c r="H449" s="32"/>
      <c r="I449" s="1"/>
      <c r="J449" s="1"/>
      <c r="K449" s="1"/>
      <c r="L449" s="1"/>
      <c r="M449" s="1"/>
      <c r="N449" s="1"/>
      <c r="O449" s="1"/>
      <c r="P449" s="1"/>
      <c r="Q449" s="1"/>
      <c r="R449" s="1"/>
      <c r="S449" s="1"/>
      <c r="T449" s="1"/>
      <c r="U449" s="1"/>
      <c r="V449" s="1"/>
      <c r="W449" s="1"/>
      <c r="X449" s="1"/>
      <c r="Y449" s="1"/>
      <c r="Z449" s="1"/>
    </row>
    <row r="450">
      <c r="A450" s="1"/>
      <c r="B450" s="32"/>
      <c r="C450" s="1"/>
      <c r="D450" s="1"/>
      <c r="E450" s="1"/>
      <c r="F450" s="1"/>
      <c r="G450" s="1"/>
      <c r="H450" s="32"/>
      <c r="I450" s="1"/>
      <c r="J450" s="1"/>
      <c r="K450" s="1"/>
      <c r="L450" s="1"/>
      <c r="M450" s="1"/>
      <c r="N450" s="1"/>
      <c r="O450" s="1"/>
      <c r="P450" s="1"/>
      <c r="Q450" s="1"/>
      <c r="R450" s="1"/>
      <c r="S450" s="1"/>
      <c r="T450" s="1"/>
      <c r="U450" s="1"/>
      <c r="V450" s="1"/>
      <c r="W450" s="1"/>
      <c r="X450" s="1"/>
      <c r="Y450" s="1"/>
      <c r="Z450" s="1"/>
    </row>
    <row r="451">
      <c r="A451" s="1"/>
      <c r="B451" s="32"/>
      <c r="C451" s="1"/>
      <c r="D451" s="1"/>
      <c r="E451" s="1"/>
      <c r="F451" s="1"/>
      <c r="G451" s="1"/>
      <c r="H451" s="32"/>
      <c r="I451" s="1"/>
      <c r="J451" s="1"/>
      <c r="K451" s="1"/>
      <c r="L451" s="1"/>
      <c r="M451" s="1"/>
      <c r="N451" s="1"/>
      <c r="O451" s="1"/>
      <c r="P451" s="1"/>
      <c r="Q451" s="1"/>
      <c r="R451" s="1"/>
      <c r="S451" s="1"/>
      <c r="T451" s="1"/>
      <c r="U451" s="1"/>
      <c r="V451" s="1"/>
      <c r="W451" s="1"/>
      <c r="X451" s="1"/>
      <c r="Y451" s="1"/>
      <c r="Z451" s="1"/>
    </row>
    <row r="452">
      <c r="A452" s="1"/>
      <c r="B452" s="32"/>
      <c r="C452" s="1"/>
      <c r="D452" s="1"/>
      <c r="E452" s="1"/>
      <c r="F452" s="1"/>
      <c r="G452" s="1"/>
      <c r="H452" s="32"/>
      <c r="I452" s="1"/>
      <c r="J452" s="1"/>
      <c r="K452" s="1"/>
      <c r="L452" s="1"/>
      <c r="M452" s="1"/>
      <c r="N452" s="1"/>
      <c r="O452" s="1"/>
      <c r="P452" s="1"/>
      <c r="Q452" s="1"/>
      <c r="R452" s="1"/>
      <c r="S452" s="1"/>
      <c r="T452" s="1"/>
      <c r="U452" s="1"/>
      <c r="V452" s="1"/>
      <c r="W452" s="1"/>
      <c r="X452" s="1"/>
      <c r="Y452" s="1"/>
      <c r="Z452" s="1"/>
    </row>
    <row r="453">
      <c r="A453" s="1"/>
      <c r="B453" s="32"/>
      <c r="C453" s="1"/>
      <c r="D453" s="1"/>
      <c r="E453" s="1"/>
      <c r="F453" s="1"/>
      <c r="G453" s="1"/>
      <c r="H453" s="32"/>
      <c r="I453" s="1"/>
      <c r="J453" s="1"/>
      <c r="K453" s="1"/>
      <c r="L453" s="1"/>
      <c r="M453" s="1"/>
      <c r="N453" s="1"/>
      <c r="O453" s="1"/>
      <c r="P453" s="1"/>
      <c r="Q453" s="1"/>
      <c r="R453" s="1"/>
      <c r="S453" s="1"/>
      <c r="T453" s="1"/>
      <c r="U453" s="1"/>
      <c r="V453" s="1"/>
      <c r="W453" s="1"/>
      <c r="X453" s="1"/>
      <c r="Y453" s="1"/>
      <c r="Z453" s="1"/>
    </row>
    <row r="454">
      <c r="A454" s="1"/>
      <c r="B454" s="32"/>
      <c r="C454" s="1"/>
      <c r="D454" s="1"/>
      <c r="E454" s="1"/>
      <c r="F454" s="1"/>
      <c r="G454" s="1"/>
      <c r="H454" s="32"/>
      <c r="I454" s="1"/>
      <c r="J454" s="1"/>
      <c r="K454" s="1"/>
      <c r="L454" s="1"/>
      <c r="M454" s="1"/>
      <c r="N454" s="1"/>
      <c r="O454" s="1"/>
      <c r="P454" s="1"/>
      <c r="Q454" s="1"/>
      <c r="R454" s="1"/>
      <c r="S454" s="1"/>
      <c r="T454" s="1"/>
      <c r="U454" s="1"/>
      <c r="V454" s="1"/>
      <c r="W454" s="1"/>
      <c r="X454" s="1"/>
      <c r="Y454" s="1"/>
      <c r="Z454" s="1"/>
    </row>
    <row r="455">
      <c r="A455" s="1"/>
      <c r="B455" s="32"/>
      <c r="C455" s="1"/>
      <c r="D455" s="1"/>
      <c r="E455" s="1"/>
      <c r="F455" s="1"/>
      <c r="G455" s="1"/>
      <c r="H455" s="32"/>
      <c r="I455" s="1"/>
      <c r="J455" s="1"/>
      <c r="K455" s="1"/>
      <c r="L455" s="1"/>
      <c r="M455" s="1"/>
      <c r="N455" s="1"/>
      <c r="O455" s="1"/>
      <c r="P455" s="1"/>
      <c r="Q455" s="1"/>
      <c r="R455" s="1"/>
      <c r="S455" s="1"/>
      <c r="T455" s="1"/>
      <c r="U455" s="1"/>
      <c r="V455" s="1"/>
      <c r="W455" s="1"/>
      <c r="X455" s="1"/>
      <c r="Y455" s="1"/>
      <c r="Z455" s="1"/>
    </row>
    <row r="456">
      <c r="A456" s="1"/>
      <c r="B456" s="32"/>
      <c r="C456" s="1"/>
      <c r="D456" s="1"/>
      <c r="E456" s="1"/>
      <c r="F456" s="1"/>
      <c r="G456" s="1"/>
      <c r="H456" s="32"/>
      <c r="I456" s="1"/>
      <c r="J456" s="1"/>
      <c r="K456" s="1"/>
      <c r="L456" s="1"/>
      <c r="M456" s="1"/>
      <c r="N456" s="1"/>
      <c r="O456" s="1"/>
      <c r="P456" s="1"/>
      <c r="Q456" s="1"/>
      <c r="R456" s="1"/>
      <c r="S456" s="1"/>
      <c r="T456" s="1"/>
      <c r="U456" s="1"/>
      <c r="V456" s="1"/>
      <c r="W456" s="1"/>
      <c r="X456" s="1"/>
      <c r="Y456" s="1"/>
      <c r="Z456" s="1"/>
    </row>
    <row r="457">
      <c r="A457" s="1"/>
      <c r="B457" s="32"/>
      <c r="C457" s="1"/>
      <c r="D457" s="1"/>
      <c r="E457" s="1"/>
      <c r="F457" s="1"/>
      <c r="G457" s="1"/>
      <c r="H457" s="32"/>
      <c r="I457" s="1"/>
      <c r="J457" s="1"/>
      <c r="K457" s="1"/>
      <c r="L457" s="1"/>
      <c r="M457" s="1"/>
      <c r="N457" s="1"/>
      <c r="O457" s="1"/>
      <c r="P457" s="1"/>
      <c r="Q457" s="1"/>
      <c r="R457" s="1"/>
      <c r="S457" s="1"/>
      <c r="T457" s="1"/>
      <c r="U457" s="1"/>
      <c r="V457" s="1"/>
      <c r="W457" s="1"/>
      <c r="X457" s="1"/>
      <c r="Y457" s="1"/>
      <c r="Z457" s="1"/>
    </row>
    <row r="458">
      <c r="A458" s="1"/>
      <c r="B458" s="32"/>
      <c r="C458" s="1"/>
      <c r="D458" s="1"/>
      <c r="E458" s="1"/>
      <c r="F458" s="1"/>
      <c r="G458" s="1"/>
      <c r="H458" s="32"/>
      <c r="I458" s="1"/>
      <c r="J458" s="1"/>
      <c r="K458" s="1"/>
      <c r="L458" s="1"/>
      <c r="M458" s="1"/>
      <c r="N458" s="1"/>
      <c r="O458" s="1"/>
      <c r="P458" s="1"/>
      <c r="Q458" s="1"/>
      <c r="R458" s="1"/>
      <c r="S458" s="1"/>
      <c r="T458" s="1"/>
      <c r="U458" s="1"/>
      <c r="V458" s="1"/>
      <c r="W458" s="1"/>
      <c r="X458" s="1"/>
      <c r="Y458" s="1"/>
      <c r="Z458" s="1"/>
    </row>
    <row r="459">
      <c r="A459" s="1"/>
      <c r="B459" s="32"/>
      <c r="C459" s="1"/>
      <c r="D459" s="1"/>
      <c r="E459" s="1"/>
      <c r="F459" s="1"/>
      <c r="G459" s="1"/>
      <c r="H459" s="32"/>
      <c r="I459" s="1"/>
      <c r="J459" s="1"/>
      <c r="K459" s="1"/>
      <c r="L459" s="1"/>
      <c r="M459" s="1"/>
      <c r="N459" s="1"/>
      <c r="O459" s="1"/>
      <c r="P459" s="1"/>
      <c r="Q459" s="1"/>
      <c r="R459" s="1"/>
      <c r="S459" s="1"/>
      <c r="T459" s="1"/>
      <c r="U459" s="1"/>
      <c r="V459" s="1"/>
      <c r="W459" s="1"/>
      <c r="X459" s="1"/>
      <c r="Y459" s="1"/>
      <c r="Z459" s="1"/>
    </row>
    <row r="460">
      <c r="A460" s="1"/>
      <c r="B460" s="32"/>
      <c r="C460" s="1"/>
      <c r="D460" s="1"/>
      <c r="E460" s="1"/>
      <c r="F460" s="1"/>
      <c r="G460" s="1"/>
      <c r="H460" s="32"/>
      <c r="I460" s="1"/>
      <c r="J460" s="1"/>
      <c r="K460" s="1"/>
      <c r="L460" s="1"/>
      <c r="M460" s="1"/>
      <c r="N460" s="1"/>
      <c r="O460" s="1"/>
      <c r="P460" s="1"/>
      <c r="Q460" s="1"/>
      <c r="R460" s="1"/>
      <c r="S460" s="1"/>
      <c r="T460" s="1"/>
      <c r="U460" s="1"/>
      <c r="V460" s="1"/>
      <c r="W460" s="1"/>
      <c r="X460" s="1"/>
      <c r="Y460" s="1"/>
      <c r="Z460" s="1"/>
    </row>
    <row r="461">
      <c r="A461" s="1"/>
      <c r="B461" s="32"/>
      <c r="C461" s="1"/>
      <c r="D461" s="1"/>
      <c r="E461" s="1"/>
      <c r="F461" s="1"/>
      <c r="G461" s="1"/>
      <c r="H461" s="32"/>
      <c r="I461" s="1"/>
      <c r="J461" s="1"/>
      <c r="K461" s="1"/>
      <c r="L461" s="1"/>
      <c r="M461" s="1"/>
      <c r="N461" s="1"/>
      <c r="O461" s="1"/>
      <c r="P461" s="1"/>
      <c r="Q461" s="1"/>
      <c r="R461" s="1"/>
      <c r="S461" s="1"/>
      <c r="T461" s="1"/>
      <c r="U461" s="1"/>
      <c r="V461" s="1"/>
      <c r="W461" s="1"/>
      <c r="X461" s="1"/>
      <c r="Y461" s="1"/>
      <c r="Z461" s="1"/>
    </row>
    <row r="462">
      <c r="A462" s="1"/>
      <c r="B462" s="32"/>
      <c r="C462" s="1"/>
      <c r="D462" s="1"/>
      <c r="E462" s="1"/>
      <c r="F462" s="1"/>
      <c r="G462" s="1"/>
      <c r="H462" s="32"/>
      <c r="I462" s="1"/>
      <c r="J462" s="1"/>
      <c r="K462" s="1"/>
      <c r="L462" s="1"/>
      <c r="M462" s="1"/>
      <c r="N462" s="1"/>
      <c r="O462" s="1"/>
      <c r="P462" s="1"/>
      <c r="Q462" s="1"/>
      <c r="R462" s="1"/>
      <c r="S462" s="1"/>
      <c r="T462" s="1"/>
      <c r="U462" s="1"/>
      <c r="V462" s="1"/>
      <c r="W462" s="1"/>
      <c r="X462" s="1"/>
      <c r="Y462" s="1"/>
      <c r="Z462" s="1"/>
    </row>
    <row r="463">
      <c r="A463" s="1"/>
      <c r="B463" s="32"/>
      <c r="C463" s="1"/>
      <c r="D463" s="1"/>
      <c r="E463" s="1"/>
      <c r="F463" s="1"/>
      <c r="G463" s="1"/>
      <c r="H463" s="32"/>
      <c r="I463" s="1"/>
      <c r="J463" s="1"/>
      <c r="K463" s="1"/>
      <c r="L463" s="1"/>
      <c r="M463" s="1"/>
      <c r="N463" s="1"/>
      <c r="O463" s="1"/>
      <c r="P463" s="1"/>
      <c r="Q463" s="1"/>
      <c r="R463" s="1"/>
      <c r="S463" s="1"/>
      <c r="T463" s="1"/>
      <c r="U463" s="1"/>
      <c r="V463" s="1"/>
      <c r="W463" s="1"/>
      <c r="X463" s="1"/>
      <c r="Y463" s="1"/>
      <c r="Z463" s="1"/>
    </row>
    <row r="464">
      <c r="A464" s="1"/>
      <c r="B464" s="32"/>
      <c r="C464" s="1"/>
      <c r="D464" s="1"/>
      <c r="E464" s="1"/>
      <c r="F464" s="1"/>
      <c r="G464" s="1"/>
      <c r="H464" s="32"/>
      <c r="I464" s="1"/>
      <c r="J464" s="1"/>
      <c r="K464" s="1"/>
      <c r="L464" s="1"/>
      <c r="M464" s="1"/>
      <c r="N464" s="1"/>
      <c r="O464" s="1"/>
      <c r="P464" s="1"/>
      <c r="Q464" s="1"/>
      <c r="R464" s="1"/>
      <c r="S464" s="1"/>
      <c r="T464" s="1"/>
      <c r="U464" s="1"/>
      <c r="V464" s="1"/>
      <c r="W464" s="1"/>
      <c r="X464" s="1"/>
      <c r="Y464" s="1"/>
      <c r="Z464" s="1"/>
    </row>
    <row r="465">
      <c r="A465" s="1"/>
      <c r="B465" s="32"/>
      <c r="C465" s="1"/>
      <c r="D465" s="1"/>
      <c r="E465" s="1"/>
      <c r="F465" s="1"/>
      <c r="G465" s="1"/>
      <c r="H465" s="32"/>
      <c r="I465" s="1"/>
      <c r="J465" s="1"/>
      <c r="K465" s="1"/>
      <c r="L465" s="1"/>
      <c r="M465" s="1"/>
      <c r="N465" s="1"/>
      <c r="O465" s="1"/>
      <c r="P465" s="1"/>
      <c r="Q465" s="1"/>
      <c r="R465" s="1"/>
      <c r="S465" s="1"/>
      <c r="T465" s="1"/>
      <c r="U465" s="1"/>
      <c r="V465" s="1"/>
      <c r="W465" s="1"/>
      <c r="X465" s="1"/>
      <c r="Y465" s="1"/>
      <c r="Z465" s="1"/>
    </row>
    <row r="466">
      <c r="A466" s="1"/>
      <c r="B466" s="32"/>
      <c r="C466" s="1"/>
      <c r="D466" s="1"/>
      <c r="E466" s="1"/>
      <c r="F466" s="1"/>
      <c r="G466" s="1"/>
      <c r="H466" s="32"/>
      <c r="I466" s="1"/>
      <c r="J466" s="1"/>
      <c r="K466" s="1"/>
      <c r="L466" s="1"/>
      <c r="M466" s="1"/>
      <c r="N466" s="1"/>
      <c r="O466" s="1"/>
      <c r="P466" s="1"/>
      <c r="Q466" s="1"/>
      <c r="R466" s="1"/>
      <c r="S466" s="1"/>
      <c r="T466" s="1"/>
      <c r="U466" s="1"/>
      <c r="V466" s="1"/>
      <c r="W466" s="1"/>
      <c r="X466" s="1"/>
      <c r="Y466" s="1"/>
      <c r="Z466" s="1"/>
    </row>
    <row r="467">
      <c r="A467" s="1"/>
      <c r="B467" s="32"/>
      <c r="C467" s="1"/>
      <c r="D467" s="1"/>
      <c r="E467" s="1"/>
      <c r="F467" s="1"/>
      <c r="G467" s="1"/>
      <c r="H467" s="32"/>
      <c r="I467" s="1"/>
      <c r="J467" s="1"/>
      <c r="K467" s="1"/>
      <c r="L467" s="1"/>
      <c r="M467" s="1"/>
      <c r="N467" s="1"/>
      <c r="O467" s="1"/>
      <c r="P467" s="1"/>
      <c r="Q467" s="1"/>
      <c r="R467" s="1"/>
      <c r="S467" s="1"/>
      <c r="T467" s="1"/>
      <c r="U467" s="1"/>
      <c r="V467" s="1"/>
      <c r="W467" s="1"/>
      <c r="X467" s="1"/>
      <c r="Y467" s="1"/>
      <c r="Z467" s="1"/>
    </row>
    <row r="468">
      <c r="A468" s="1"/>
      <c r="B468" s="32"/>
      <c r="C468" s="1"/>
      <c r="D468" s="1"/>
      <c r="E468" s="1"/>
      <c r="F468" s="1"/>
      <c r="G468" s="1"/>
      <c r="H468" s="32"/>
      <c r="I468" s="1"/>
      <c r="J468" s="1"/>
      <c r="K468" s="1"/>
      <c r="L468" s="1"/>
      <c r="M468" s="1"/>
      <c r="N468" s="1"/>
      <c r="O468" s="1"/>
      <c r="P468" s="1"/>
      <c r="Q468" s="1"/>
      <c r="R468" s="1"/>
      <c r="S468" s="1"/>
      <c r="T468" s="1"/>
      <c r="U468" s="1"/>
      <c r="V468" s="1"/>
      <c r="W468" s="1"/>
      <c r="X468" s="1"/>
      <c r="Y468" s="1"/>
      <c r="Z468" s="1"/>
    </row>
    <row r="469">
      <c r="A469" s="1"/>
      <c r="B469" s="32"/>
      <c r="C469" s="1"/>
      <c r="D469" s="1"/>
      <c r="E469" s="1"/>
      <c r="F469" s="1"/>
      <c r="G469" s="1"/>
      <c r="H469" s="32"/>
      <c r="I469" s="1"/>
      <c r="J469" s="1"/>
      <c r="K469" s="1"/>
      <c r="L469" s="1"/>
      <c r="M469" s="1"/>
      <c r="N469" s="1"/>
      <c r="O469" s="1"/>
      <c r="P469" s="1"/>
      <c r="Q469" s="1"/>
      <c r="R469" s="1"/>
      <c r="S469" s="1"/>
      <c r="T469" s="1"/>
      <c r="U469" s="1"/>
      <c r="V469" s="1"/>
      <c r="W469" s="1"/>
      <c r="X469" s="1"/>
      <c r="Y469" s="1"/>
      <c r="Z469" s="1"/>
    </row>
    <row r="470">
      <c r="A470" s="1"/>
      <c r="B470" s="32"/>
      <c r="C470" s="1"/>
      <c r="D470" s="1"/>
      <c r="E470" s="1"/>
      <c r="F470" s="1"/>
      <c r="G470" s="1"/>
      <c r="H470" s="32"/>
      <c r="I470" s="1"/>
      <c r="J470" s="1"/>
      <c r="K470" s="1"/>
      <c r="L470" s="1"/>
      <c r="M470" s="1"/>
      <c r="N470" s="1"/>
      <c r="O470" s="1"/>
      <c r="P470" s="1"/>
      <c r="Q470" s="1"/>
      <c r="R470" s="1"/>
      <c r="S470" s="1"/>
      <c r="T470" s="1"/>
      <c r="U470" s="1"/>
      <c r="V470" s="1"/>
      <c r="W470" s="1"/>
      <c r="X470" s="1"/>
      <c r="Y470" s="1"/>
      <c r="Z470" s="1"/>
    </row>
    <row r="471">
      <c r="A471" s="1"/>
      <c r="B471" s="32"/>
      <c r="C471" s="1"/>
      <c r="D471" s="1"/>
      <c r="E471" s="1"/>
      <c r="F471" s="1"/>
      <c r="G471" s="1"/>
      <c r="H471" s="32"/>
      <c r="I471" s="1"/>
      <c r="J471" s="1"/>
      <c r="K471" s="1"/>
      <c r="L471" s="1"/>
      <c r="M471" s="1"/>
      <c r="N471" s="1"/>
      <c r="O471" s="1"/>
      <c r="P471" s="1"/>
      <c r="Q471" s="1"/>
      <c r="R471" s="1"/>
      <c r="S471" s="1"/>
      <c r="T471" s="1"/>
      <c r="U471" s="1"/>
      <c r="V471" s="1"/>
      <c r="W471" s="1"/>
      <c r="X471" s="1"/>
      <c r="Y471" s="1"/>
      <c r="Z471" s="1"/>
    </row>
    <row r="472">
      <c r="A472" s="1"/>
      <c r="B472" s="32"/>
      <c r="C472" s="1"/>
      <c r="D472" s="1"/>
      <c r="E472" s="1"/>
      <c r="F472" s="1"/>
      <c r="G472" s="1"/>
      <c r="H472" s="32"/>
      <c r="I472" s="1"/>
      <c r="J472" s="1"/>
      <c r="K472" s="1"/>
      <c r="L472" s="1"/>
      <c r="M472" s="1"/>
      <c r="N472" s="1"/>
      <c r="O472" s="1"/>
      <c r="P472" s="1"/>
      <c r="Q472" s="1"/>
      <c r="R472" s="1"/>
      <c r="S472" s="1"/>
      <c r="T472" s="1"/>
      <c r="U472" s="1"/>
      <c r="V472" s="1"/>
      <c r="W472" s="1"/>
      <c r="X472" s="1"/>
      <c r="Y472" s="1"/>
      <c r="Z472" s="1"/>
    </row>
    <row r="473">
      <c r="A473" s="1"/>
      <c r="B473" s="32"/>
      <c r="C473" s="1"/>
      <c r="D473" s="1"/>
      <c r="E473" s="1"/>
      <c r="F473" s="1"/>
      <c r="G473" s="1"/>
      <c r="H473" s="32"/>
      <c r="I473" s="1"/>
      <c r="J473" s="1"/>
      <c r="K473" s="1"/>
      <c r="L473" s="1"/>
      <c r="M473" s="1"/>
      <c r="N473" s="1"/>
      <c r="O473" s="1"/>
      <c r="P473" s="1"/>
      <c r="Q473" s="1"/>
      <c r="R473" s="1"/>
      <c r="S473" s="1"/>
      <c r="T473" s="1"/>
      <c r="U473" s="1"/>
      <c r="V473" s="1"/>
      <c r="W473" s="1"/>
      <c r="X473" s="1"/>
      <c r="Y473" s="1"/>
      <c r="Z473" s="1"/>
    </row>
    <row r="474">
      <c r="A474" s="1"/>
      <c r="B474" s="32"/>
      <c r="C474" s="1"/>
      <c r="D474" s="1"/>
      <c r="E474" s="1"/>
      <c r="F474" s="1"/>
      <c r="G474" s="1"/>
      <c r="H474" s="32"/>
      <c r="I474" s="1"/>
      <c r="J474" s="1"/>
      <c r="K474" s="1"/>
      <c r="L474" s="1"/>
      <c r="M474" s="1"/>
      <c r="N474" s="1"/>
      <c r="O474" s="1"/>
      <c r="P474" s="1"/>
      <c r="Q474" s="1"/>
      <c r="R474" s="1"/>
      <c r="S474" s="1"/>
      <c r="T474" s="1"/>
      <c r="U474" s="1"/>
      <c r="V474" s="1"/>
      <c r="W474" s="1"/>
      <c r="X474" s="1"/>
      <c r="Y474" s="1"/>
      <c r="Z474" s="1"/>
    </row>
    <row r="475">
      <c r="A475" s="1"/>
      <c r="B475" s="32"/>
      <c r="C475" s="1"/>
      <c r="D475" s="1"/>
      <c r="E475" s="1"/>
      <c r="F475" s="1"/>
      <c r="G475" s="1"/>
      <c r="H475" s="32"/>
      <c r="I475" s="1"/>
      <c r="J475" s="1"/>
      <c r="K475" s="1"/>
      <c r="L475" s="1"/>
      <c r="M475" s="1"/>
      <c r="N475" s="1"/>
      <c r="O475" s="1"/>
      <c r="P475" s="1"/>
      <c r="Q475" s="1"/>
      <c r="R475" s="1"/>
      <c r="S475" s="1"/>
      <c r="T475" s="1"/>
      <c r="U475" s="1"/>
      <c r="V475" s="1"/>
      <c r="W475" s="1"/>
      <c r="X475" s="1"/>
      <c r="Y475" s="1"/>
      <c r="Z475" s="1"/>
    </row>
    <row r="476">
      <c r="A476" s="1"/>
      <c r="B476" s="32"/>
      <c r="C476" s="1"/>
      <c r="D476" s="1"/>
      <c r="E476" s="1"/>
      <c r="F476" s="1"/>
      <c r="G476" s="1"/>
      <c r="H476" s="32"/>
      <c r="I476" s="1"/>
      <c r="J476" s="1"/>
      <c r="K476" s="1"/>
      <c r="L476" s="1"/>
      <c r="M476" s="1"/>
      <c r="N476" s="1"/>
      <c r="O476" s="1"/>
      <c r="P476" s="1"/>
      <c r="Q476" s="1"/>
      <c r="R476" s="1"/>
      <c r="S476" s="1"/>
      <c r="T476" s="1"/>
      <c r="U476" s="1"/>
      <c r="V476" s="1"/>
      <c r="W476" s="1"/>
      <c r="X476" s="1"/>
      <c r="Y476" s="1"/>
      <c r="Z476" s="1"/>
    </row>
    <row r="477">
      <c r="A477" s="1"/>
      <c r="B477" s="32"/>
      <c r="C477" s="1"/>
      <c r="D477" s="1"/>
      <c r="E477" s="1"/>
      <c r="F477" s="1"/>
      <c r="G477" s="1"/>
      <c r="H477" s="32"/>
      <c r="I477" s="1"/>
      <c r="J477" s="1"/>
      <c r="K477" s="1"/>
      <c r="L477" s="1"/>
      <c r="M477" s="1"/>
      <c r="N477" s="1"/>
      <c r="O477" s="1"/>
      <c r="P477" s="1"/>
      <c r="Q477" s="1"/>
      <c r="R477" s="1"/>
      <c r="S477" s="1"/>
      <c r="T477" s="1"/>
      <c r="U477" s="1"/>
      <c r="V477" s="1"/>
      <c r="W477" s="1"/>
      <c r="X477" s="1"/>
      <c r="Y477" s="1"/>
      <c r="Z477" s="1"/>
    </row>
    <row r="478">
      <c r="A478" s="1"/>
      <c r="B478" s="32"/>
      <c r="C478" s="1"/>
      <c r="D478" s="1"/>
      <c r="E478" s="1"/>
      <c r="F478" s="1"/>
      <c r="G478" s="1"/>
      <c r="H478" s="32"/>
      <c r="I478" s="1"/>
      <c r="J478" s="1"/>
      <c r="K478" s="1"/>
      <c r="L478" s="1"/>
      <c r="M478" s="1"/>
      <c r="N478" s="1"/>
      <c r="O478" s="1"/>
      <c r="P478" s="1"/>
      <c r="Q478" s="1"/>
      <c r="R478" s="1"/>
      <c r="S478" s="1"/>
      <c r="T478" s="1"/>
      <c r="U478" s="1"/>
      <c r="V478" s="1"/>
      <c r="W478" s="1"/>
      <c r="X478" s="1"/>
      <c r="Y478" s="1"/>
      <c r="Z478" s="1"/>
    </row>
    <row r="479">
      <c r="A479" s="1"/>
      <c r="B479" s="32"/>
      <c r="C479" s="1"/>
      <c r="D479" s="1"/>
      <c r="E479" s="1"/>
      <c r="F479" s="1"/>
      <c r="G479" s="1"/>
      <c r="H479" s="32"/>
      <c r="I479" s="1"/>
      <c r="J479" s="1"/>
      <c r="K479" s="1"/>
      <c r="L479" s="1"/>
      <c r="M479" s="1"/>
      <c r="N479" s="1"/>
      <c r="O479" s="1"/>
      <c r="P479" s="1"/>
      <c r="Q479" s="1"/>
      <c r="R479" s="1"/>
      <c r="S479" s="1"/>
      <c r="T479" s="1"/>
      <c r="U479" s="1"/>
      <c r="V479" s="1"/>
      <c r="W479" s="1"/>
      <c r="X479" s="1"/>
      <c r="Y479" s="1"/>
      <c r="Z479" s="1"/>
    </row>
    <row r="480">
      <c r="A480" s="1"/>
      <c r="B480" s="32"/>
      <c r="C480" s="1"/>
      <c r="D480" s="1"/>
      <c r="E480" s="1"/>
      <c r="F480" s="1"/>
      <c r="G480" s="1"/>
      <c r="H480" s="32"/>
      <c r="I480" s="1"/>
      <c r="J480" s="1"/>
      <c r="K480" s="1"/>
      <c r="L480" s="1"/>
      <c r="M480" s="1"/>
      <c r="N480" s="1"/>
      <c r="O480" s="1"/>
      <c r="P480" s="1"/>
      <c r="Q480" s="1"/>
      <c r="R480" s="1"/>
      <c r="S480" s="1"/>
      <c r="T480" s="1"/>
      <c r="U480" s="1"/>
      <c r="V480" s="1"/>
      <c r="W480" s="1"/>
      <c r="X480" s="1"/>
      <c r="Y480" s="1"/>
      <c r="Z480" s="1"/>
    </row>
    <row r="481">
      <c r="A481" s="1"/>
      <c r="B481" s="32"/>
      <c r="C481" s="1"/>
      <c r="D481" s="1"/>
      <c r="E481" s="1"/>
      <c r="F481" s="1"/>
      <c r="G481" s="1"/>
      <c r="H481" s="32"/>
      <c r="I481" s="1"/>
      <c r="J481" s="1"/>
      <c r="K481" s="1"/>
      <c r="L481" s="1"/>
      <c r="M481" s="1"/>
      <c r="N481" s="1"/>
      <c r="O481" s="1"/>
      <c r="P481" s="1"/>
      <c r="Q481" s="1"/>
      <c r="R481" s="1"/>
      <c r="S481" s="1"/>
      <c r="T481" s="1"/>
      <c r="U481" s="1"/>
      <c r="V481" s="1"/>
      <c r="W481" s="1"/>
      <c r="X481" s="1"/>
      <c r="Y481" s="1"/>
      <c r="Z481" s="1"/>
    </row>
    <row r="482">
      <c r="A482" s="1"/>
      <c r="B482" s="32"/>
      <c r="C482" s="1"/>
      <c r="D482" s="1"/>
      <c r="E482" s="1"/>
      <c r="F482" s="1"/>
      <c r="G482" s="1"/>
      <c r="H482" s="32"/>
      <c r="I482" s="1"/>
      <c r="J482" s="1"/>
      <c r="K482" s="1"/>
      <c r="L482" s="1"/>
      <c r="M482" s="1"/>
      <c r="N482" s="1"/>
      <c r="O482" s="1"/>
      <c r="P482" s="1"/>
      <c r="Q482" s="1"/>
      <c r="R482" s="1"/>
      <c r="S482" s="1"/>
      <c r="T482" s="1"/>
      <c r="U482" s="1"/>
      <c r="V482" s="1"/>
      <c r="W482" s="1"/>
      <c r="X482" s="1"/>
      <c r="Y482" s="1"/>
      <c r="Z482" s="1"/>
    </row>
    <row r="483">
      <c r="A483" s="1"/>
      <c r="B483" s="32"/>
      <c r="C483" s="1"/>
      <c r="D483" s="1"/>
      <c r="E483" s="1"/>
      <c r="F483" s="1"/>
      <c r="G483" s="1"/>
      <c r="H483" s="32"/>
      <c r="I483" s="1"/>
      <c r="J483" s="1"/>
      <c r="K483" s="1"/>
      <c r="L483" s="1"/>
      <c r="M483" s="1"/>
      <c r="N483" s="1"/>
      <c r="O483" s="1"/>
      <c r="P483" s="1"/>
      <c r="Q483" s="1"/>
      <c r="R483" s="1"/>
      <c r="S483" s="1"/>
      <c r="T483" s="1"/>
      <c r="U483" s="1"/>
      <c r="V483" s="1"/>
      <c r="W483" s="1"/>
      <c r="X483" s="1"/>
      <c r="Y483" s="1"/>
      <c r="Z483" s="1"/>
    </row>
    <row r="484">
      <c r="A484" s="1"/>
      <c r="B484" s="32"/>
      <c r="C484" s="1"/>
      <c r="D484" s="1"/>
      <c r="E484" s="1"/>
      <c r="F484" s="1"/>
      <c r="G484" s="1"/>
      <c r="H484" s="32"/>
      <c r="I484" s="1"/>
      <c r="J484" s="1"/>
      <c r="K484" s="1"/>
      <c r="L484" s="1"/>
      <c r="M484" s="1"/>
      <c r="N484" s="1"/>
      <c r="O484" s="1"/>
      <c r="P484" s="1"/>
      <c r="Q484" s="1"/>
      <c r="R484" s="1"/>
      <c r="S484" s="1"/>
      <c r="T484" s="1"/>
      <c r="U484" s="1"/>
      <c r="V484" s="1"/>
      <c r="W484" s="1"/>
      <c r="X484" s="1"/>
      <c r="Y484" s="1"/>
      <c r="Z484" s="1"/>
    </row>
    <row r="485">
      <c r="A485" s="1"/>
      <c r="B485" s="32"/>
      <c r="C485" s="1"/>
      <c r="D485" s="1"/>
      <c r="E485" s="1"/>
      <c r="F485" s="1"/>
      <c r="G485" s="1"/>
      <c r="H485" s="32"/>
      <c r="I485" s="1"/>
      <c r="J485" s="1"/>
      <c r="K485" s="1"/>
      <c r="L485" s="1"/>
      <c r="M485" s="1"/>
      <c r="N485" s="1"/>
      <c r="O485" s="1"/>
      <c r="P485" s="1"/>
      <c r="Q485" s="1"/>
      <c r="R485" s="1"/>
      <c r="S485" s="1"/>
      <c r="T485" s="1"/>
      <c r="U485" s="1"/>
      <c r="V485" s="1"/>
      <c r="W485" s="1"/>
      <c r="X485" s="1"/>
      <c r="Y485" s="1"/>
      <c r="Z485" s="1"/>
    </row>
    <row r="486">
      <c r="A486" s="1"/>
      <c r="B486" s="32"/>
      <c r="C486" s="1"/>
      <c r="D486" s="1"/>
      <c r="E486" s="1"/>
      <c r="F486" s="1"/>
      <c r="G486" s="1"/>
      <c r="H486" s="32"/>
      <c r="I486" s="1"/>
      <c r="J486" s="1"/>
      <c r="K486" s="1"/>
      <c r="L486" s="1"/>
      <c r="M486" s="1"/>
      <c r="N486" s="1"/>
      <c r="O486" s="1"/>
      <c r="P486" s="1"/>
      <c r="Q486" s="1"/>
      <c r="R486" s="1"/>
      <c r="S486" s="1"/>
      <c r="T486" s="1"/>
      <c r="U486" s="1"/>
      <c r="V486" s="1"/>
      <c r="W486" s="1"/>
      <c r="X486" s="1"/>
      <c r="Y486" s="1"/>
      <c r="Z486" s="1"/>
    </row>
    <row r="487">
      <c r="A487" s="1"/>
      <c r="B487" s="32"/>
      <c r="C487" s="1"/>
      <c r="D487" s="1"/>
      <c r="E487" s="1"/>
      <c r="F487" s="1"/>
      <c r="G487" s="1"/>
      <c r="H487" s="32"/>
      <c r="I487" s="1"/>
      <c r="J487" s="1"/>
      <c r="K487" s="1"/>
      <c r="L487" s="1"/>
      <c r="M487" s="1"/>
      <c r="N487" s="1"/>
      <c r="O487" s="1"/>
      <c r="P487" s="1"/>
      <c r="Q487" s="1"/>
      <c r="R487" s="1"/>
      <c r="S487" s="1"/>
      <c r="T487" s="1"/>
      <c r="U487" s="1"/>
      <c r="V487" s="1"/>
      <c r="W487" s="1"/>
      <c r="X487" s="1"/>
      <c r="Y487" s="1"/>
      <c r="Z487" s="1"/>
    </row>
    <row r="488">
      <c r="A488" s="1"/>
      <c r="B488" s="32"/>
      <c r="C488" s="1"/>
      <c r="D488" s="1"/>
      <c r="E488" s="1"/>
      <c r="F488" s="1"/>
      <c r="G488" s="1"/>
      <c r="H488" s="32"/>
      <c r="I488" s="1"/>
      <c r="J488" s="1"/>
      <c r="K488" s="1"/>
      <c r="L488" s="1"/>
      <c r="M488" s="1"/>
      <c r="N488" s="1"/>
      <c r="O488" s="1"/>
      <c r="P488" s="1"/>
      <c r="Q488" s="1"/>
      <c r="R488" s="1"/>
      <c r="S488" s="1"/>
      <c r="T488" s="1"/>
      <c r="U488" s="1"/>
      <c r="V488" s="1"/>
      <c r="W488" s="1"/>
      <c r="X488" s="1"/>
      <c r="Y488" s="1"/>
      <c r="Z488" s="1"/>
    </row>
    <row r="489">
      <c r="A489" s="1"/>
      <c r="B489" s="32"/>
      <c r="C489" s="1"/>
      <c r="D489" s="1"/>
      <c r="E489" s="1"/>
      <c r="F489" s="1"/>
      <c r="G489" s="1"/>
      <c r="H489" s="32"/>
      <c r="I489" s="1"/>
      <c r="J489" s="1"/>
      <c r="K489" s="1"/>
      <c r="L489" s="1"/>
      <c r="M489" s="1"/>
      <c r="N489" s="1"/>
      <c r="O489" s="1"/>
      <c r="P489" s="1"/>
      <c r="Q489" s="1"/>
      <c r="R489" s="1"/>
      <c r="S489" s="1"/>
      <c r="T489" s="1"/>
      <c r="U489" s="1"/>
      <c r="V489" s="1"/>
      <c r="W489" s="1"/>
      <c r="X489" s="1"/>
      <c r="Y489" s="1"/>
      <c r="Z489" s="1"/>
    </row>
    <row r="490">
      <c r="A490" s="1"/>
      <c r="B490" s="32"/>
      <c r="C490" s="1"/>
      <c r="D490" s="1"/>
      <c r="E490" s="1"/>
      <c r="F490" s="1"/>
      <c r="G490" s="1"/>
      <c r="H490" s="32"/>
      <c r="I490" s="1"/>
      <c r="J490" s="1"/>
      <c r="K490" s="1"/>
      <c r="L490" s="1"/>
      <c r="M490" s="1"/>
      <c r="N490" s="1"/>
      <c r="O490" s="1"/>
      <c r="P490" s="1"/>
      <c r="Q490" s="1"/>
      <c r="R490" s="1"/>
      <c r="S490" s="1"/>
      <c r="T490" s="1"/>
      <c r="U490" s="1"/>
      <c r="V490" s="1"/>
      <c r="W490" s="1"/>
      <c r="X490" s="1"/>
      <c r="Y490" s="1"/>
      <c r="Z490" s="1"/>
    </row>
    <row r="491">
      <c r="A491" s="1"/>
      <c r="B491" s="32"/>
      <c r="C491" s="1"/>
      <c r="D491" s="1"/>
      <c r="E491" s="1"/>
      <c r="F491" s="1"/>
      <c r="G491" s="1"/>
      <c r="H491" s="32"/>
      <c r="I491" s="1"/>
      <c r="J491" s="1"/>
      <c r="K491" s="1"/>
      <c r="L491" s="1"/>
      <c r="M491" s="1"/>
      <c r="N491" s="1"/>
      <c r="O491" s="1"/>
      <c r="P491" s="1"/>
      <c r="Q491" s="1"/>
      <c r="R491" s="1"/>
      <c r="S491" s="1"/>
      <c r="T491" s="1"/>
      <c r="U491" s="1"/>
      <c r="V491" s="1"/>
      <c r="W491" s="1"/>
      <c r="X491" s="1"/>
      <c r="Y491" s="1"/>
      <c r="Z491" s="1"/>
    </row>
    <row r="492">
      <c r="A492" s="1"/>
      <c r="B492" s="32"/>
      <c r="C492" s="1"/>
      <c r="D492" s="1"/>
      <c r="E492" s="1"/>
      <c r="F492" s="1"/>
      <c r="G492" s="1"/>
      <c r="H492" s="32"/>
      <c r="I492" s="1"/>
      <c r="J492" s="1"/>
      <c r="K492" s="1"/>
      <c r="L492" s="1"/>
      <c r="M492" s="1"/>
      <c r="N492" s="1"/>
      <c r="O492" s="1"/>
      <c r="P492" s="1"/>
      <c r="Q492" s="1"/>
      <c r="R492" s="1"/>
      <c r="S492" s="1"/>
      <c r="T492" s="1"/>
      <c r="U492" s="1"/>
      <c r="V492" s="1"/>
      <c r="W492" s="1"/>
      <c r="X492" s="1"/>
      <c r="Y492" s="1"/>
      <c r="Z492" s="1"/>
    </row>
    <row r="493">
      <c r="A493" s="1"/>
      <c r="B493" s="32"/>
      <c r="C493" s="1"/>
      <c r="D493" s="1"/>
      <c r="E493" s="1"/>
      <c r="F493" s="1"/>
      <c r="G493" s="1"/>
      <c r="H493" s="32"/>
      <c r="I493" s="1"/>
      <c r="J493" s="1"/>
      <c r="K493" s="1"/>
      <c r="L493" s="1"/>
      <c r="M493" s="1"/>
      <c r="N493" s="1"/>
      <c r="O493" s="1"/>
      <c r="P493" s="1"/>
      <c r="Q493" s="1"/>
      <c r="R493" s="1"/>
      <c r="S493" s="1"/>
      <c r="T493" s="1"/>
      <c r="U493" s="1"/>
      <c r="V493" s="1"/>
      <c r="W493" s="1"/>
      <c r="X493" s="1"/>
      <c r="Y493" s="1"/>
      <c r="Z493" s="1"/>
    </row>
    <row r="494">
      <c r="A494" s="1"/>
      <c r="B494" s="32"/>
      <c r="C494" s="1"/>
      <c r="D494" s="1"/>
      <c r="E494" s="1"/>
      <c r="F494" s="1"/>
      <c r="G494" s="1"/>
      <c r="H494" s="32"/>
      <c r="I494" s="1"/>
      <c r="J494" s="1"/>
      <c r="K494" s="1"/>
      <c r="L494" s="1"/>
      <c r="M494" s="1"/>
      <c r="N494" s="1"/>
      <c r="O494" s="1"/>
      <c r="P494" s="1"/>
      <c r="Q494" s="1"/>
      <c r="R494" s="1"/>
      <c r="S494" s="1"/>
      <c r="T494" s="1"/>
      <c r="U494" s="1"/>
      <c r="V494" s="1"/>
      <c r="W494" s="1"/>
      <c r="X494" s="1"/>
      <c r="Y494" s="1"/>
      <c r="Z494" s="1"/>
    </row>
    <row r="495">
      <c r="A495" s="1"/>
      <c r="B495" s="32"/>
      <c r="C495" s="1"/>
      <c r="D495" s="1"/>
      <c r="E495" s="1"/>
      <c r="F495" s="1"/>
      <c r="G495" s="1"/>
      <c r="H495" s="32"/>
      <c r="I495" s="1"/>
      <c r="J495" s="1"/>
      <c r="K495" s="1"/>
      <c r="L495" s="1"/>
      <c r="M495" s="1"/>
      <c r="N495" s="1"/>
      <c r="O495" s="1"/>
      <c r="P495" s="1"/>
      <c r="Q495" s="1"/>
      <c r="R495" s="1"/>
      <c r="S495" s="1"/>
      <c r="T495" s="1"/>
      <c r="U495" s="1"/>
      <c r="V495" s="1"/>
      <c r="W495" s="1"/>
      <c r="X495" s="1"/>
      <c r="Y495" s="1"/>
      <c r="Z495" s="1"/>
    </row>
    <row r="496">
      <c r="A496" s="1"/>
      <c r="B496" s="32"/>
      <c r="C496" s="1"/>
      <c r="D496" s="1"/>
      <c r="E496" s="1"/>
      <c r="F496" s="1"/>
      <c r="G496" s="1"/>
      <c r="H496" s="32"/>
      <c r="I496" s="1"/>
      <c r="J496" s="1"/>
      <c r="K496" s="1"/>
      <c r="L496" s="1"/>
      <c r="M496" s="1"/>
      <c r="N496" s="1"/>
      <c r="O496" s="1"/>
      <c r="P496" s="1"/>
      <c r="Q496" s="1"/>
      <c r="R496" s="1"/>
      <c r="S496" s="1"/>
      <c r="T496" s="1"/>
      <c r="U496" s="1"/>
      <c r="V496" s="1"/>
      <c r="W496" s="1"/>
      <c r="X496" s="1"/>
      <c r="Y496" s="1"/>
      <c r="Z496" s="1"/>
    </row>
    <row r="497">
      <c r="A497" s="1"/>
      <c r="B497" s="32"/>
      <c r="C497" s="1"/>
      <c r="D497" s="1"/>
      <c r="E497" s="1"/>
      <c r="F497" s="1"/>
      <c r="G497" s="1"/>
      <c r="H497" s="32"/>
      <c r="I497" s="1"/>
      <c r="J497" s="1"/>
      <c r="K497" s="1"/>
      <c r="L497" s="1"/>
      <c r="M497" s="1"/>
      <c r="N497" s="1"/>
      <c r="O497" s="1"/>
      <c r="P497" s="1"/>
      <c r="Q497" s="1"/>
      <c r="R497" s="1"/>
      <c r="S497" s="1"/>
      <c r="T497" s="1"/>
      <c r="U497" s="1"/>
      <c r="V497" s="1"/>
      <c r="W497" s="1"/>
      <c r="X497" s="1"/>
      <c r="Y497" s="1"/>
      <c r="Z497" s="1"/>
    </row>
    <row r="498">
      <c r="A498" s="1"/>
      <c r="B498" s="32"/>
      <c r="C498" s="1"/>
      <c r="D498" s="1"/>
      <c r="E498" s="1"/>
      <c r="F498" s="1"/>
      <c r="G498" s="1"/>
      <c r="H498" s="32"/>
      <c r="I498" s="1"/>
      <c r="J498" s="1"/>
      <c r="K498" s="1"/>
      <c r="L498" s="1"/>
      <c r="M498" s="1"/>
      <c r="N498" s="1"/>
      <c r="O498" s="1"/>
      <c r="P498" s="1"/>
      <c r="Q498" s="1"/>
      <c r="R498" s="1"/>
      <c r="S498" s="1"/>
      <c r="T498" s="1"/>
      <c r="U498" s="1"/>
      <c r="V498" s="1"/>
      <c r="W498" s="1"/>
      <c r="X498" s="1"/>
      <c r="Y498" s="1"/>
      <c r="Z498" s="1"/>
    </row>
    <row r="499">
      <c r="A499" s="1"/>
      <c r="B499" s="32"/>
      <c r="C499" s="1"/>
      <c r="D499" s="1"/>
      <c r="E499" s="1"/>
      <c r="F499" s="1"/>
      <c r="G499" s="1"/>
      <c r="H499" s="32"/>
      <c r="I499" s="1"/>
      <c r="J499" s="1"/>
      <c r="K499" s="1"/>
      <c r="L499" s="1"/>
      <c r="M499" s="1"/>
      <c r="N499" s="1"/>
      <c r="O499" s="1"/>
      <c r="P499" s="1"/>
      <c r="Q499" s="1"/>
      <c r="R499" s="1"/>
      <c r="S499" s="1"/>
      <c r="T499" s="1"/>
      <c r="U499" s="1"/>
      <c r="V499" s="1"/>
      <c r="W499" s="1"/>
      <c r="X499" s="1"/>
      <c r="Y499" s="1"/>
      <c r="Z499" s="1"/>
    </row>
    <row r="500">
      <c r="A500" s="1"/>
      <c r="B500" s="32"/>
      <c r="C500" s="1"/>
      <c r="D500" s="1"/>
      <c r="E500" s="1"/>
      <c r="F500" s="1"/>
      <c r="G500" s="1"/>
      <c r="H500" s="32"/>
      <c r="I500" s="1"/>
      <c r="J500" s="1"/>
      <c r="K500" s="1"/>
      <c r="L500" s="1"/>
      <c r="M500" s="1"/>
      <c r="N500" s="1"/>
      <c r="O500" s="1"/>
      <c r="P500" s="1"/>
      <c r="Q500" s="1"/>
      <c r="R500" s="1"/>
      <c r="S500" s="1"/>
      <c r="T500" s="1"/>
      <c r="U500" s="1"/>
      <c r="V500" s="1"/>
      <c r="W500" s="1"/>
      <c r="X500" s="1"/>
      <c r="Y500" s="1"/>
      <c r="Z500" s="1"/>
    </row>
    <row r="501">
      <c r="A501" s="1"/>
      <c r="B501" s="32"/>
      <c r="C501" s="1"/>
      <c r="D501" s="1"/>
      <c r="E501" s="1"/>
      <c r="F501" s="1"/>
      <c r="G501" s="1"/>
      <c r="H501" s="32"/>
      <c r="I501" s="1"/>
      <c r="J501" s="1"/>
      <c r="K501" s="1"/>
      <c r="L501" s="1"/>
      <c r="M501" s="1"/>
      <c r="N501" s="1"/>
      <c r="O501" s="1"/>
      <c r="P501" s="1"/>
      <c r="Q501" s="1"/>
      <c r="R501" s="1"/>
      <c r="S501" s="1"/>
      <c r="T501" s="1"/>
      <c r="U501" s="1"/>
      <c r="V501" s="1"/>
      <c r="W501" s="1"/>
      <c r="X501" s="1"/>
      <c r="Y501" s="1"/>
      <c r="Z501" s="1"/>
    </row>
    <row r="502">
      <c r="A502" s="1"/>
      <c r="B502" s="32"/>
      <c r="C502" s="1"/>
      <c r="D502" s="1"/>
      <c r="E502" s="1"/>
      <c r="F502" s="1"/>
      <c r="G502" s="1"/>
      <c r="H502" s="32"/>
      <c r="I502" s="1"/>
      <c r="J502" s="1"/>
      <c r="K502" s="1"/>
      <c r="L502" s="1"/>
      <c r="M502" s="1"/>
      <c r="N502" s="1"/>
      <c r="O502" s="1"/>
      <c r="P502" s="1"/>
      <c r="Q502" s="1"/>
      <c r="R502" s="1"/>
      <c r="S502" s="1"/>
      <c r="T502" s="1"/>
      <c r="U502" s="1"/>
      <c r="V502" s="1"/>
      <c r="W502" s="1"/>
      <c r="X502" s="1"/>
      <c r="Y502" s="1"/>
      <c r="Z502" s="1"/>
    </row>
    <row r="503">
      <c r="A503" s="1"/>
      <c r="B503" s="32"/>
      <c r="C503" s="1"/>
      <c r="D503" s="1"/>
      <c r="E503" s="1"/>
      <c r="F503" s="1"/>
      <c r="G503" s="1"/>
      <c r="H503" s="32"/>
      <c r="I503" s="1"/>
      <c r="J503" s="1"/>
      <c r="K503" s="1"/>
      <c r="L503" s="1"/>
      <c r="M503" s="1"/>
      <c r="N503" s="1"/>
      <c r="O503" s="1"/>
      <c r="P503" s="1"/>
      <c r="Q503" s="1"/>
      <c r="R503" s="1"/>
      <c r="S503" s="1"/>
      <c r="T503" s="1"/>
      <c r="U503" s="1"/>
      <c r="V503" s="1"/>
      <c r="W503" s="1"/>
      <c r="X503" s="1"/>
      <c r="Y503" s="1"/>
      <c r="Z503" s="1"/>
    </row>
    <row r="504">
      <c r="A504" s="1"/>
      <c r="B504" s="32"/>
      <c r="C504" s="1"/>
      <c r="D504" s="1"/>
      <c r="E504" s="1"/>
      <c r="F504" s="1"/>
      <c r="G504" s="1"/>
      <c r="H504" s="32"/>
      <c r="I504" s="1"/>
      <c r="J504" s="1"/>
      <c r="K504" s="1"/>
      <c r="L504" s="1"/>
      <c r="M504" s="1"/>
      <c r="N504" s="1"/>
      <c r="O504" s="1"/>
      <c r="P504" s="1"/>
      <c r="Q504" s="1"/>
      <c r="R504" s="1"/>
      <c r="S504" s="1"/>
      <c r="T504" s="1"/>
      <c r="U504" s="1"/>
      <c r="V504" s="1"/>
      <c r="W504" s="1"/>
      <c r="X504" s="1"/>
      <c r="Y504" s="1"/>
      <c r="Z504" s="1"/>
    </row>
    <row r="505">
      <c r="A505" s="1"/>
      <c r="B505" s="32"/>
      <c r="C505" s="1"/>
      <c r="D505" s="1"/>
      <c r="E505" s="1"/>
      <c r="F505" s="1"/>
      <c r="G505" s="1"/>
      <c r="H505" s="32"/>
      <c r="I505" s="1"/>
      <c r="J505" s="1"/>
      <c r="K505" s="1"/>
      <c r="L505" s="1"/>
      <c r="M505" s="1"/>
      <c r="N505" s="1"/>
      <c r="O505" s="1"/>
      <c r="P505" s="1"/>
      <c r="Q505" s="1"/>
      <c r="R505" s="1"/>
      <c r="S505" s="1"/>
      <c r="T505" s="1"/>
      <c r="U505" s="1"/>
      <c r="V505" s="1"/>
      <c r="W505" s="1"/>
      <c r="X505" s="1"/>
      <c r="Y505" s="1"/>
      <c r="Z505" s="1"/>
    </row>
    <row r="506">
      <c r="A506" s="1"/>
      <c r="B506" s="32"/>
      <c r="C506" s="1"/>
      <c r="D506" s="1"/>
      <c r="E506" s="1"/>
      <c r="F506" s="1"/>
      <c r="G506" s="1"/>
      <c r="H506" s="32"/>
      <c r="I506" s="1"/>
      <c r="J506" s="1"/>
      <c r="K506" s="1"/>
      <c r="L506" s="1"/>
      <c r="M506" s="1"/>
      <c r="N506" s="1"/>
      <c r="O506" s="1"/>
      <c r="P506" s="1"/>
      <c r="Q506" s="1"/>
      <c r="R506" s="1"/>
      <c r="S506" s="1"/>
      <c r="T506" s="1"/>
      <c r="U506" s="1"/>
      <c r="V506" s="1"/>
      <c r="W506" s="1"/>
      <c r="X506" s="1"/>
      <c r="Y506" s="1"/>
      <c r="Z506" s="1"/>
    </row>
    <row r="507">
      <c r="A507" s="1"/>
      <c r="B507" s="32"/>
      <c r="C507" s="1"/>
      <c r="D507" s="1"/>
      <c r="E507" s="1"/>
      <c r="F507" s="1"/>
      <c r="G507" s="1"/>
      <c r="H507" s="32"/>
      <c r="I507" s="1"/>
      <c r="J507" s="1"/>
      <c r="K507" s="1"/>
      <c r="L507" s="1"/>
      <c r="M507" s="1"/>
      <c r="N507" s="1"/>
      <c r="O507" s="1"/>
      <c r="P507" s="1"/>
      <c r="Q507" s="1"/>
      <c r="R507" s="1"/>
      <c r="S507" s="1"/>
      <c r="T507" s="1"/>
      <c r="U507" s="1"/>
      <c r="V507" s="1"/>
      <c r="W507" s="1"/>
      <c r="X507" s="1"/>
      <c r="Y507" s="1"/>
      <c r="Z507" s="1"/>
    </row>
    <row r="508">
      <c r="A508" s="1"/>
      <c r="B508" s="32"/>
      <c r="C508" s="1"/>
      <c r="D508" s="1"/>
      <c r="E508" s="1"/>
      <c r="F508" s="1"/>
      <c r="G508" s="1"/>
      <c r="H508" s="32"/>
      <c r="I508" s="1"/>
      <c r="J508" s="1"/>
      <c r="K508" s="1"/>
      <c r="L508" s="1"/>
      <c r="M508" s="1"/>
      <c r="N508" s="1"/>
      <c r="O508" s="1"/>
      <c r="P508" s="1"/>
      <c r="Q508" s="1"/>
      <c r="R508" s="1"/>
      <c r="S508" s="1"/>
      <c r="T508" s="1"/>
      <c r="U508" s="1"/>
      <c r="V508" s="1"/>
      <c r="W508" s="1"/>
      <c r="X508" s="1"/>
      <c r="Y508" s="1"/>
      <c r="Z508" s="1"/>
    </row>
    <row r="509">
      <c r="A509" s="1"/>
      <c r="B509" s="32"/>
      <c r="C509" s="1"/>
      <c r="D509" s="1"/>
      <c r="E509" s="1"/>
      <c r="F509" s="1"/>
      <c r="G509" s="1"/>
      <c r="H509" s="32"/>
      <c r="I509" s="1"/>
      <c r="J509" s="1"/>
      <c r="K509" s="1"/>
      <c r="L509" s="1"/>
      <c r="M509" s="1"/>
      <c r="N509" s="1"/>
      <c r="O509" s="1"/>
      <c r="P509" s="1"/>
      <c r="Q509" s="1"/>
      <c r="R509" s="1"/>
      <c r="S509" s="1"/>
      <c r="T509" s="1"/>
      <c r="U509" s="1"/>
      <c r="V509" s="1"/>
      <c r="W509" s="1"/>
      <c r="X509" s="1"/>
      <c r="Y509" s="1"/>
      <c r="Z509" s="1"/>
    </row>
    <row r="510">
      <c r="A510" s="1"/>
      <c r="B510" s="32"/>
      <c r="C510" s="1"/>
      <c r="D510" s="1"/>
      <c r="E510" s="1"/>
      <c r="F510" s="1"/>
      <c r="G510" s="1"/>
      <c r="H510" s="32"/>
      <c r="I510" s="1"/>
      <c r="J510" s="1"/>
      <c r="K510" s="1"/>
      <c r="L510" s="1"/>
      <c r="M510" s="1"/>
      <c r="N510" s="1"/>
      <c r="O510" s="1"/>
      <c r="P510" s="1"/>
      <c r="Q510" s="1"/>
      <c r="R510" s="1"/>
      <c r="S510" s="1"/>
      <c r="T510" s="1"/>
      <c r="U510" s="1"/>
      <c r="V510" s="1"/>
      <c r="W510" s="1"/>
      <c r="X510" s="1"/>
      <c r="Y510" s="1"/>
      <c r="Z510" s="1"/>
    </row>
    <row r="511">
      <c r="A511" s="1"/>
      <c r="B511" s="32"/>
      <c r="C511" s="1"/>
      <c r="D511" s="1"/>
      <c r="E511" s="1"/>
      <c r="F511" s="1"/>
      <c r="G511" s="1"/>
      <c r="H511" s="32"/>
      <c r="I511" s="1"/>
      <c r="J511" s="1"/>
      <c r="K511" s="1"/>
      <c r="L511" s="1"/>
      <c r="M511" s="1"/>
      <c r="N511" s="1"/>
      <c r="O511" s="1"/>
      <c r="P511" s="1"/>
      <c r="Q511" s="1"/>
      <c r="R511" s="1"/>
      <c r="S511" s="1"/>
      <c r="T511" s="1"/>
      <c r="U511" s="1"/>
      <c r="V511" s="1"/>
      <c r="W511" s="1"/>
      <c r="X511" s="1"/>
      <c r="Y511" s="1"/>
      <c r="Z511" s="1"/>
    </row>
    <row r="512">
      <c r="A512" s="1"/>
      <c r="B512" s="32"/>
      <c r="C512" s="1"/>
      <c r="D512" s="1"/>
      <c r="E512" s="1"/>
      <c r="F512" s="1"/>
      <c r="G512" s="1"/>
      <c r="H512" s="32"/>
      <c r="I512" s="1"/>
      <c r="J512" s="1"/>
      <c r="K512" s="1"/>
      <c r="L512" s="1"/>
      <c r="M512" s="1"/>
      <c r="N512" s="1"/>
      <c r="O512" s="1"/>
      <c r="P512" s="1"/>
      <c r="Q512" s="1"/>
      <c r="R512" s="1"/>
      <c r="S512" s="1"/>
      <c r="T512" s="1"/>
      <c r="U512" s="1"/>
      <c r="V512" s="1"/>
      <c r="W512" s="1"/>
      <c r="X512" s="1"/>
      <c r="Y512" s="1"/>
      <c r="Z512" s="1"/>
    </row>
    <row r="513">
      <c r="A513" s="1"/>
      <c r="B513" s="32"/>
      <c r="C513" s="1"/>
      <c r="D513" s="1"/>
      <c r="E513" s="1"/>
      <c r="F513" s="1"/>
      <c r="G513" s="1"/>
      <c r="H513" s="32"/>
      <c r="I513" s="1"/>
      <c r="J513" s="1"/>
      <c r="K513" s="1"/>
      <c r="L513" s="1"/>
      <c r="M513" s="1"/>
      <c r="N513" s="1"/>
      <c r="O513" s="1"/>
      <c r="P513" s="1"/>
      <c r="Q513" s="1"/>
      <c r="R513" s="1"/>
      <c r="S513" s="1"/>
      <c r="T513" s="1"/>
      <c r="U513" s="1"/>
      <c r="V513" s="1"/>
      <c r="W513" s="1"/>
      <c r="X513" s="1"/>
      <c r="Y513" s="1"/>
      <c r="Z513" s="1"/>
    </row>
    <row r="514">
      <c r="A514" s="1"/>
      <c r="B514" s="32"/>
      <c r="C514" s="1"/>
      <c r="D514" s="1"/>
      <c r="E514" s="1"/>
      <c r="F514" s="1"/>
      <c r="G514" s="1"/>
      <c r="H514" s="32"/>
      <c r="I514" s="1"/>
      <c r="J514" s="1"/>
      <c r="K514" s="1"/>
      <c r="L514" s="1"/>
      <c r="M514" s="1"/>
      <c r="N514" s="1"/>
      <c r="O514" s="1"/>
      <c r="P514" s="1"/>
      <c r="Q514" s="1"/>
      <c r="R514" s="1"/>
      <c r="S514" s="1"/>
      <c r="T514" s="1"/>
      <c r="U514" s="1"/>
      <c r="V514" s="1"/>
      <c r="W514" s="1"/>
      <c r="X514" s="1"/>
      <c r="Y514" s="1"/>
      <c r="Z514" s="1"/>
    </row>
    <row r="515">
      <c r="A515" s="1"/>
      <c r="B515" s="32"/>
      <c r="C515" s="1"/>
      <c r="D515" s="1"/>
      <c r="E515" s="1"/>
      <c r="F515" s="1"/>
      <c r="G515" s="1"/>
      <c r="H515" s="32"/>
      <c r="I515" s="1"/>
      <c r="J515" s="1"/>
      <c r="K515" s="1"/>
      <c r="L515" s="1"/>
      <c r="M515" s="1"/>
      <c r="N515" s="1"/>
      <c r="O515" s="1"/>
      <c r="P515" s="1"/>
      <c r="Q515" s="1"/>
      <c r="R515" s="1"/>
      <c r="S515" s="1"/>
      <c r="T515" s="1"/>
      <c r="U515" s="1"/>
      <c r="V515" s="1"/>
      <c r="W515" s="1"/>
      <c r="X515" s="1"/>
      <c r="Y515" s="1"/>
      <c r="Z515" s="1"/>
    </row>
    <row r="516">
      <c r="A516" s="1"/>
      <c r="B516" s="32"/>
      <c r="C516" s="1"/>
      <c r="D516" s="1"/>
      <c r="E516" s="1"/>
      <c r="F516" s="1"/>
      <c r="G516" s="1"/>
      <c r="H516" s="32"/>
      <c r="I516" s="1"/>
      <c r="J516" s="1"/>
      <c r="K516" s="1"/>
      <c r="L516" s="1"/>
      <c r="M516" s="1"/>
      <c r="N516" s="1"/>
      <c r="O516" s="1"/>
      <c r="P516" s="1"/>
      <c r="Q516" s="1"/>
      <c r="R516" s="1"/>
      <c r="S516" s="1"/>
      <c r="T516" s="1"/>
      <c r="U516" s="1"/>
      <c r="V516" s="1"/>
      <c r="W516" s="1"/>
      <c r="X516" s="1"/>
      <c r="Y516" s="1"/>
      <c r="Z516" s="1"/>
    </row>
    <row r="517">
      <c r="A517" s="1"/>
      <c r="B517" s="32"/>
      <c r="C517" s="1"/>
      <c r="D517" s="1"/>
      <c r="E517" s="1"/>
      <c r="F517" s="1"/>
      <c r="G517" s="1"/>
      <c r="H517" s="32"/>
      <c r="I517" s="1"/>
      <c r="J517" s="1"/>
      <c r="K517" s="1"/>
      <c r="L517" s="1"/>
      <c r="M517" s="1"/>
      <c r="N517" s="1"/>
      <c r="O517" s="1"/>
      <c r="P517" s="1"/>
      <c r="Q517" s="1"/>
      <c r="R517" s="1"/>
      <c r="S517" s="1"/>
      <c r="T517" s="1"/>
      <c r="U517" s="1"/>
      <c r="V517" s="1"/>
      <c r="W517" s="1"/>
      <c r="X517" s="1"/>
      <c r="Y517" s="1"/>
      <c r="Z517" s="1"/>
    </row>
    <row r="518">
      <c r="A518" s="1"/>
      <c r="B518" s="32"/>
      <c r="C518" s="1"/>
      <c r="D518" s="1"/>
      <c r="E518" s="1"/>
      <c r="F518" s="1"/>
      <c r="G518" s="1"/>
      <c r="H518" s="32"/>
      <c r="I518" s="1"/>
      <c r="J518" s="1"/>
      <c r="K518" s="1"/>
      <c r="L518" s="1"/>
      <c r="M518" s="1"/>
      <c r="N518" s="1"/>
      <c r="O518" s="1"/>
      <c r="P518" s="1"/>
      <c r="Q518" s="1"/>
      <c r="R518" s="1"/>
      <c r="S518" s="1"/>
      <c r="T518" s="1"/>
      <c r="U518" s="1"/>
      <c r="V518" s="1"/>
      <c r="W518" s="1"/>
      <c r="X518" s="1"/>
      <c r="Y518" s="1"/>
      <c r="Z518" s="1"/>
    </row>
    <row r="519">
      <c r="A519" s="1"/>
      <c r="B519" s="32"/>
      <c r="C519" s="1"/>
      <c r="D519" s="1"/>
      <c r="E519" s="1"/>
      <c r="F519" s="1"/>
      <c r="G519" s="1"/>
      <c r="H519" s="32"/>
      <c r="I519" s="1"/>
      <c r="J519" s="1"/>
      <c r="K519" s="1"/>
      <c r="L519" s="1"/>
      <c r="M519" s="1"/>
      <c r="N519" s="1"/>
      <c r="O519" s="1"/>
      <c r="P519" s="1"/>
      <c r="Q519" s="1"/>
      <c r="R519" s="1"/>
      <c r="S519" s="1"/>
      <c r="T519" s="1"/>
      <c r="U519" s="1"/>
      <c r="V519" s="1"/>
      <c r="W519" s="1"/>
      <c r="X519" s="1"/>
      <c r="Y519" s="1"/>
      <c r="Z519" s="1"/>
    </row>
    <row r="520">
      <c r="A520" s="1"/>
      <c r="B520" s="32"/>
      <c r="C520" s="1"/>
      <c r="D520" s="1"/>
      <c r="E520" s="1"/>
      <c r="F520" s="1"/>
      <c r="G520" s="1"/>
      <c r="H520" s="32"/>
      <c r="I520" s="1"/>
      <c r="J520" s="1"/>
      <c r="K520" s="1"/>
      <c r="L520" s="1"/>
      <c r="M520" s="1"/>
      <c r="N520" s="1"/>
      <c r="O520" s="1"/>
      <c r="P520" s="1"/>
      <c r="Q520" s="1"/>
      <c r="R520" s="1"/>
      <c r="S520" s="1"/>
      <c r="T520" s="1"/>
      <c r="U520" s="1"/>
      <c r="V520" s="1"/>
      <c r="W520" s="1"/>
      <c r="X520" s="1"/>
      <c r="Y520" s="1"/>
      <c r="Z520" s="1"/>
    </row>
    <row r="521">
      <c r="A521" s="1"/>
      <c r="B521" s="32"/>
      <c r="C521" s="1"/>
      <c r="D521" s="1"/>
      <c r="E521" s="1"/>
      <c r="F521" s="1"/>
      <c r="G521" s="1"/>
      <c r="H521" s="32"/>
      <c r="I521" s="1"/>
      <c r="J521" s="1"/>
      <c r="K521" s="1"/>
      <c r="L521" s="1"/>
      <c r="M521" s="1"/>
      <c r="N521" s="1"/>
      <c r="O521" s="1"/>
      <c r="P521" s="1"/>
      <c r="Q521" s="1"/>
      <c r="R521" s="1"/>
      <c r="S521" s="1"/>
      <c r="T521" s="1"/>
      <c r="U521" s="1"/>
      <c r="V521" s="1"/>
      <c r="W521" s="1"/>
      <c r="X521" s="1"/>
      <c r="Y521" s="1"/>
      <c r="Z521" s="1"/>
    </row>
    <row r="522">
      <c r="A522" s="1"/>
      <c r="B522" s="32"/>
      <c r="C522" s="1"/>
      <c r="D522" s="1"/>
      <c r="E522" s="1"/>
      <c r="F522" s="1"/>
      <c r="G522" s="1"/>
      <c r="H522" s="32"/>
      <c r="I522" s="1"/>
      <c r="J522" s="1"/>
      <c r="K522" s="1"/>
      <c r="L522" s="1"/>
      <c r="M522" s="1"/>
      <c r="N522" s="1"/>
      <c r="O522" s="1"/>
      <c r="P522" s="1"/>
      <c r="Q522" s="1"/>
      <c r="R522" s="1"/>
      <c r="S522" s="1"/>
      <c r="T522" s="1"/>
      <c r="U522" s="1"/>
      <c r="V522" s="1"/>
      <c r="W522" s="1"/>
      <c r="X522" s="1"/>
      <c r="Y522" s="1"/>
      <c r="Z522" s="1"/>
    </row>
    <row r="523">
      <c r="A523" s="1"/>
      <c r="B523" s="32"/>
      <c r="C523" s="1"/>
      <c r="D523" s="1"/>
      <c r="E523" s="1"/>
      <c r="F523" s="1"/>
      <c r="G523" s="1"/>
      <c r="H523" s="32"/>
      <c r="I523" s="1"/>
      <c r="J523" s="1"/>
      <c r="K523" s="1"/>
      <c r="L523" s="1"/>
      <c r="M523" s="1"/>
      <c r="N523" s="1"/>
      <c r="O523" s="1"/>
      <c r="P523" s="1"/>
      <c r="Q523" s="1"/>
      <c r="R523" s="1"/>
      <c r="S523" s="1"/>
      <c r="T523" s="1"/>
      <c r="U523" s="1"/>
      <c r="V523" s="1"/>
      <c r="W523" s="1"/>
      <c r="X523" s="1"/>
      <c r="Y523" s="1"/>
      <c r="Z523" s="1"/>
    </row>
    <row r="524">
      <c r="A524" s="1"/>
      <c r="B524" s="32"/>
      <c r="C524" s="1"/>
      <c r="D524" s="1"/>
      <c r="E524" s="1"/>
      <c r="F524" s="1"/>
      <c r="G524" s="1"/>
      <c r="H524" s="32"/>
      <c r="I524" s="1"/>
      <c r="J524" s="1"/>
      <c r="K524" s="1"/>
      <c r="L524" s="1"/>
      <c r="M524" s="1"/>
      <c r="N524" s="1"/>
      <c r="O524" s="1"/>
      <c r="P524" s="1"/>
      <c r="Q524" s="1"/>
      <c r="R524" s="1"/>
      <c r="S524" s="1"/>
      <c r="T524" s="1"/>
      <c r="U524" s="1"/>
      <c r="V524" s="1"/>
      <c r="W524" s="1"/>
      <c r="X524" s="1"/>
      <c r="Y524" s="1"/>
      <c r="Z524" s="1"/>
    </row>
    <row r="525">
      <c r="A525" s="1"/>
      <c r="B525" s="32"/>
      <c r="C525" s="1"/>
      <c r="D525" s="1"/>
      <c r="E525" s="1"/>
      <c r="F525" s="1"/>
      <c r="G525" s="1"/>
      <c r="H525" s="32"/>
      <c r="I525" s="1"/>
      <c r="J525" s="1"/>
      <c r="K525" s="1"/>
      <c r="L525" s="1"/>
      <c r="M525" s="1"/>
      <c r="N525" s="1"/>
      <c r="O525" s="1"/>
      <c r="P525" s="1"/>
      <c r="Q525" s="1"/>
      <c r="R525" s="1"/>
      <c r="S525" s="1"/>
      <c r="T525" s="1"/>
      <c r="U525" s="1"/>
      <c r="V525" s="1"/>
      <c r="W525" s="1"/>
      <c r="X525" s="1"/>
      <c r="Y525" s="1"/>
      <c r="Z525" s="1"/>
    </row>
    <row r="526">
      <c r="A526" s="1"/>
      <c r="B526" s="32"/>
      <c r="C526" s="1"/>
      <c r="D526" s="1"/>
      <c r="E526" s="1"/>
      <c r="F526" s="1"/>
      <c r="G526" s="1"/>
      <c r="H526" s="32"/>
      <c r="I526" s="1"/>
      <c r="J526" s="1"/>
      <c r="K526" s="1"/>
      <c r="L526" s="1"/>
      <c r="M526" s="1"/>
      <c r="N526" s="1"/>
      <c r="O526" s="1"/>
      <c r="P526" s="1"/>
      <c r="Q526" s="1"/>
      <c r="R526" s="1"/>
      <c r="S526" s="1"/>
      <c r="T526" s="1"/>
      <c r="U526" s="1"/>
      <c r="V526" s="1"/>
      <c r="W526" s="1"/>
      <c r="X526" s="1"/>
      <c r="Y526" s="1"/>
      <c r="Z526" s="1"/>
    </row>
    <row r="527">
      <c r="A527" s="1"/>
      <c r="B527" s="32"/>
      <c r="C527" s="1"/>
      <c r="D527" s="1"/>
      <c r="E527" s="1"/>
      <c r="F527" s="1"/>
      <c r="G527" s="1"/>
      <c r="H527" s="32"/>
      <c r="I527" s="1"/>
      <c r="J527" s="1"/>
      <c r="K527" s="1"/>
      <c r="L527" s="1"/>
      <c r="M527" s="1"/>
      <c r="N527" s="1"/>
      <c r="O527" s="1"/>
      <c r="P527" s="1"/>
      <c r="Q527" s="1"/>
      <c r="R527" s="1"/>
      <c r="S527" s="1"/>
      <c r="T527" s="1"/>
      <c r="U527" s="1"/>
      <c r="V527" s="1"/>
      <c r="W527" s="1"/>
      <c r="X527" s="1"/>
      <c r="Y527" s="1"/>
      <c r="Z527" s="1"/>
    </row>
    <row r="528">
      <c r="A528" s="1"/>
      <c r="B528" s="32"/>
      <c r="C528" s="1"/>
      <c r="D528" s="1"/>
      <c r="E528" s="1"/>
      <c r="F528" s="1"/>
      <c r="G528" s="1"/>
      <c r="H528" s="32"/>
      <c r="I528" s="1"/>
      <c r="J528" s="1"/>
      <c r="K528" s="1"/>
      <c r="L528" s="1"/>
      <c r="M528" s="1"/>
      <c r="N528" s="1"/>
      <c r="O528" s="1"/>
      <c r="P528" s="1"/>
      <c r="Q528" s="1"/>
      <c r="R528" s="1"/>
      <c r="S528" s="1"/>
      <c r="T528" s="1"/>
      <c r="U528" s="1"/>
      <c r="V528" s="1"/>
      <c r="W528" s="1"/>
      <c r="X528" s="1"/>
      <c r="Y528" s="1"/>
      <c r="Z528" s="1"/>
    </row>
    <row r="529">
      <c r="A529" s="1"/>
      <c r="B529" s="32"/>
      <c r="C529" s="1"/>
      <c r="D529" s="1"/>
      <c r="E529" s="1"/>
      <c r="F529" s="1"/>
      <c r="G529" s="1"/>
      <c r="H529" s="32"/>
      <c r="I529" s="1"/>
      <c r="J529" s="1"/>
      <c r="K529" s="1"/>
      <c r="L529" s="1"/>
      <c r="M529" s="1"/>
      <c r="N529" s="1"/>
      <c r="O529" s="1"/>
      <c r="P529" s="1"/>
      <c r="Q529" s="1"/>
      <c r="R529" s="1"/>
      <c r="S529" s="1"/>
      <c r="T529" s="1"/>
      <c r="U529" s="1"/>
      <c r="V529" s="1"/>
      <c r="W529" s="1"/>
      <c r="X529" s="1"/>
      <c r="Y529" s="1"/>
      <c r="Z529" s="1"/>
    </row>
    <row r="530">
      <c r="A530" s="1"/>
      <c r="B530" s="32"/>
      <c r="C530" s="1"/>
      <c r="D530" s="1"/>
      <c r="E530" s="1"/>
      <c r="F530" s="1"/>
      <c r="G530" s="1"/>
      <c r="H530" s="32"/>
      <c r="I530" s="1"/>
      <c r="J530" s="1"/>
      <c r="K530" s="1"/>
      <c r="L530" s="1"/>
      <c r="M530" s="1"/>
      <c r="N530" s="1"/>
      <c r="O530" s="1"/>
      <c r="P530" s="1"/>
      <c r="Q530" s="1"/>
      <c r="R530" s="1"/>
      <c r="S530" s="1"/>
      <c r="T530" s="1"/>
      <c r="U530" s="1"/>
      <c r="V530" s="1"/>
      <c r="W530" s="1"/>
      <c r="X530" s="1"/>
      <c r="Y530" s="1"/>
      <c r="Z530" s="1"/>
    </row>
    <row r="531">
      <c r="A531" s="1"/>
      <c r="B531" s="32"/>
      <c r="C531" s="1"/>
      <c r="D531" s="1"/>
      <c r="E531" s="1"/>
      <c r="F531" s="1"/>
      <c r="G531" s="1"/>
      <c r="H531" s="32"/>
      <c r="I531" s="1"/>
      <c r="J531" s="1"/>
      <c r="K531" s="1"/>
      <c r="L531" s="1"/>
      <c r="M531" s="1"/>
      <c r="N531" s="1"/>
      <c r="O531" s="1"/>
      <c r="P531" s="1"/>
      <c r="Q531" s="1"/>
      <c r="R531" s="1"/>
      <c r="S531" s="1"/>
      <c r="T531" s="1"/>
      <c r="U531" s="1"/>
      <c r="V531" s="1"/>
      <c r="W531" s="1"/>
      <c r="X531" s="1"/>
      <c r="Y531" s="1"/>
      <c r="Z531" s="1"/>
    </row>
    <row r="532">
      <c r="A532" s="1"/>
      <c r="B532" s="32"/>
      <c r="C532" s="1"/>
      <c r="D532" s="1"/>
      <c r="E532" s="1"/>
      <c r="F532" s="1"/>
      <c r="G532" s="1"/>
      <c r="H532" s="32"/>
      <c r="I532" s="1"/>
      <c r="J532" s="1"/>
      <c r="K532" s="1"/>
      <c r="L532" s="1"/>
      <c r="M532" s="1"/>
      <c r="N532" s="1"/>
      <c r="O532" s="1"/>
      <c r="P532" s="1"/>
      <c r="Q532" s="1"/>
      <c r="R532" s="1"/>
      <c r="S532" s="1"/>
      <c r="T532" s="1"/>
      <c r="U532" s="1"/>
      <c r="V532" s="1"/>
      <c r="W532" s="1"/>
      <c r="X532" s="1"/>
      <c r="Y532" s="1"/>
      <c r="Z532" s="1"/>
    </row>
    <row r="533">
      <c r="A533" s="1"/>
      <c r="B533" s="32"/>
      <c r="C533" s="1"/>
      <c r="D533" s="1"/>
      <c r="E533" s="1"/>
      <c r="F533" s="1"/>
      <c r="G533" s="1"/>
      <c r="H533" s="32"/>
      <c r="I533" s="1"/>
      <c r="J533" s="1"/>
      <c r="K533" s="1"/>
      <c r="L533" s="1"/>
      <c r="M533" s="1"/>
      <c r="N533" s="1"/>
      <c r="O533" s="1"/>
      <c r="P533" s="1"/>
      <c r="Q533" s="1"/>
      <c r="R533" s="1"/>
      <c r="S533" s="1"/>
      <c r="T533" s="1"/>
      <c r="U533" s="1"/>
      <c r="V533" s="1"/>
      <c r="W533" s="1"/>
      <c r="X533" s="1"/>
      <c r="Y533" s="1"/>
      <c r="Z533" s="1"/>
    </row>
    <row r="534">
      <c r="A534" s="1"/>
      <c r="B534" s="32"/>
      <c r="C534" s="1"/>
      <c r="D534" s="1"/>
      <c r="E534" s="1"/>
      <c r="F534" s="1"/>
      <c r="G534" s="1"/>
      <c r="H534" s="32"/>
      <c r="I534" s="1"/>
      <c r="J534" s="1"/>
      <c r="K534" s="1"/>
      <c r="L534" s="1"/>
      <c r="M534" s="1"/>
      <c r="N534" s="1"/>
      <c r="O534" s="1"/>
      <c r="P534" s="1"/>
      <c r="Q534" s="1"/>
      <c r="R534" s="1"/>
      <c r="S534" s="1"/>
      <c r="T534" s="1"/>
      <c r="U534" s="1"/>
      <c r="V534" s="1"/>
      <c r="W534" s="1"/>
      <c r="X534" s="1"/>
      <c r="Y534" s="1"/>
      <c r="Z534" s="1"/>
    </row>
    <row r="535">
      <c r="A535" s="1"/>
      <c r="B535" s="32"/>
      <c r="C535" s="1"/>
      <c r="D535" s="1"/>
      <c r="E535" s="1"/>
      <c r="F535" s="1"/>
      <c r="G535" s="1"/>
      <c r="H535" s="32"/>
      <c r="I535" s="1"/>
      <c r="J535" s="1"/>
      <c r="K535" s="1"/>
      <c r="L535" s="1"/>
      <c r="M535" s="1"/>
      <c r="N535" s="1"/>
      <c r="O535" s="1"/>
      <c r="P535" s="1"/>
      <c r="Q535" s="1"/>
      <c r="R535" s="1"/>
      <c r="S535" s="1"/>
      <c r="T535" s="1"/>
      <c r="U535" s="1"/>
      <c r="V535" s="1"/>
      <c r="W535" s="1"/>
      <c r="X535" s="1"/>
      <c r="Y535" s="1"/>
      <c r="Z535" s="1"/>
    </row>
    <row r="536">
      <c r="A536" s="1"/>
      <c r="B536" s="32"/>
      <c r="C536" s="1"/>
      <c r="D536" s="1"/>
      <c r="E536" s="1"/>
      <c r="F536" s="1"/>
      <c r="G536" s="1"/>
      <c r="H536" s="32"/>
      <c r="I536" s="1"/>
      <c r="J536" s="1"/>
      <c r="K536" s="1"/>
      <c r="L536" s="1"/>
      <c r="M536" s="1"/>
      <c r="N536" s="1"/>
      <c r="O536" s="1"/>
      <c r="P536" s="1"/>
      <c r="Q536" s="1"/>
      <c r="R536" s="1"/>
      <c r="S536" s="1"/>
      <c r="T536" s="1"/>
      <c r="U536" s="1"/>
      <c r="V536" s="1"/>
      <c r="W536" s="1"/>
      <c r="X536" s="1"/>
      <c r="Y536" s="1"/>
      <c r="Z536" s="1"/>
    </row>
    <row r="537">
      <c r="A537" s="1"/>
      <c r="B537" s="32"/>
      <c r="C537" s="1"/>
      <c r="D537" s="1"/>
      <c r="E537" s="1"/>
      <c r="F537" s="1"/>
      <c r="G537" s="1"/>
      <c r="H537" s="32"/>
      <c r="I537" s="1"/>
      <c r="J537" s="1"/>
      <c r="K537" s="1"/>
      <c r="L537" s="1"/>
      <c r="M537" s="1"/>
      <c r="N537" s="1"/>
      <c r="O537" s="1"/>
      <c r="P537" s="1"/>
      <c r="Q537" s="1"/>
      <c r="R537" s="1"/>
      <c r="S537" s="1"/>
      <c r="T537" s="1"/>
      <c r="U537" s="1"/>
      <c r="V537" s="1"/>
      <c r="W537" s="1"/>
      <c r="X537" s="1"/>
      <c r="Y537" s="1"/>
      <c r="Z537" s="1"/>
    </row>
    <row r="538">
      <c r="A538" s="1"/>
      <c r="B538" s="32"/>
      <c r="C538" s="1"/>
      <c r="D538" s="1"/>
      <c r="E538" s="1"/>
      <c r="F538" s="1"/>
      <c r="G538" s="1"/>
      <c r="H538" s="32"/>
      <c r="I538" s="1"/>
      <c r="J538" s="1"/>
      <c r="K538" s="1"/>
      <c r="L538" s="1"/>
      <c r="M538" s="1"/>
      <c r="N538" s="1"/>
      <c r="O538" s="1"/>
      <c r="P538" s="1"/>
      <c r="Q538" s="1"/>
      <c r="R538" s="1"/>
      <c r="S538" s="1"/>
      <c r="T538" s="1"/>
      <c r="U538" s="1"/>
      <c r="V538" s="1"/>
      <c r="W538" s="1"/>
      <c r="X538" s="1"/>
      <c r="Y538" s="1"/>
      <c r="Z538" s="1"/>
    </row>
    <row r="539">
      <c r="A539" s="1"/>
      <c r="B539" s="32"/>
      <c r="C539" s="1"/>
      <c r="D539" s="1"/>
      <c r="E539" s="1"/>
      <c r="F539" s="1"/>
      <c r="G539" s="1"/>
      <c r="H539" s="32"/>
      <c r="I539" s="1"/>
      <c r="J539" s="1"/>
      <c r="K539" s="1"/>
      <c r="L539" s="1"/>
      <c r="M539" s="1"/>
      <c r="N539" s="1"/>
      <c r="O539" s="1"/>
      <c r="P539" s="1"/>
      <c r="Q539" s="1"/>
      <c r="R539" s="1"/>
      <c r="S539" s="1"/>
      <c r="T539" s="1"/>
      <c r="U539" s="1"/>
      <c r="V539" s="1"/>
      <c r="W539" s="1"/>
      <c r="X539" s="1"/>
      <c r="Y539" s="1"/>
      <c r="Z539" s="1"/>
    </row>
    <row r="540">
      <c r="A540" s="1"/>
      <c r="B540" s="32"/>
      <c r="C540" s="1"/>
      <c r="D540" s="1"/>
      <c r="E540" s="1"/>
      <c r="F540" s="1"/>
      <c r="G540" s="1"/>
      <c r="H540" s="32"/>
      <c r="I540" s="1"/>
      <c r="J540" s="1"/>
      <c r="K540" s="1"/>
      <c r="L540" s="1"/>
      <c r="M540" s="1"/>
      <c r="N540" s="1"/>
      <c r="O540" s="1"/>
      <c r="P540" s="1"/>
      <c r="Q540" s="1"/>
      <c r="R540" s="1"/>
      <c r="S540" s="1"/>
      <c r="T540" s="1"/>
      <c r="U540" s="1"/>
      <c r="V540" s="1"/>
      <c r="W540" s="1"/>
      <c r="X540" s="1"/>
      <c r="Y540" s="1"/>
      <c r="Z540" s="1"/>
    </row>
    <row r="541">
      <c r="A541" s="1"/>
      <c r="B541" s="32"/>
      <c r="C541" s="1"/>
      <c r="D541" s="1"/>
      <c r="E541" s="1"/>
      <c r="F541" s="1"/>
      <c r="G541" s="1"/>
      <c r="H541" s="32"/>
      <c r="I541" s="1"/>
      <c r="J541" s="1"/>
      <c r="K541" s="1"/>
      <c r="L541" s="1"/>
      <c r="M541" s="1"/>
      <c r="N541" s="1"/>
      <c r="O541" s="1"/>
      <c r="P541" s="1"/>
      <c r="Q541" s="1"/>
      <c r="R541" s="1"/>
      <c r="S541" s="1"/>
      <c r="T541" s="1"/>
      <c r="U541" s="1"/>
      <c r="V541" s="1"/>
      <c r="W541" s="1"/>
      <c r="X541" s="1"/>
      <c r="Y541" s="1"/>
      <c r="Z541" s="1"/>
    </row>
    <row r="542">
      <c r="A542" s="1"/>
      <c r="B542" s="32"/>
      <c r="C542" s="1"/>
      <c r="D542" s="1"/>
      <c r="E542" s="1"/>
      <c r="F542" s="1"/>
      <c r="G542" s="1"/>
      <c r="H542" s="32"/>
      <c r="I542" s="1"/>
      <c r="J542" s="1"/>
      <c r="K542" s="1"/>
      <c r="L542" s="1"/>
      <c r="M542" s="1"/>
      <c r="N542" s="1"/>
      <c r="O542" s="1"/>
      <c r="P542" s="1"/>
      <c r="Q542" s="1"/>
      <c r="R542" s="1"/>
      <c r="S542" s="1"/>
      <c r="T542" s="1"/>
      <c r="U542" s="1"/>
      <c r="V542" s="1"/>
      <c r="W542" s="1"/>
      <c r="X542" s="1"/>
      <c r="Y542" s="1"/>
      <c r="Z542" s="1"/>
    </row>
    <row r="543">
      <c r="A543" s="1"/>
      <c r="B543" s="32"/>
      <c r="C543" s="1"/>
      <c r="D543" s="1"/>
      <c r="E543" s="1"/>
      <c r="F543" s="1"/>
      <c r="G543" s="1"/>
      <c r="H543" s="32"/>
      <c r="I543" s="1"/>
      <c r="J543" s="1"/>
      <c r="K543" s="1"/>
      <c r="L543" s="1"/>
      <c r="M543" s="1"/>
      <c r="N543" s="1"/>
      <c r="O543" s="1"/>
      <c r="P543" s="1"/>
      <c r="Q543" s="1"/>
      <c r="R543" s="1"/>
      <c r="S543" s="1"/>
      <c r="T543" s="1"/>
      <c r="U543" s="1"/>
      <c r="V543" s="1"/>
      <c r="W543" s="1"/>
      <c r="X543" s="1"/>
      <c r="Y543" s="1"/>
      <c r="Z543" s="1"/>
    </row>
    <row r="544">
      <c r="A544" s="1"/>
      <c r="B544" s="32"/>
      <c r="C544" s="1"/>
      <c r="D544" s="1"/>
      <c r="E544" s="1"/>
      <c r="F544" s="1"/>
      <c r="G544" s="1"/>
      <c r="H544" s="32"/>
      <c r="I544" s="1"/>
      <c r="J544" s="1"/>
      <c r="K544" s="1"/>
      <c r="L544" s="1"/>
      <c r="M544" s="1"/>
      <c r="N544" s="1"/>
      <c r="O544" s="1"/>
      <c r="P544" s="1"/>
      <c r="Q544" s="1"/>
      <c r="R544" s="1"/>
      <c r="S544" s="1"/>
      <c r="T544" s="1"/>
      <c r="U544" s="1"/>
      <c r="V544" s="1"/>
      <c r="W544" s="1"/>
      <c r="X544" s="1"/>
      <c r="Y544" s="1"/>
      <c r="Z544" s="1"/>
    </row>
    <row r="545">
      <c r="A545" s="1"/>
      <c r="B545" s="32"/>
      <c r="C545" s="1"/>
      <c r="D545" s="1"/>
      <c r="E545" s="1"/>
      <c r="F545" s="1"/>
      <c r="G545" s="1"/>
      <c r="H545" s="32"/>
      <c r="I545" s="1"/>
      <c r="J545" s="1"/>
      <c r="K545" s="1"/>
      <c r="L545" s="1"/>
      <c r="M545" s="1"/>
      <c r="N545" s="1"/>
      <c r="O545" s="1"/>
      <c r="P545" s="1"/>
      <c r="Q545" s="1"/>
      <c r="R545" s="1"/>
      <c r="S545" s="1"/>
      <c r="T545" s="1"/>
      <c r="U545" s="1"/>
      <c r="V545" s="1"/>
      <c r="W545" s="1"/>
      <c r="X545" s="1"/>
      <c r="Y545" s="1"/>
      <c r="Z545" s="1"/>
    </row>
    <row r="546">
      <c r="A546" s="1"/>
      <c r="B546" s="32"/>
      <c r="C546" s="1"/>
      <c r="D546" s="1"/>
      <c r="E546" s="1"/>
      <c r="F546" s="1"/>
      <c r="G546" s="1"/>
      <c r="H546" s="32"/>
      <c r="I546" s="1"/>
      <c r="J546" s="1"/>
      <c r="K546" s="1"/>
      <c r="L546" s="1"/>
      <c r="M546" s="1"/>
      <c r="N546" s="1"/>
      <c r="O546" s="1"/>
      <c r="P546" s="1"/>
      <c r="Q546" s="1"/>
      <c r="R546" s="1"/>
      <c r="S546" s="1"/>
      <c r="T546" s="1"/>
      <c r="U546" s="1"/>
      <c r="V546" s="1"/>
      <c r="W546" s="1"/>
      <c r="X546" s="1"/>
      <c r="Y546" s="1"/>
      <c r="Z546" s="1"/>
    </row>
    <row r="547">
      <c r="A547" s="1"/>
      <c r="B547" s="32"/>
      <c r="C547" s="1"/>
      <c r="D547" s="1"/>
      <c r="E547" s="1"/>
      <c r="F547" s="1"/>
      <c r="G547" s="1"/>
      <c r="H547" s="32"/>
      <c r="I547" s="1"/>
      <c r="J547" s="1"/>
      <c r="K547" s="1"/>
      <c r="L547" s="1"/>
      <c r="M547" s="1"/>
      <c r="N547" s="1"/>
      <c r="O547" s="1"/>
      <c r="P547" s="1"/>
      <c r="Q547" s="1"/>
      <c r="R547" s="1"/>
      <c r="S547" s="1"/>
      <c r="T547" s="1"/>
      <c r="U547" s="1"/>
      <c r="V547" s="1"/>
      <c r="W547" s="1"/>
      <c r="X547" s="1"/>
      <c r="Y547" s="1"/>
      <c r="Z547" s="1"/>
    </row>
    <row r="548">
      <c r="A548" s="1"/>
      <c r="B548" s="32"/>
      <c r="C548" s="1"/>
      <c r="D548" s="1"/>
      <c r="E548" s="1"/>
      <c r="F548" s="1"/>
      <c r="G548" s="1"/>
      <c r="H548" s="32"/>
      <c r="I548" s="1"/>
      <c r="J548" s="1"/>
      <c r="K548" s="1"/>
      <c r="L548" s="1"/>
      <c r="M548" s="1"/>
      <c r="N548" s="1"/>
      <c r="O548" s="1"/>
      <c r="P548" s="1"/>
      <c r="Q548" s="1"/>
      <c r="R548" s="1"/>
      <c r="S548" s="1"/>
      <c r="T548" s="1"/>
      <c r="U548" s="1"/>
      <c r="V548" s="1"/>
      <c r="W548" s="1"/>
      <c r="X548" s="1"/>
      <c r="Y548" s="1"/>
      <c r="Z548" s="1"/>
    </row>
    <row r="549">
      <c r="A549" s="1"/>
      <c r="B549" s="32"/>
      <c r="C549" s="1"/>
      <c r="D549" s="1"/>
      <c r="E549" s="1"/>
      <c r="F549" s="1"/>
      <c r="G549" s="1"/>
      <c r="H549" s="32"/>
      <c r="I549" s="1"/>
      <c r="J549" s="1"/>
      <c r="K549" s="1"/>
      <c r="L549" s="1"/>
      <c r="M549" s="1"/>
      <c r="N549" s="1"/>
      <c r="O549" s="1"/>
      <c r="P549" s="1"/>
      <c r="Q549" s="1"/>
      <c r="R549" s="1"/>
      <c r="S549" s="1"/>
      <c r="T549" s="1"/>
      <c r="U549" s="1"/>
      <c r="V549" s="1"/>
      <c r="W549" s="1"/>
      <c r="X549" s="1"/>
      <c r="Y549" s="1"/>
      <c r="Z549" s="1"/>
    </row>
    <row r="550">
      <c r="A550" s="1"/>
      <c r="B550" s="32"/>
      <c r="C550" s="1"/>
      <c r="D550" s="1"/>
      <c r="E550" s="1"/>
      <c r="F550" s="1"/>
      <c r="G550" s="1"/>
      <c r="H550" s="32"/>
      <c r="I550" s="1"/>
      <c r="J550" s="1"/>
      <c r="K550" s="1"/>
      <c r="L550" s="1"/>
      <c r="M550" s="1"/>
      <c r="N550" s="1"/>
      <c r="O550" s="1"/>
      <c r="P550" s="1"/>
      <c r="Q550" s="1"/>
      <c r="R550" s="1"/>
      <c r="S550" s="1"/>
      <c r="T550" s="1"/>
      <c r="U550" s="1"/>
      <c r="V550" s="1"/>
      <c r="W550" s="1"/>
      <c r="X550" s="1"/>
      <c r="Y550" s="1"/>
      <c r="Z550" s="1"/>
    </row>
    <row r="551">
      <c r="A551" s="1"/>
      <c r="B551" s="32"/>
      <c r="C551" s="1"/>
      <c r="D551" s="1"/>
      <c r="E551" s="1"/>
      <c r="F551" s="1"/>
      <c r="G551" s="1"/>
      <c r="H551" s="32"/>
      <c r="I551" s="1"/>
      <c r="J551" s="1"/>
      <c r="K551" s="1"/>
      <c r="L551" s="1"/>
      <c r="M551" s="1"/>
      <c r="N551" s="1"/>
      <c r="O551" s="1"/>
      <c r="P551" s="1"/>
      <c r="Q551" s="1"/>
      <c r="R551" s="1"/>
      <c r="S551" s="1"/>
      <c r="T551" s="1"/>
      <c r="U551" s="1"/>
      <c r="V551" s="1"/>
      <c r="W551" s="1"/>
      <c r="X551" s="1"/>
      <c r="Y551" s="1"/>
      <c r="Z551" s="1"/>
    </row>
    <row r="552">
      <c r="A552" s="1"/>
      <c r="B552" s="32"/>
      <c r="C552" s="1"/>
      <c r="D552" s="1"/>
      <c r="E552" s="1"/>
      <c r="F552" s="1"/>
      <c r="G552" s="1"/>
      <c r="H552" s="32"/>
      <c r="I552" s="1"/>
      <c r="J552" s="1"/>
      <c r="K552" s="1"/>
      <c r="L552" s="1"/>
      <c r="M552" s="1"/>
      <c r="N552" s="1"/>
      <c r="O552" s="1"/>
      <c r="P552" s="1"/>
      <c r="Q552" s="1"/>
      <c r="R552" s="1"/>
      <c r="S552" s="1"/>
      <c r="T552" s="1"/>
      <c r="U552" s="1"/>
      <c r="V552" s="1"/>
      <c r="W552" s="1"/>
      <c r="X552" s="1"/>
      <c r="Y552" s="1"/>
      <c r="Z552" s="1"/>
    </row>
    <row r="553">
      <c r="A553" s="1"/>
      <c r="B553" s="32"/>
      <c r="C553" s="1"/>
      <c r="D553" s="1"/>
      <c r="E553" s="1"/>
      <c r="F553" s="1"/>
      <c r="G553" s="1"/>
      <c r="H553" s="32"/>
      <c r="I553" s="1"/>
      <c r="J553" s="1"/>
      <c r="K553" s="1"/>
      <c r="L553" s="1"/>
      <c r="M553" s="1"/>
      <c r="N553" s="1"/>
      <c r="O553" s="1"/>
      <c r="P553" s="1"/>
      <c r="Q553" s="1"/>
      <c r="R553" s="1"/>
      <c r="S553" s="1"/>
      <c r="T553" s="1"/>
      <c r="U553" s="1"/>
      <c r="V553" s="1"/>
      <c r="W553" s="1"/>
      <c r="X553" s="1"/>
      <c r="Y553" s="1"/>
      <c r="Z553" s="1"/>
    </row>
    <row r="554">
      <c r="A554" s="1"/>
      <c r="B554" s="32"/>
      <c r="C554" s="1"/>
      <c r="D554" s="1"/>
      <c r="E554" s="1"/>
      <c r="F554" s="1"/>
      <c r="G554" s="1"/>
      <c r="H554" s="32"/>
      <c r="I554" s="1"/>
      <c r="J554" s="1"/>
      <c r="K554" s="1"/>
      <c r="L554" s="1"/>
      <c r="M554" s="1"/>
      <c r="N554" s="1"/>
      <c r="O554" s="1"/>
      <c r="P554" s="1"/>
      <c r="Q554" s="1"/>
      <c r="R554" s="1"/>
      <c r="S554" s="1"/>
      <c r="T554" s="1"/>
      <c r="U554" s="1"/>
      <c r="V554" s="1"/>
      <c r="W554" s="1"/>
      <c r="X554" s="1"/>
      <c r="Y554" s="1"/>
      <c r="Z554" s="1"/>
    </row>
    <row r="555">
      <c r="A555" s="1"/>
      <c r="B555" s="32"/>
      <c r="C555" s="1"/>
      <c r="D555" s="1"/>
      <c r="E555" s="1"/>
      <c r="F555" s="1"/>
      <c r="G555" s="1"/>
      <c r="H555" s="32"/>
      <c r="I555" s="1"/>
      <c r="J555" s="1"/>
      <c r="K555" s="1"/>
      <c r="L555" s="1"/>
      <c r="M555" s="1"/>
      <c r="N555" s="1"/>
      <c r="O555" s="1"/>
      <c r="P555" s="1"/>
      <c r="Q555" s="1"/>
      <c r="R555" s="1"/>
      <c r="S555" s="1"/>
      <c r="T555" s="1"/>
      <c r="U555" s="1"/>
      <c r="V555" s="1"/>
      <c r="W555" s="1"/>
      <c r="X555" s="1"/>
      <c r="Y555" s="1"/>
      <c r="Z555" s="1"/>
    </row>
    <row r="556">
      <c r="A556" s="1"/>
      <c r="B556" s="32"/>
      <c r="C556" s="1"/>
      <c r="D556" s="1"/>
      <c r="E556" s="1"/>
      <c r="F556" s="1"/>
      <c r="G556" s="1"/>
      <c r="H556" s="32"/>
      <c r="I556" s="1"/>
      <c r="J556" s="1"/>
      <c r="K556" s="1"/>
      <c r="L556" s="1"/>
      <c r="M556" s="1"/>
      <c r="N556" s="1"/>
      <c r="O556" s="1"/>
      <c r="P556" s="1"/>
      <c r="Q556" s="1"/>
      <c r="R556" s="1"/>
      <c r="S556" s="1"/>
      <c r="T556" s="1"/>
      <c r="U556" s="1"/>
      <c r="V556" s="1"/>
      <c r="W556" s="1"/>
      <c r="X556" s="1"/>
      <c r="Y556" s="1"/>
      <c r="Z556" s="1"/>
    </row>
    <row r="557">
      <c r="A557" s="1"/>
      <c r="B557" s="32"/>
      <c r="C557" s="1"/>
      <c r="D557" s="1"/>
      <c r="E557" s="1"/>
      <c r="F557" s="1"/>
      <c r="G557" s="1"/>
      <c r="H557" s="32"/>
      <c r="I557" s="1"/>
      <c r="J557" s="1"/>
      <c r="K557" s="1"/>
      <c r="L557" s="1"/>
      <c r="M557" s="1"/>
      <c r="N557" s="1"/>
      <c r="O557" s="1"/>
      <c r="P557" s="1"/>
      <c r="Q557" s="1"/>
      <c r="R557" s="1"/>
      <c r="S557" s="1"/>
      <c r="T557" s="1"/>
      <c r="U557" s="1"/>
      <c r="V557" s="1"/>
      <c r="W557" s="1"/>
      <c r="X557" s="1"/>
      <c r="Y557" s="1"/>
      <c r="Z557" s="1"/>
    </row>
    <row r="558">
      <c r="A558" s="1"/>
      <c r="B558" s="32"/>
      <c r="C558" s="1"/>
      <c r="D558" s="1"/>
      <c r="E558" s="1"/>
      <c r="F558" s="1"/>
      <c r="G558" s="1"/>
      <c r="H558" s="32"/>
      <c r="I558" s="1"/>
      <c r="J558" s="1"/>
      <c r="K558" s="1"/>
      <c r="L558" s="1"/>
      <c r="M558" s="1"/>
      <c r="N558" s="1"/>
      <c r="O558" s="1"/>
      <c r="P558" s="1"/>
      <c r="Q558" s="1"/>
      <c r="R558" s="1"/>
      <c r="S558" s="1"/>
      <c r="T558" s="1"/>
      <c r="U558" s="1"/>
      <c r="V558" s="1"/>
      <c r="W558" s="1"/>
      <c r="X558" s="1"/>
      <c r="Y558" s="1"/>
      <c r="Z558" s="1"/>
    </row>
    <row r="559">
      <c r="A559" s="1"/>
      <c r="B559" s="32"/>
      <c r="C559" s="1"/>
      <c r="D559" s="1"/>
      <c r="E559" s="1"/>
      <c r="F559" s="1"/>
      <c r="G559" s="1"/>
      <c r="H559" s="32"/>
      <c r="I559" s="1"/>
      <c r="J559" s="1"/>
      <c r="K559" s="1"/>
      <c r="L559" s="1"/>
      <c r="M559" s="1"/>
      <c r="N559" s="1"/>
      <c r="O559" s="1"/>
      <c r="P559" s="1"/>
      <c r="Q559" s="1"/>
      <c r="R559" s="1"/>
      <c r="S559" s="1"/>
      <c r="T559" s="1"/>
      <c r="U559" s="1"/>
      <c r="V559" s="1"/>
      <c r="W559" s="1"/>
      <c r="X559" s="1"/>
      <c r="Y559" s="1"/>
      <c r="Z559" s="1"/>
    </row>
    <row r="560">
      <c r="A560" s="1"/>
      <c r="B560" s="32"/>
      <c r="C560" s="1"/>
      <c r="D560" s="1"/>
      <c r="E560" s="1"/>
      <c r="F560" s="1"/>
      <c r="G560" s="1"/>
      <c r="H560" s="32"/>
      <c r="I560" s="1"/>
      <c r="J560" s="1"/>
      <c r="K560" s="1"/>
      <c r="L560" s="1"/>
      <c r="M560" s="1"/>
      <c r="N560" s="1"/>
      <c r="O560" s="1"/>
      <c r="P560" s="1"/>
      <c r="Q560" s="1"/>
      <c r="R560" s="1"/>
      <c r="S560" s="1"/>
      <c r="T560" s="1"/>
      <c r="U560" s="1"/>
      <c r="V560" s="1"/>
      <c r="W560" s="1"/>
      <c r="X560" s="1"/>
      <c r="Y560" s="1"/>
      <c r="Z560" s="1"/>
    </row>
    <row r="561">
      <c r="A561" s="1"/>
      <c r="B561" s="32"/>
      <c r="C561" s="1"/>
      <c r="D561" s="1"/>
      <c r="E561" s="1"/>
      <c r="F561" s="1"/>
      <c r="G561" s="1"/>
      <c r="H561" s="32"/>
      <c r="I561" s="1"/>
      <c r="J561" s="1"/>
      <c r="K561" s="1"/>
      <c r="L561" s="1"/>
      <c r="M561" s="1"/>
      <c r="N561" s="1"/>
      <c r="O561" s="1"/>
      <c r="P561" s="1"/>
      <c r="Q561" s="1"/>
      <c r="R561" s="1"/>
      <c r="S561" s="1"/>
      <c r="T561" s="1"/>
      <c r="U561" s="1"/>
      <c r="V561" s="1"/>
      <c r="W561" s="1"/>
      <c r="X561" s="1"/>
      <c r="Y561" s="1"/>
      <c r="Z561" s="1"/>
    </row>
    <row r="562">
      <c r="A562" s="1"/>
      <c r="B562" s="32"/>
      <c r="C562" s="1"/>
      <c r="D562" s="1"/>
      <c r="E562" s="1"/>
      <c r="F562" s="1"/>
      <c r="G562" s="1"/>
      <c r="H562" s="32"/>
      <c r="I562" s="1"/>
      <c r="J562" s="1"/>
      <c r="K562" s="1"/>
      <c r="L562" s="1"/>
      <c r="M562" s="1"/>
      <c r="N562" s="1"/>
      <c r="O562" s="1"/>
      <c r="P562" s="1"/>
      <c r="Q562" s="1"/>
      <c r="R562" s="1"/>
      <c r="S562" s="1"/>
      <c r="T562" s="1"/>
      <c r="U562" s="1"/>
      <c r="V562" s="1"/>
      <c r="W562" s="1"/>
      <c r="X562" s="1"/>
      <c r="Y562" s="1"/>
      <c r="Z562" s="1"/>
    </row>
    <row r="563">
      <c r="A563" s="1"/>
      <c r="B563" s="32"/>
      <c r="C563" s="1"/>
      <c r="D563" s="1"/>
      <c r="E563" s="1"/>
      <c r="F563" s="1"/>
      <c r="G563" s="1"/>
      <c r="H563" s="32"/>
      <c r="I563" s="1"/>
      <c r="J563" s="1"/>
      <c r="K563" s="1"/>
      <c r="L563" s="1"/>
      <c r="M563" s="1"/>
      <c r="N563" s="1"/>
      <c r="O563" s="1"/>
      <c r="P563" s="1"/>
      <c r="Q563" s="1"/>
      <c r="R563" s="1"/>
      <c r="S563" s="1"/>
      <c r="T563" s="1"/>
      <c r="U563" s="1"/>
      <c r="V563" s="1"/>
      <c r="W563" s="1"/>
      <c r="X563" s="1"/>
      <c r="Y563" s="1"/>
      <c r="Z563" s="1"/>
    </row>
    <row r="564">
      <c r="A564" s="1"/>
      <c r="B564" s="32"/>
      <c r="C564" s="1"/>
      <c r="D564" s="1"/>
      <c r="E564" s="1"/>
      <c r="F564" s="1"/>
      <c r="G564" s="1"/>
      <c r="H564" s="32"/>
      <c r="I564" s="1"/>
      <c r="J564" s="1"/>
      <c r="K564" s="1"/>
      <c r="L564" s="1"/>
      <c r="M564" s="1"/>
      <c r="N564" s="1"/>
      <c r="O564" s="1"/>
      <c r="P564" s="1"/>
      <c r="Q564" s="1"/>
      <c r="R564" s="1"/>
      <c r="S564" s="1"/>
      <c r="T564" s="1"/>
      <c r="U564" s="1"/>
      <c r="V564" s="1"/>
      <c r="W564" s="1"/>
      <c r="X564" s="1"/>
      <c r="Y564" s="1"/>
      <c r="Z564" s="1"/>
    </row>
    <row r="565">
      <c r="A565" s="1"/>
      <c r="B565" s="32"/>
      <c r="C565" s="1"/>
      <c r="D565" s="1"/>
      <c r="E565" s="1"/>
      <c r="F565" s="1"/>
      <c r="G565" s="1"/>
      <c r="H565" s="32"/>
      <c r="I565" s="1"/>
      <c r="J565" s="1"/>
      <c r="K565" s="1"/>
      <c r="L565" s="1"/>
      <c r="M565" s="1"/>
      <c r="N565" s="1"/>
      <c r="O565" s="1"/>
      <c r="P565" s="1"/>
      <c r="Q565" s="1"/>
      <c r="R565" s="1"/>
      <c r="S565" s="1"/>
      <c r="T565" s="1"/>
      <c r="U565" s="1"/>
      <c r="V565" s="1"/>
      <c r="W565" s="1"/>
      <c r="X565" s="1"/>
      <c r="Y565" s="1"/>
      <c r="Z565" s="1"/>
    </row>
    <row r="566">
      <c r="A566" s="1"/>
      <c r="B566" s="32"/>
      <c r="C566" s="1"/>
      <c r="D566" s="1"/>
      <c r="E566" s="1"/>
      <c r="F566" s="1"/>
      <c r="G566" s="1"/>
      <c r="H566" s="32"/>
      <c r="I566" s="1"/>
      <c r="J566" s="1"/>
      <c r="K566" s="1"/>
      <c r="L566" s="1"/>
      <c r="M566" s="1"/>
      <c r="N566" s="1"/>
      <c r="O566" s="1"/>
      <c r="P566" s="1"/>
      <c r="Q566" s="1"/>
      <c r="R566" s="1"/>
      <c r="S566" s="1"/>
      <c r="T566" s="1"/>
      <c r="U566" s="1"/>
      <c r="V566" s="1"/>
      <c r="W566" s="1"/>
      <c r="X566" s="1"/>
      <c r="Y566" s="1"/>
      <c r="Z566" s="1"/>
    </row>
    <row r="567">
      <c r="A567" s="1"/>
      <c r="B567" s="32"/>
      <c r="C567" s="1"/>
      <c r="D567" s="1"/>
      <c r="E567" s="1"/>
      <c r="F567" s="1"/>
      <c r="G567" s="1"/>
      <c r="H567" s="32"/>
      <c r="I567" s="1"/>
      <c r="J567" s="1"/>
      <c r="K567" s="1"/>
      <c r="L567" s="1"/>
      <c r="M567" s="1"/>
      <c r="N567" s="1"/>
      <c r="O567" s="1"/>
      <c r="P567" s="1"/>
      <c r="Q567" s="1"/>
      <c r="R567" s="1"/>
      <c r="S567" s="1"/>
      <c r="T567" s="1"/>
      <c r="U567" s="1"/>
      <c r="V567" s="1"/>
      <c r="W567" s="1"/>
      <c r="X567" s="1"/>
      <c r="Y567" s="1"/>
      <c r="Z567" s="1"/>
    </row>
    <row r="568">
      <c r="A568" s="1"/>
      <c r="B568" s="32"/>
      <c r="C568" s="1"/>
      <c r="D568" s="1"/>
      <c r="E568" s="1"/>
      <c r="F568" s="1"/>
      <c r="G568" s="1"/>
      <c r="H568" s="32"/>
      <c r="I568" s="1"/>
      <c r="J568" s="1"/>
      <c r="K568" s="1"/>
      <c r="L568" s="1"/>
      <c r="M568" s="1"/>
      <c r="N568" s="1"/>
      <c r="O568" s="1"/>
      <c r="P568" s="1"/>
      <c r="Q568" s="1"/>
      <c r="R568" s="1"/>
      <c r="S568" s="1"/>
      <c r="T568" s="1"/>
      <c r="U568" s="1"/>
      <c r="V568" s="1"/>
      <c r="W568" s="1"/>
      <c r="X568" s="1"/>
      <c r="Y568" s="1"/>
      <c r="Z568" s="1"/>
    </row>
    <row r="569">
      <c r="A569" s="1"/>
      <c r="B569" s="32"/>
      <c r="C569" s="1"/>
      <c r="D569" s="1"/>
      <c r="E569" s="1"/>
      <c r="F569" s="1"/>
      <c r="G569" s="1"/>
      <c r="H569" s="32"/>
      <c r="I569" s="1"/>
      <c r="J569" s="1"/>
      <c r="K569" s="1"/>
      <c r="L569" s="1"/>
      <c r="M569" s="1"/>
      <c r="N569" s="1"/>
      <c r="O569" s="1"/>
      <c r="P569" s="1"/>
      <c r="Q569" s="1"/>
      <c r="R569" s="1"/>
      <c r="S569" s="1"/>
      <c r="T569" s="1"/>
      <c r="U569" s="1"/>
      <c r="V569" s="1"/>
      <c r="W569" s="1"/>
      <c r="X569" s="1"/>
      <c r="Y569" s="1"/>
      <c r="Z569" s="1"/>
    </row>
    <row r="570">
      <c r="A570" s="1"/>
      <c r="B570" s="32"/>
      <c r="C570" s="1"/>
      <c r="D570" s="1"/>
      <c r="E570" s="1"/>
      <c r="F570" s="1"/>
      <c r="G570" s="1"/>
      <c r="H570" s="32"/>
      <c r="I570" s="1"/>
      <c r="J570" s="1"/>
      <c r="K570" s="1"/>
      <c r="L570" s="1"/>
      <c r="M570" s="1"/>
      <c r="N570" s="1"/>
      <c r="O570" s="1"/>
      <c r="P570" s="1"/>
      <c r="Q570" s="1"/>
      <c r="R570" s="1"/>
      <c r="S570" s="1"/>
      <c r="T570" s="1"/>
      <c r="U570" s="1"/>
      <c r="V570" s="1"/>
      <c r="W570" s="1"/>
      <c r="X570" s="1"/>
      <c r="Y570" s="1"/>
      <c r="Z570" s="1"/>
    </row>
    <row r="571">
      <c r="A571" s="1"/>
      <c r="B571" s="32"/>
      <c r="C571" s="1"/>
      <c r="D571" s="1"/>
      <c r="E571" s="1"/>
      <c r="F571" s="1"/>
      <c r="G571" s="1"/>
      <c r="H571" s="32"/>
      <c r="I571" s="1"/>
      <c r="J571" s="1"/>
      <c r="K571" s="1"/>
      <c r="L571" s="1"/>
      <c r="M571" s="1"/>
      <c r="N571" s="1"/>
      <c r="O571" s="1"/>
      <c r="P571" s="1"/>
      <c r="Q571" s="1"/>
      <c r="R571" s="1"/>
      <c r="S571" s="1"/>
      <c r="T571" s="1"/>
      <c r="U571" s="1"/>
      <c r="V571" s="1"/>
      <c r="W571" s="1"/>
      <c r="X571" s="1"/>
      <c r="Y571" s="1"/>
      <c r="Z571" s="1"/>
    </row>
    <row r="572">
      <c r="A572" s="1"/>
      <c r="B572" s="32"/>
      <c r="C572" s="1"/>
      <c r="D572" s="1"/>
      <c r="E572" s="1"/>
      <c r="F572" s="1"/>
      <c r="G572" s="1"/>
      <c r="H572" s="32"/>
      <c r="I572" s="1"/>
      <c r="J572" s="1"/>
      <c r="K572" s="1"/>
      <c r="L572" s="1"/>
      <c r="M572" s="1"/>
      <c r="N572" s="1"/>
      <c r="O572" s="1"/>
      <c r="P572" s="1"/>
      <c r="Q572" s="1"/>
      <c r="R572" s="1"/>
      <c r="S572" s="1"/>
      <c r="T572" s="1"/>
      <c r="U572" s="1"/>
      <c r="V572" s="1"/>
      <c r="W572" s="1"/>
      <c r="X572" s="1"/>
      <c r="Y572" s="1"/>
      <c r="Z572" s="1"/>
    </row>
    <row r="573">
      <c r="A573" s="1"/>
      <c r="B573" s="32"/>
      <c r="C573" s="1"/>
      <c r="D573" s="1"/>
      <c r="E573" s="1"/>
      <c r="F573" s="1"/>
      <c r="G573" s="1"/>
      <c r="H573" s="32"/>
      <c r="I573" s="1"/>
      <c r="J573" s="1"/>
      <c r="K573" s="1"/>
      <c r="L573" s="1"/>
      <c r="M573" s="1"/>
      <c r="N573" s="1"/>
      <c r="O573" s="1"/>
      <c r="P573" s="1"/>
      <c r="Q573" s="1"/>
      <c r="R573" s="1"/>
      <c r="S573" s="1"/>
      <c r="T573" s="1"/>
      <c r="U573" s="1"/>
      <c r="V573" s="1"/>
      <c r="W573" s="1"/>
      <c r="X573" s="1"/>
      <c r="Y573" s="1"/>
      <c r="Z573" s="1"/>
    </row>
    <row r="574">
      <c r="A574" s="1"/>
      <c r="B574" s="32"/>
      <c r="C574" s="1"/>
      <c r="D574" s="1"/>
      <c r="E574" s="1"/>
      <c r="F574" s="1"/>
      <c r="G574" s="1"/>
      <c r="H574" s="32"/>
      <c r="I574" s="1"/>
      <c r="J574" s="1"/>
      <c r="K574" s="1"/>
      <c r="L574" s="1"/>
      <c r="M574" s="1"/>
      <c r="N574" s="1"/>
      <c r="O574" s="1"/>
      <c r="P574" s="1"/>
      <c r="Q574" s="1"/>
      <c r="R574" s="1"/>
      <c r="S574" s="1"/>
      <c r="T574" s="1"/>
      <c r="U574" s="1"/>
      <c r="V574" s="1"/>
      <c r="W574" s="1"/>
      <c r="X574" s="1"/>
      <c r="Y574" s="1"/>
      <c r="Z574" s="1"/>
    </row>
    <row r="575">
      <c r="A575" s="1"/>
      <c r="B575" s="32"/>
      <c r="C575" s="1"/>
      <c r="D575" s="1"/>
      <c r="E575" s="1"/>
      <c r="F575" s="1"/>
      <c r="G575" s="1"/>
      <c r="H575" s="32"/>
      <c r="I575" s="1"/>
      <c r="J575" s="1"/>
      <c r="K575" s="1"/>
      <c r="L575" s="1"/>
      <c r="M575" s="1"/>
      <c r="N575" s="1"/>
      <c r="O575" s="1"/>
      <c r="P575" s="1"/>
      <c r="Q575" s="1"/>
      <c r="R575" s="1"/>
      <c r="S575" s="1"/>
      <c r="T575" s="1"/>
      <c r="U575" s="1"/>
      <c r="V575" s="1"/>
      <c r="W575" s="1"/>
      <c r="X575" s="1"/>
      <c r="Y575" s="1"/>
      <c r="Z575" s="1"/>
    </row>
    <row r="576">
      <c r="A576" s="1"/>
      <c r="B576" s="32"/>
      <c r="C576" s="1"/>
      <c r="D576" s="1"/>
      <c r="E576" s="1"/>
      <c r="F576" s="1"/>
      <c r="G576" s="1"/>
      <c r="H576" s="32"/>
      <c r="I576" s="1"/>
      <c r="J576" s="1"/>
      <c r="K576" s="1"/>
      <c r="L576" s="1"/>
      <c r="M576" s="1"/>
      <c r="N576" s="1"/>
      <c r="O576" s="1"/>
      <c r="P576" s="1"/>
      <c r="Q576" s="1"/>
      <c r="R576" s="1"/>
      <c r="S576" s="1"/>
      <c r="T576" s="1"/>
      <c r="U576" s="1"/>
      <c r="V576" s="1"/>
      <c r="W576" s="1"/>
      <c r="X576" s="1"/>
      <c r="Y576" s="1"/>
      <c r="Z576" s="1"/>
    </row>
    <row r="577">
      <c r="A577" s="1"/>
      <c r="B577" s="32"/>
      <c r="C577" s="1"/>
      <c r="D577" s="1"/>
      <c r="E577" s="1"/>
      <c r="F577" s="1"/>
      <c r="G577" s="1"/>
      <c r="H577" s="32"/>
      <c r="I577" s="1"/>
      <c r="J577" s="1"/>
      <c r="K577" s="1"/>
      <c r="L577" s="1"/>
      <c r="M577" s="1"/>
      <c r="N577" s="1"/>
      <c r="O577" s="1"/>
      <c r="P577" s="1"/>
      <c r="Q577" s="1"/>
      <c r="R577" s="1"/>
      <c r="S577" s="1"/>
      <c r="T577" s="1"/>
      <c r="U577" s="1"/>
      <c r="V577" s="1"/>
      <c r="W577" s="1"/>
      <c r="X577" s="1"/>
      <c r="Y577" s="1"/>
      <c r="Z577" s="1"/>
    </row>
    <row r="578">
      <c r="A578" s="1"/>
      <c r="B578" s="32"/>
      <c r="C578" s="1"/>
      <c r="D578" s="1"/>
      <c r="E578" s="1"/>
      <c r="F578" s="1"/>
      <c r="G578" s="1"/>
      <c r="H578" s="32"/>
      <c r="I578" s="1"/>
      <c r="J578" s="1"/>
      <c r="K578" s="1"/>
      <c r="L578" s="1"/>
      <c r="M578" s="1"/>
      <c r="N578" s="1"/>
      <c r="O578" s="1"/>
      <c r="P578" s="1"/>
      <c r="Q578" s="1"/>
      <c r="R578" s="1"/>
      <c r="S578" s="1"/>
      <c r="T578" s="1"/>
      <c r="U578" s="1"/>
      <c r="V578" s="1"/>
      <c r="W578" s="1"/>
      <c r="X578" s="1"/>
      <c r="Y578" s="1"/>
      <c r="Z578" s="1"/>
    </row>
    <row r="579">
      <c r="A579" s="1"/>
      <c r="B579" s="32"/>
      <c r="C579" s="1"/>
      <c r="D579" s="1"/>
      <c r="E579" s="1"/>
      <c r="F579" s="1"/>
      <c r="G579" s="1"/>
      <c r="H579" s="32"/>
      <c r="I579" s="1"/>
      <c r="J579" s="1"/>
      <c r="K579" s="1"/>
      <c r="L579" s="1"/>
      <c r="M579" s="1"/>
      <c r="N579" s="1"/>
      <c r="O579" s="1"/>
      <c r="P579" s="1"/>
      <c r="Q579" s="1"/>
      <c r="R579" s="1"/>
      <c r="S579" s="1"/>
      <c r="T579" s="1"/>
      <c r="U579" s="1"/>
      <c r="V579" s="1"/>
      <c r="W579" s="1"/>
      <c r="X579" s="1"/>
      <c r="Y579" s="1"/>
      <c r="Z579" s="1"/>
    </row>
    <row r="580">
      <c r="A580" s="1"/>
      <c r="B580" s="32"/>
      <c r="C580" s="1"/>
      <c r="D580" s="1"/>
      <c r="E580" s="1"/>
      <c r="F580" s="1"/>
      <c r="G580" s="1"/>
      <c r="H580" s="32"/>
      <c r="I580" s="1"/>
      <c r="J580" s="1"/>
      <c r="K580" s="1"/>
      <c r="L580" s="1"/>
      <c r="M580" s="1"/>
      <c r="N580" s="1"/>
      <c r="O580" s="1"/>
      <c r="P580" s="1"/>
      <c r="Q580" s="1"/>
      <c r="R580" s="1"/>
      <c r="S580" s="1"/>
      <c r="T580" s="1"/>
      <c r="U580" s="1"/>
      <c r="V580" s="1"/>
      <c r="W580" s="1"/>
      <c r="X580" s="1"/>
      <c r="Y580" s="1"/>
      <c r="Z580" s="1"/>
    </row>
    <row r="581">
      <c r="A581" s="1"/>
      <c r="B581" s="32"/>
      <c r="C581" s="1"/>
      <c r="D581" s="1"/>
      <c r="E581" s="1"/>
      <c r="F581" s="1"/>
      <c r="G581" s="1"/>
      <c r="H581" s="32"/>
      <c r="I581" s="1"/>
      <c r="J581" s="1"/>
      <c r="K581" s="1"/>
      <c r="L581" s="1"/>
      <c r="M581" s="1"/>
      <c r="N581" s="1"/>
      <c r="O581" s="1"/>
      <c r="P581" s="1"/>
      <c r="Q581" s="1"/>
      <c r="R581" s="1"/>
      <c r="S581" s="1"/>
      <c r="T581" s="1"/>
      <c r="U581" s="1"/>
      <c r="V581" s="1"/>
      <c r="W581" s="1"/>
      <c r="X581" s="1"/>
      <c r="Y581" s="1"/>
      <c r="Z581" s="1"/>
    </row>
    <row r="582">
      <c r="A582" s="1"/>
      <c r="B582" s="32"/>
      <c r="C582" s="1"/>
      <c r="D582" s="1"/>
      <c r="E582" s="1"/>
      <c r="F582" s="1"/>
      <c r="G582" s="1"/>
      <c r="H582" s="32"/>
      <c r="I582" s="1"/>
      <c r="J582" s="1"/>
      <c r="K582" s="1"/>
      <c r="L582" s="1"/>
      <c r="M582" s="1"/>
      <c r="N582" s="1"/>
      <c r="O582" s="1"/>
      <c r="P582" s="1"/>
      <c r="Q582" s="1"/>
      <c r="R582" s="1"/>
      <c r="S582" s="1"/>
      <c r="T582" s="1"/>
      <c r="U582" s="1"/>
      <c r="V582" s="1"/>
      <c r="W582" s="1"/>
      <c r="X582" s="1"/>
      <c r="Y582" s="1"/>
      <c r="Z582" s="1"/>
    </row>
    <row r="583">
      <c r="A583" s="1"/>
      <c r="B583" s="32"/>
      <c r="C583" s="1"/>
      <c r="D583" s="1"/>
      <c r="E583" s="1"/>
      <c r="F583" s="1"/>
      <c r="G583" s="1"/>
      <c r="H583" s="32"/>
      <c r="I583" s="1"/>
      <c r="J583" s="1"/>
      <c r="K583" s="1"/>
      <c r="L583" s="1"/>
      <c r="M583" s="1"/>
      <c r="N583" s="1"/>
      <c r="O583" s="1"/>
      <c r="P583" s="1"/>
      <c r="Q583" s="1"/>
      <c r="R583" s="1"/>
      <c r="S583" s="1"/>
      <c r="T583" s="1"/>
      <c r="U583" s="1"/>
      <c r="V583" s="1"/>
      <c r="W583" s="1"/>
      <c r="X583" s="1"/>
      <c r="Y583" s="1"/>
      <c r="Z583" s="1"/>
    </row>
    <row r="584">
      <c r="A584" s="1"/>
      <c r="B584" s="32"/>
      <c r="C584" s="1"/>
      <c r="D584" s="1"/>
      <c r="E584" s="1"/>
      <c r="F584" s="1"/>
      <c r="G584" s="1"/>
      <c r="H584" s="32"/>
      <c r="I584" s="1"/>
      <c r="J584" s="1"/>
      <c r="K584" s="1"/>
      <c r="L584" s="1"/>
      <c r="M584" s="1"/>
      <c r="N584" s="1"/>
      <c r="O584" s="1"/>
      <c r="P584" s="1"/>
      <c r="Q584" s="1"/>
      <c r="R584" s="1"/>
      <c r="S584" s="1"/>
      <c r="T584" s="1"/>
      <c r="U584" s="1"/>
      <c r="V584" s="1"/>
      <c r="W584" s="1"/>
      <c r="X584" s="1"/>
      <c r="Y584" s="1"/>
      <c r="Z584" s="1"/>
    </row>
    <row r="585">
      <c r="A585" s="1"/>
      <c r="B585" s="32"/>
      <c r="C585" s="1"/>
      <c r="D585" s="1"/>
      <c r="E585" s="1"/>
      <c r="F585" s="1"/>
      <c r="G585" s="1"/>
      <c r="H585" s="32"/>
      <c r="I585" s="1"/>
      <c r="J585" s="1"/>
      <c r="K585" s="1"/>
      <c r="L585" s="1"/>
      <c r="M585" s="1"/>
      <c r="N585" s="1"/>
      <c r="O585" s="1"/>
      <c r="P585" s="1"/>
      <c r="Q585" s="1"/>
      <c r="R585" s="1"/>
      <c r="S585" s="1"/>
      <c r="T585" s="1"/>
      <c r="U585" s="1"/>
      <c r="V585" s="1"/>
      <c r="W585" s="1"/>
      <c r="X585" s="1"/>
      <c r="Y585" s="1"/>
      <c r="Z585" s="1"/>
    </row>
    <row r="586">
      <c r="A586" s="1"/>
      <c r="B586" s="32"/>
      <c r="C586" s="1"/>
      <c r="D586" s="1"/>
      <c r="E586" s="1"/>
      <c r="F586" s="1"/>
      <c r="G586" s="1"/>
      <c r="H586" s="32"/>
      <c r="I586" s="1"/>
      <c r="J586" s="1"/>
      <c r="K586" s="1"/>
      <c r="L586" s="1"/>
      <c r="M586" s="1"/>
      <c r="N586" s="1"/>
      <c r="O586" s="1"/>
      <c r="P586" s="1"/>
      <c r="Q586" s="1"/>
      <c r="R586" s="1"/>
      <c r="S586" s="1"/>
      <c r="T586" s="1"/>
      <c r="U586" s="1"/>
      <c r="V586" s="1"/>
      <c r="W586" s="1"/>
      <c r="X586" s="1"/>
      <c r="Y586" s="1"/>
      <c r="Z586" s="1"/>
    </row>
    <row r="587">
      <c r="A587" s="1"/>
      <c r="B587" s="32"/>
      <c r="C587" s="1"/>
      <c r="D587" s="1"/>
      <c r="E587" s="1"/>
      <c r="F587" s="1"/>
      <c r="G587" s="1"/>
      <c r="H587" s="32"/>
      <c r="I587" s="1"/>
      <c r="J587" s="1"/>
      <c r="K587" s="1"/>
      <c r="L587" s="1"/>
      <c r="M587" s="1"/>
      <c r="N587" s="1"/>
      <c r="O587" s="1"/>
      <c r="P587" s="1"/>
      <c r="Q587" s="1"/>
      <c r="R587" s="1"/>
      <c r="S587" s="1"/>
      <c r="T587" s="1"/>
      <c r="U587" s="1"/>
      <c r="V587" s="1"/>
      <c r="W587" s="1"/>
      <c r="X587" s="1"/>
      <c r="Y587" s="1"/>
      <c r="Z587" s="1"/>
    </row>
    <row r="588">
      <c r="A588" s="1"/>
      <c r="B588" s="32"/>
      <c r="C588" s="1"/>
      <c r="D588" s="1"/>
      <c r="E588" s="1"/>
      <c r="F588" s="1"/>
      <c r="G588" s="1"/>
      <c r="H588" s="32"/>
      <c r="I588" s="1"/>
      <c r="J588" s="1"/>
      <c r="K588" s="1"/>
      <c r="L588" s="1"/>
      <c r="M588" s="1"/>
      <c r="N588" s="1"/>
      <c r="O588" s="1"/>
      <c r="P588" s="1"/>
      <c r="Q588" s="1"/>
      <c r="R588" s="1"/>
      <c r="S588" s="1"/>
      <c r="T588" s="1"/>
      <c r="U588" s="1"/>
      <c r="V588" s="1"/>
      <c r="W588" s="1"/>
      <c r="X588" s="1"/>
      <c r="Y588" s="1"/>
      <c r="Z588" s="1"/>
    </row>
    <row r="589">
      <c r="A589" s="1"/>
      <c r="B589" s="32"/>
      <c r="C589" s="1"/>
      <c r="D589" s="1"/>
      <c r="E589" s="1"/>
      <c r="F589" s="1"/>
      <c r="G589" s="1"/>
      <c r="H589" s="32"/>
      <c r="I589" s="1"/>
      <c r="J589" s="1"/>
      <c r="K589" s="1"/>
      <c r="L589" s="1"/>
      <c r="M589" s="1"/>
      <c r="N589" s="1"/>
      <c r="O589" s="1"/>
      <c r="P589" s="1"/>
      <c r="Q589" s="1"/>
      <c r="R589" s="1"/>
      <c r="S589" s="1"/>
      <c r="T589" s="1"/>
      <c r="U589" s="1"/>
      <c r="V589" s="1"/>
      <c r="W589" s="1"/>
      <c r="X589" s="1"/>
      <c r="Y589" s="1"/>
      <c r="Z589" s="1"/>
    </row>
    <row r="590">
      <c r="A590" s="1"/>
      <c r="B590" s="32"/>
      <c r="C590" s="1"/>
      <c r="D590" s="1"/>
      <c r="E590" s="1"/>
      <c r="F590" s="1"/>
      <c r="G590" s="1"/>
      <c r="H590" s="32"/>
      <c r="I590" s="1"/>
      <c r="J590" s="1"/>
      <c r="K590" s="1"/>
      <c r="L590" s="1"/>
      <c r="M590" s="1"/>
      <c r="N590" s="1"/>
      <c r="O590" s="1"/>
      <c r="P590" s="1"/>
      <c r="Q590" s="1"/>
      <c r="R590" s="1"/>
      <c r="S590" s="1"/>
      <c r="T590" s="1"/>
      <c r="U590" s="1"/>
      <c r="V590" s="1"/>
      <c r="W590" s="1"/>
      <c r="X590" s="1"/>
      <c r="Y590" s="1"/>
      <c r="Z590" s="1"/>
    </row>
    <row r="591">
      <c r="A591" s="1"/>
      <c r="B591" s="32"/>
      <c r="C591" s="1"/>
      <c r="D591" s="1"/>
      <c r="E591" s="1"/>
      <c r="F591" s="1"/>
      <c r="G591" s="1"/>
      <c r="H591" s="32"/>
      <c r="I591" s="1"/>
      <c r="J591" s="1"/>
      <c r="K591" s="1"/>
      <c r="L591" s="1"/>
      <c r="M591" s="1"/>
      <c r="N591" s="1"/>
      <c r="O591" s="1"/>
      <c r="P591" s="1"/>
      <c r="Q591" s="1"/>
      <c r="R591" s="1"/>
      <c r="S591" s="1"/>
      <c r="T591" s="1"/>
      <c r="U591" s="1"/>
      <c r="V591" s="1"/>
      <c r="W591" s="1"/>
      <c r="X591" s="1"/>
      <c r="Y591" s="1"/>
      <c r="Z591" s="1"/>
    </row>
    <row r="592">
      <c r="A592" s="1"/>
      <c r="B592" s="32"/>
      <c r="C592" s="1"/>
      <c r="D592" s="1"/>
      <c r="E592" s="1"/>
      <c r="F592" s="1"/>
      <c r="G592" s="1"/>
      <c r="H592" s="32"/>
      <c r="I592" s="1"/>
      <c r="J592" s="1"/>
      <c r="K592" s="1"/>
      <c r="L592" s="1"/>
      <c r="M592" s="1"/>
      <c r="N592" s="1"/>
      <c r="O592" s="1"/>
      <c r="P592" s="1"/>
      <c r="Q592" s="1"/>
      <c r="R592" s="1"/>
      <c r="S592" s="1"/>
      <c r="T592" s="1"/>
      <c r="U592" s="1"/>
      <c r="V592" s="1"/>
      <c r="W592" s="1"/>
      <c r="X592" s="1"/>
      <c r="Y592" s="1"/>
      <c r="Z592" s="1"/>
    </row>
    <row r="593">
      <c r="A593" s="1"/>
      <c r="B593" s="32"/>
      <c r="C593" s="1"/>
      <c r="D593" s="1"/>
      <c r="E593" s="1"/>
      <c r="F593" s="1"/>
      <c r="G593" s="1"/>
      <c r="H593" s="32"/>
      <c r="I593" s="1"/>
      <c r="J593" s="1"/>
      <c r="K593" s="1"/>
      <c r="L593" s="1"/>
      <c r="M593" s="1"/>
      <c r="N593" s="1"/>
      <c r="O593" s="1"/>
      <c r="P593" s="1"/>
      <c r="Q593" s="1"/>
      <c r="R593" s="1"/>
      <c r="S593" s="1"/>
      <c r="T593" s="1"/>
      <c r="U593" s="1"/>
      <c r="V593" s="1"/>
      <c r="W593" s="1"/>
      <c r="X593" s="1"/>
      <c r="Y593" s="1"/>
      <c r="Z593" s="1"/>
    </row>
    <row r="594">
      <c r="A594" s="1"/>
      <c r="B594" s="32"/>
      <c r="C594" s="1"/>
      <c r="D594" s="1"/>
      <c r="E594" s="1"/>
      <c r="F594" s="1"/>
      <c r="G594" s="1"/>
      <c r="H594" s="32"/>
      <c r="I594" s="1"/>
      <c r="J594" s="1"/>
      <c r="K594" s="1"/>
      <c r="L594" s="1"/>
      <c r="M594" s="1"/>
      <c r="N594" s="1"/>
      <c r="O594" s="1"/>
      <c r="P594" s="1"/>
      <c r="Q594" s="1"/>
      <c r="R594" s="1"/>
      <c r="S594" s="1"/>
      <c r="T594" s="1"/>
      <c r="U594" s="1"/>
      <c r="V594" s="1"/>
      <c r="W594" s="1"/>
      <c r="X594" s="1"/>
      <c r="Y594" s="1"/>
      <c r="Z594" s="1"/>
    </row>
    <row r="595">
      <c r="A595" s="1"/>
      <c r="B595" s="32"/>
      <c r="C595" s="1"/>
      <c r="D595" s="1"/>
      <c r="E595" s="1"/>
      <c r="F595" s="1"/>
      <c r="G595" s="1"/>
      <c r="H595" s="32"/>
      <c r="I595" s="1"/>
      <c r="J595" s="1"/>
      <c r="K595" s="1"/>
      <c r="L595" s="1"/>
      <c r="M595" s="1"/>
      <c r="N595" s="1"/>
      <c r="O595" s="1"/>
      <c r="P595" s="1"/>
      <c r="Q595" s="1"/>
      <c r="R595" s="1"/>
      <c r="S595" s="1"/>
      <c r="T595" s="1"/>
      <c r="U595" s="1"/>
      <c r="V595" s="1"/>
      <c r="W595" s="1"/>
      <c r="X595" s="1"/>
      <c r="Y595" s="1"/>
      <c r="Z595" s="1"/>
    </row>
    <row r="596">
      <c r="A596" s="1"/>
      <c r="B596" s="32"/>
      <c r="C596" s="1"/>
      <c r="D596" s="1"/>
      <c r="E596" s="1"/>
      <c r="F596" s="1"/>
      <c r="G596" s="1"/>
      <c r="H596" s="32"/>
      <c r="I596" s="1"/>
      <c r="J596" s="1"/>
      <c r="K596" s="1"/>
      <c r="L596" s="1"/>
      <c r="M596" s="1"/>
      <c r="N596" s="1"/>
      <c r="O596" s="1"/>
      <c r="P596" s="1"/>
      <c r="Q596" s="1"/>
      <c r="R596" s="1"/>
      <c r="S596" s="1"/>
      <c r="T596" s="1"/>
      <c r="U596" s="1"/>
      <c r="V596" s="1"/>
      <c r="W596" s="1"/>
      <c r="X596" s="1"/>
      <c r="Y596" s="1"/>
      <c r="Z596" s="1"/>
    </row>
    <row r="597">
      <c r="A597" s="1"/>
      <c r="B597" s="32"/>
      <c r="C597" s="1"/>
      <c r="D597" s="1"/>
      <c r="E597" s="1"/>
      <c r="F597" s="1"/>
      <c r="G597" s="1"/>
      <c r="H597" s="32"/>
      <c r="I597" s="1"/>
      <c r="J597" s="1"/>
      <c r="K597" s="1"/>
      <c r="L597" s="1"/>
      <c r="M597" s="1"/>
      <c r="N597" s="1"/>
      <c r="O597" s="1"/>
      <c r="P597" s="1"/>
      <c r="Q597" s="1"/>
      <c r="R597" s="1"/>
      <c r="S597" s="1"/>
      <c r="T597" s="1"/>
      <c r="U597" s="1"/>
      <c r="V597" s="1"/>
      <c r="W597" s="1"/>
      <c r="X597" s="1"/>
      <c r="Y597" s="1"/>
      <c r="Z597" s="1"/>
    </row>
    <row r="598">
      <c r="A598" s="1"/>
      <c r="B598" s="32"/>
      <c r="C598" s="1"/>
      <c r="D598" s="1"/>
      <c r="E598" s="1"/>
      <c r="F598" s="1"/>
      <c r="G598" s="1"/>
      <c r="H598" s="32"/>
      <c r="I598" s="1"/>
      <c r="J598" s="1"/>
      <c r="K598" s="1"/>
      <c r="L598" s="1"/>
      <c r="M598" s="1"/>
      <c r="N598" s="1"/>
      <c r="O598" s="1"/>
      <c r="P598" s="1"/>
      <c r="Q598" s="1"/>
      <c r="R598" s="1"/>
      <c r="S598" s="1"/>
      <c r="T598" s="1"/>
      <c r="U598" s="1"/>
      <c r="V598" s="1"/>
      <c r="W598" s="1"/>
      <c r="X598" s="1"/>
      <c r="Y598" s="1"/>
      <c r="Z598" s="1"/>
    </row>
    <row r="599">
      <c r="A599" s="1"/>
      <c r="B599" s="32"/>
      <c r="C599" s="1"/>
      <c r="D599" s="1"/>
      <c r="E599" s="1"/>
      <c r="F599" s="1"/>
      <c r="G599" s="1"/>
      <c r="H599" s="32"/>
      <c r="I599" s="1"/>
      <c r="J599" s="1"/>
      <c r="K599" s="1"/>
      <c r="L599" s="1"/>
      <c r="M599" s="1"/>
      <c r="N599" s="1"/>
      <c r="O599" s="1"/>
      <c r="P599" s="1"/>
      <c r="Q599" s="1"/>
      <c r="R599" s="1"/>
      <c r="S599" s="1"/>
      <c r="T599" s="1"/>
      <c r="U599" s="1"/>
      <c r="V599" s="1"/>
      <c r="W599" s="1"/>
      <c r="X599" s="1"/>
      <c r="Y599" s="1"/>
      <c r="Z599" s="1"/>
    </row>
    <row r="600">
      <c r="A600" s="1"/>
      <c r="B600" s="32"/>
      <c r="C600" s="1"/>
      <c r="D600" s="1"/>
      <c r="E600" s="1"/>
      <c r="F600" s="1"/>
      <c r="G600" s="1"/>
      <c r="H600" s="32"/>
      <c r="I600" s="1"/>
      <c r="J600" s="1"/>
      <c r="K600" s="1"/>
      <c r="L600" s="1"/>
      <c r="M600" s="1"/>
      <c r="N600" s="1"/>
      <c r="O600" s="1"/>
      <c r="P600" s="1"/>
      <c r="Q600" s="1"/>
      <c r="R600" s="1"/>
      <c r="S600" s="1"/>
      <c r="T600" s="1"/>
      <c r="U600" s="1"/>
      <c r="V600" s="1"/>
      <c r="W600" s="1"/>
      <c r="X600" s="1"/>
      <c r="Y600" s="1"/>
      <c r="Z600" s="1"/>
    </row>
    <row r="601">
      <c r="A601" s="1"/>
      <c r="B601" s="32"/>
      <c r="C601" s="1"/>
      <c r="D601" s="1"/>
      <c r="E601" s="1"/>
      <c r="F601" s="1"/>
      <c r="G601" s="1"/>
      <c r="H601" s="32"/>
      <c r="I601" s="1"/>
      <c r="J601" s="1"/>
      <c r="K601" s="1"/>
      <c r="L601" s="1"/>
      <c r="M601" s="1"/>
      <c r="N601" s="1"/>
      <c r="O601" s="1"/>
      <c r="P601" s="1"/>
      <c r="Q601" s="1"/>
      <c r="R601" s="1"/>
      <c r="S601" s="1"/>
      <c r="T601" s="1"/>
      <c r="U601" s="1"/>
      <c r="V601" s="1"/>
      <c r="W601" s="1"/>
      <c r="X601" s="1"/>
      <c r="Y601" s="1"/>
      <c r="Z601" s="1"/>
    </row>
    <row r="602">
      <c r="A602" s="1"/>
      <c r="B602" s="32"/>
      <c r="C602" s="1"/>
      <c r="D602" s="1"/>
      <c r="E602" s="1"/>
      <c r="F602" s="1"/>
      <c r="G602" s="1"/>
      <c r="H602" s="32"/>
      <c r="I602" s="1"/>
      <c r="J602" s="1"/>
      <c r="K602" s="1"/>
      <c r="L602" s="1"/>
      <c r="M602" s="1"/>
      <c r="N602" s="1"/>
      <c r="O602" s="1"/>
      <c r="P602" s="1"/>
      <c r="Q602" s="1"/>
      <c r="R602" s="1"/>
      <c r="S602" s="1"/>
      <c r="T602" s="1"/>
      <c r="U602" s="1"/>
      <c r="V602" s="1"/>
      <c r="W602" s="1"/>
      <c r="X602" s="1"/>
      <c r="Y602" s="1"/>
      <c r="Z602" s="1"/>
    </row>
    <row r="603">
      <c r="A603" s="1"/>
      <c r="B603" s="32"/>
      <c r="C603" s="1"/>
      <c r="D603" s="1"/>
      <c r="E603" s="1"/>
      <c r="F603" s="1"/>
      <c r="G603" s="1"/>
      <c r="H603" s="32"/>
      <c r="I603" s="1"/>
      <c r="J603" s="1"/>
      <c r="K603" s="1"/>
      <c r="L603" s="1"/>
      <c r="M603" s="1"/>
      <c r="N603" s="1"/>
      <c r="O603" s="1"/>
      <c r="P603" s="1"/>
      <c r="Q603" s="1"/>
      <c r="R603" s="1"/>
      <c r="S603" s="1"/>
      <c r="T603" s="1"/>
      <c r="U603" s="1"/>
      <c r="V603" s="1"/>
      <c r="W603" s="1"/>
      <c r="X603" s="1"/>
      <c r="Y603" s="1"/>
      <c r="Z603" s="1"/>
    </row>
    <row r="604">
      <c r="A604" s="1"/>
      <c r="B604" s="32"/>
      <c r="C604" s="1"/>
      <c r="D604" s="1"/>
      <c r="E604" s="1"/>
      <c r="F604" s="1"/>
      <c r="G604" s="1"/>
      <c r="H604" s="32"/>
      <c r="I604" s="1"/>
      <c r="J604" s="1"/>
      <c r="K604" s="1"/>
      <c r="L604" s="1"/>
      <c r="M604" s="1"/>
      <c r="N604" s="1"/>
      <c r="O604" s="1"/>
      <c r="P604" s="1"/>
      <c r="Q604" s="1"/>
      <c r="R604" s="1"/>
      <c r="S604" s="1"/>
      <c r="T604" s="1"/>
      <c r="U604" s="1"/>
      <c r="V604" s="1"/>
      <c r="W604" s="1"/>
      <c r="X604" s="1"/>
      <c r="Y604" s="1"/>
      <c r="Z604" s="1"/>
    </row>
    <row r="605">
      <c r="A605" s="1"/>
      <c r="B605" s="32"/>
      <c r="C605" s="1"/>
      <c r="D605" s="1"/>
      <c r="E605" s="1"/>
      <c r="F605" s="1"/>
      <c r="G605" s="1"/>
      <c r="H605" s="32"/>
      <c r="I605" s="1"/>
      <c r="J605" s="1"/>
      <c r="K605" s="1"/>
      <c r="L605" s="1"/>
      <c r="M605" s="1"/>
      <c r="N605" s="1"/>
      <c r="O605" s="1"/>
      <c r="P605" s="1"/>
      <c r="Q605" s="1"/>
      <c r="R605" s="1"/>
      <c r="S605" s="1"/>
      <c r="T605" s="1"/>
      <c r="U605" s="1"/>
      <c r="V605" s="1"/>
      <c r="W605" s="1"/>
      <c r="X605" s="1"/>
      <c r="Y605" s="1"/>
      <c r="Z605" s="1"/>
    </row>
    <row r="606">
      <c r="A606" s="1"/>
      <c r="B606" s="32"/>
      <c r="C606" s="1"/>
      <c r="D606" s="1"/>
      <c r="E606" s="1"/>
      <c r="F606" s="1"/>
      <c r="G606" s="1"/>
      <c r="H606" s="32"/>
      <c r="I606" s="1"/>
      <c r="J606" s="1"/>
      <c r="K606" s="1"/>
      <c r="L606" s="1"/>
      <c r="M606" s="1"/>
      <c r="N606" s="1"/>
      <c r="O606" s="1"/>
      <c r="P606" s="1"/>
      <c r="Q606" s="1"/>
      <c r="R606" s="1"/>
      <c r="S606" s="1"/>
      <c r="T606" s="1"/>
      <c r="U606" s="1"/>
      <c r="V606" s="1"/>
      <c r="W606" s="1"/>
      <c r="X606" s="1"/>
      <c r="Y606" s="1"/>
      <c r="Z606" s="1"/>
    </row>
    <row r="607">
      <c r="A607" s="1"/>
      <c r="B607" s="32"/>
      <c r="C607" s="1"/>
      <c r="D607" s="1"/>
      <c r="E607" s="1"/>
      <c r="F607" s="1"/>
      <c r="G607" s="1"/>
      <c r="H607" s="32"/>
      <c r="I607" s="1"/>
      <c r="J607" s="1"/>
      <c r="K607" s="1"/>
      <c r="L607" s="1"/>
      <c r="M607" s="1"/>
      <c r="N607" s="1"/>
      <c r="O607" s="1"/>
      <c r="P607" s="1"/>
      <c r="Q607" s="1"/>
      <c r="R607" s="1"/>
      <c r="S607" s="1"/>
      <c r="T607" s="1"/>
      <c r="U607" s="1"/>
      <c r="V607" s="1"/>
      <c r="W607" s="1"/>
      <c r="X607" s="1"/>
      <c r="Y607" s="1"/>
      <c r="Z607" s="1"/>
    </row>
    <row r="608">
      <c r="A608" s="1"/>
      <c r="B608" s="32"/>
      <c r="C608" s="1"/>
      <c r="D608" s="1"/>
      <c r="E608" s="1"/>
      <c r="F608" s="1"/>
      <c r="G608" s="1"/>
      <c r="H608" s="32"/>
      <c r="I608" s="1"/>
      <c r="J608" s="1"/>
      <c r="K608" s="1"/>
      <c r="L608" s="1"/>
      <c r="M608" s="1"/>
      <c r="N608" s="1"/>
      <c r="O608" s="1"/>
      <c r="P608" s="1"/>
      <c r="Q608" s="1"/>
      <c r="R608" s="1"/>
      <c r="S608" s="1"/>
      <c r="T608" s="1"/>
      <c r="U608" s="1"/>
      <c r="V608" s="1"/>
      <c r="W608" s="1"/>
      <c r="X608" s="1"/>
      <c r="Y608" s="1"/>
      <c r="Z608" s="1"/>
    </row>
    <row r="609">
      <c r="A609" s="1"/>
      <c r="B609" s="32"/>
      <c r="C609" s="1"/>
      <c r="D609" s="1"/>
      <c r="E609" s="1"/>
      <c r="F609" s="1"/>
      <c r="G609" s="1"/>
      <c r="H609" s="32"/>
      <c r="I609" s="1"/>
      <c r="J609" s="1"/>
      <c r="K609" s="1"/>
      <c r="L609" s="1"/>
      <c r="M609" s="1"/>
      <c r="N609" s="1"/>
      <c r="O609" s="1"/>
      <c r="P609" s="1"/>
      <c r="Q609" s="1"/>
      <c r="R609" s="1"/>
      <c r="S609" s="1"/>
      <c r="T609" s="1"/>
      <c r="U609" s="1"/>
      <c r="V609" s="1"/>
      <c r="W609" s="1"/>
      <c r="X609" s="1"/>
      <c r="Y609" s="1"/>
      <c r="Z609" s="1"/>
    </row>
    <row r="610">
      <c r="A610" s="1"/>
      <c r="B610" s="32"/>
      <c r="C610" s="1"/>
      <c r="D610" s="1"/>
      <c r="E610" s="1"/>
      <c r="F610" s="1"/>
      <c r="G610" s="1"/>
      <c r="H610" s="32"/>
      <c r="I610" s="1"/>
      <c r="J610" s="1"/>
      <c r="K610" s="1"/>
      <c r="L610" s="1"/>
      <c r="M610" s="1"/>
      <c r="N610" s="1"/>
      <c r="O610" s="1"/>
      <c r="P610" s="1"/>
      <c r="Q610" s="1"/>
      <c r="R610" s="1"/>
      <c r="S610" s="1"/>
      <c r="T610" s="1"/>
      <c r="U610" s="1"/>
      <c r="V610" s="1"/>
      <c r="W610" s="1"/>
      <c r="X610" s="1"/>
      <c r="Y610" s="1"/>
      <c r="Z610" s="1"/>
    </row>
    <row r="611">
      <c r="A611" s="1"/>
      <c r="B611" s="32"/>
      <c r="C611" s="1"/>
      <c r="D611" s="1"/>
      <c r="E611" s="1"/>
      <c r="F611" s="1"/>
      <c r="G611" s="1"/>
      <c r="H611" s="32"/>
      <c r="I611" s="1"/>
      <c r="J611" s="1"/>
      <c r="K611" s="1"/>
      <c r="L611" s="1"/>
      <c r="M611" s="1"/>
      <c r="N611" s="1"/>
      <c r="O611" s="1"/>
      <c r="P611" s="1"/>
      <c r="Q611" s="1"/>
      <c r="R611" s="1"/>
      <c r="S611" s="1"/>
      <c r="T611" s="1"/>
      <c r="U611" s="1"/>
      <c r="V611" s="1"/>
      <c r="W611" s="1"/>
      <c r="X611" s="1"/>
      <c r="Y611" s="1"/>
      <c r="Z611" s="1"/>
    </row>
    <row r="612">
      <c r="A612" s="1"/>
      <c r="B612" s="32"/>
      <c r="C612" s="1"/>
      <c r="D612" s="1"/>
      <c r="E612" s="1"/>
      <c r="F612" s="1"/>
      <c r="G612" s="1"/>
      <c r="H612" s="32"/>
      <c r="I612" s="1"/>
      <c r="J612" s="1"/>
      <c r="K612" s="1"/>
      <c r="L612" s="1"/>
      <c r="M612" s="1"/>
      <c r="N612" s="1"/>
      <c r="O612" s="1"/>
      <c r="P612" s="1"/>
      <c r="Q612" s="1"/>
      <c r="R612" s="1"/>
      <c r="S612" s="1"/>
      <c r="T612" s="1"/>
      <c r="U612" s="1"/>
      <c r="V612" s="1"/>
      <c r="W612" s="1"/>
      <c r="X612" s="1"/>
      <c r="Y612" s="1"/>
      <c r="Z612" s="1"/>
    </row>
    <row r="613">
      <c r="A613" s="1"/>
      <c r="B613" s="32"/>
      <c r="C613" s="1"/>
      <c r="D613" s="1"/>
      <c r="E613" s="1"/>
      <c r="F613" s="1"/>
      <c r="G613" s="1"/>
      <c r="H613" s="32"/>
      <c r="I613" s="1"/>
      <c r="J613" s="1"/>
      <c r="K613" s="1"/>
      <c r="L613" s="1"/>
      <c r="M613" s="1"/>
      <c r="N613" s="1"/>
      <c r="O613" s="1"/>
      <c r="P613" s="1"/>
      <c r="Q613" s="1"/>
      <c r="R613" s="1"/>
      <c r="S613" s="1"/>
      <c r="T613" s="1"/>
      <c r="U613" s="1"/>
      <c r="V613" s="1"/>
      <c r="W613" s="1"/>
      <c r="X613" s="1"/>
      <c r="Y613" s="1"/>
      <c r="Z613" s="1"/>
    </row>
    <row r="614">
      <c r="A614" s="1"/>
      <c r="B614" s="32"/>
      <c r="C614" s="1"/>
      <c r="D614" s="1"/>
      <c r="E614" s="1"/>
      <c r="F614" s="1"/>
      <c r="G614" s="1"/>
      <c r="H614" s="32"/>
      <c r="I614" s="1"/>
      <c r="J614" s="1"/>
      <c r="K614" s="1"/>
      <c r="L614" s="1"/>
      <c r="M614" s="1"/>
      <c r="N614" s="1"/>
      <c r="O614" s="1"/>
      <c r="P614" s="1"/>
      <c r="Q614" s="1"/>
      <c r="R614" s="1"/>
      <c r="S614" s="1"/>
      <c r="T614" s="1"/>
      <c r="U614" s="1"/>
      <c r="V614" s="1"/>
      <c r="W614" s="1"/>
      <c r="X614" s="1"/>
      <c r="Y614" s="1"/>
      <c r="Z614" s="1"/>
    </row>
    <row r="615">
      <c r="A615" s="1"/>
      <c r="B615" s="32"/>
      <c r="C615" s="1"/>
      <c r="D615" s="1"/>
      <c r="E615" s="1"/>
      <c r="F615" s="1"/>
      <c r="G615" s="1"/>
      <c r="H615" s="32"/>
      <c r="I615" s="1"/>
      <c r="J615" s="1"/>
      <c r="K615" s="1"/>
      <c r="L615" s="1"/>
      <c r="M615" s="1"/>
      <c r="N615" s="1"/>
      <c r="O615" s="1"/>
      <c r="P615" s="1"/>
      <c r="Q615" s="1"/>
      <c r="R615" s="1"/>
      <c r="S615" s="1"/>
      <c r="T615" s="1"/>
      <c r="U615" s="1"/>
      <c r="V615" s="1"/>
      <c r="W615" s="1"/>
      <c r="X615" s="1"/>
      <c r="Y615" s="1"/>
      <c r="Z615" s="1"/>
    </row>
    <row r="616">
      <c r="A616" s="1"/>
      <c r="B616" s="32"/>
      <c r="C616" s="1"/>
      <c r="D616" s="1"/>
      <c r="E616" s="1"/>
      <c r="F616" s="1"/>
      <c r="G616" s="1"/>
      <c r="H616" s="32"/>
      <c r="I616" s="1"/>
      <c r="J616" s="1"/>
      <c r="K616" s="1"/>
      <c r="L616" s="1"/>
      <c r="M616" s="1"/>
      <c r="N616" s="1"/>
      <c r="O616" s="1"/>
      <c r="P616" s="1"/>
      <c r="Q616" s="1"/>
      <c r="R616" s="1"/>
      <c r="S616" s="1"/>
      <c r="T616" s="1"/>
      <c r="U616" s="1"/>
      <c r="V616" s="1"/>
      <c r="W616" s="1"/>
      <c r="X616" s="1"/>
      <c r="Y616" s="1"/>
      <c r="Z616" s="1"/>
    </row>
    <row r="617">
      <c r="A617" s="1"/>
      <c r="B617" s="32"/>
      <c r="C617" s="1"/>
      <c r="D617" s="1"/>
      <c r="E617" s="1"/>
      <c r="F617" s="1"/>
      <c r="G617" s="1"/>
      <c r="H617" s="32"/>
      <c r="I617" s="1"/>
      <c r="J617" s="1"/>
      <c r="K617" s="1"/>
      <c r="L617" s="1"/>
      <c r="M617" s="1"/>
      <c r="N617" s="1"/>
      <c r="O617" s="1"/>
      <c r="P617" s="1"/>
      <c r="Q617" s="1"/>
      <c r="R617" s="1"/>
      <c r="S617" s="1"/>
      <c r="T617" s="1"/>
      <c r="U617" s="1"/>
      <c r="V617" s="1"/>
      <c r="W617" s="1"/>
      <c r="X617" s="1"/>
      <c r="Y617" s="1"/>
      <c r="Z617" s="1"/>
    </row>
    <row r="618">
      <c r="A618" s="1"/>
      <c r="B618" s="32"/>
      <c r="C618" s="1"/>
      <c r="D618" s="1"/>
      <c r="E618" s="1"/>
      <c r="F618" s="1"/>
      <c r="G618" s="1"/>
      <c r="H618" s="32"/>
      <c r="I618" s="1"/>
      <c r="J618" s="1"/>
      <c r="K618" s="1"/>
      <c r="L618" s="1"/>
      <c r="M618" s="1"/>
      <c r="N618" s="1"/>
      <c r="O618" s="1"/>
      <c r="P618" s="1"/>
      <c r="Q618" s="1"/>
      <c r="R618" s="1"/>
      <c r="S618" s="1"/>
      <c r="T618" s="1"/>
      <c r="U618" s="1"/>
      <c r="V618" s="1"/>
      <c r="W618" s="1"/>
      <c r="X618" s="1"/>
      <c r="Y618" s="1"/>
      <c r="Z618" s="1"/>
    </row>
    <row r="619">
      <c r="A619" s="1"/>
      <c r="B619" s="32"/>
      <c r="C619" s="1"/>
      <c r="D619" s="1"/>
      <c r="E619" s="1"/>
      <c r="F619" s="1"/>
      <c r="G619" s="1"/>
      <c r="H619" s="32"/>
      <c r="I619" s="1"/>
      <c r="J619" s="1"/>
      <c r="K619" s="1"/>
      <c r="L619" s="1"/>
      <c r="M619" s="1"/>
      <c r="N619" s="1"/>
      <c r="O619" s="1"/>
      <c r="P619" s="1"/>
      <c r="Q619" s="1"/>
      <c r="R619" s="1"/>
      <c r="S619" s="1"/>
      <c r="T619" s="1"/>
      <c r="U619" s="1"/>
      <c r="V619" s="1"/>
      <c r="W619" s="1"/>
      <c r="X619" s="1"/>
      <c r="Y619" s="1"/>
      <c r="Z619" s="1"/>
    </row>
    <row r="620">
      <c r="A620" s="1"/>
      <c r="B620" s="32"/>
      <c r="C620" s="1"/>
      <c r="D620" s="1"/>
      <c r="E620" s="1"/>
      <c r="F620" s="1"/>
      <c r="G620" s="1"/>
      <c r="H620" s="32"/>
      <c r="I620" s="1"/>
      <c r="J620" s="1"/>
      <c r="K620" s="1"/>
      <c r="L620" s="1"/>
      <c r="M620" s="1"/>
      <c r="N620" s="1"/>
      <c r="O620" s="1"/>
      <c r="P620" s="1"/>
      <c r="Q620" s="1"/>
      <c r="R620" s="1"/>
      <c r="S620" s="1"/>
      <c r="T620" s="1"/>
      <c r="U620" s="1"/>
      <c r="V620" s="1"/>
      <c r="W620" s="1"/>
      <c r="X620" s="1"/>
      <c r="Y620" s="1"/>
      <c r="Z620" s="1"/>
    </row>
    <row r="621">
      <c r="A621" s="1"/>
      <c r="B621" s="32"/>
      <c r="C621" s="1"/>
      <c r="D621" s="1"/>
      <c r="E621" s="1"/>
      <c r="F621" s="1"/>
      <c r="G621" s="1"/>
      <c r="H621" s="32"/>
      <c r="I621" s="1"/>
      <c r="J621" s="1"/>
      <c r="K621" s="1"/>
      <c r="L621" s="1"/>
      <c r="M621" s="1"/>
      <c r="N621" s="1"/>
      <c r="O621" s="1"/>
      <c r="P621" s="1"/>
      <c r="Q621" s="1"/>
      <c r="R621" s="1"/>
      <c r="S621" s="1"/>
      <c r="T621" s="1"/>
      <c r="U621" s="1"/>
      <c r="V621" s="1"/>
      <c r="W621" s="1"/>
      <c r="X621" s="1"/>
      <c r="Y621" s="1"/>
      <c r="Z621" s="1"/>
    </row>
    <row r="622">
      <c r="A622" s="1"/>
      <c r="B622" s="32"/>
      <c r="C622" s="1"/>
      <c r="D622" s="1"/>
      <c r="E622" s="1"/>
      <c r="F622" s="1"/>
      <c r="G622" s="1"/>
      <c r="H622" s="32"/>
      <c r="I622" s="1"/>
      <c r="J622" s="1"/>
      <c r="K622" s="1"/>
      <c r="L622" s="1"/>
      <c r="M622" s="1"/>
      <c r="N622" s="1"/>
      <c r="O622" s="1"/>
      <c r="P622" s="1"/>
      <c r="Q622" s="1"/>
      <c r="R622" s="1"/>
      <c r="S622" s="1"/>
      <c r="T622" s="1"/>
      <c r="U622" s="1"/>
      <c r="V622" s="1"/>
      <c r="W622" s="1"/>
      <c r="X622" s="1"/>
      <c r="Y622" s="1"/>
      <c r="Z622" s="1"/>
    </row>
    <row r="623">
      <c r="A623" s="1"/>
      <c r="B623" s="32"/>
      <c r="C623" s="1"/>
      <c r="D623" s="1"/>
      <c r="E623" s="1"/>
      <c r="F623" s="1"/>
      <c r="G623" s="1"/>
      <c r="H623" s="32"/>
      <c r="I623" s="1"/>
      <c r="J623" s="1"/>
      <c r="K623" s="1"/>
      <c r="L623" s="1"/>
      <c r="M623" s="1"/>
      <c r="N623" s="1"/>
      <c r="O623" s="1"/>
      <c r="P623" s="1"/>
      <c r="Q623" s="1"/>
      <c r="R623" s="1"/>
      <c r="S623" s="1"/>
      <c r="T623" s="1"/>
      <c r="U623" s="1"/>
      <c r="V623" s="1"/>
      <c r="W623" s="1"/>
      <c r="X623" s="1"/>
      <c r="Y623" s="1"/>
      <c r="Z623" s="1"/>
    </row>
    <row r="624">
      <c r="A624" s="1"/>
      <c r="B624" s="32"/>
      <c r="C624" s="1"/>
      <c r="D624" s="1"/>
      <c r="E624" s="1"/>
      <c r="F624" s="1"/>
      <c r="G624" s="1"/>
      <c r="H624" s="32"/>
      <c r="I624" s="1"/>
      <c r="J624" s="1"/>
      <c r="K624" s="1"/>
      <c r="L624" s="1"/>
      <c r="M624" s="1"/>
      <c r="N624" s="1"/>
      <c r="O624" s="1"/>
      <c r="P624" s="1"/>
      <c r="Q624" s="1"/>
      <c r="R624" s="1"/>
      <c r="S624" s="1"/>
      <c r="T624" s="1"/>
      <c r="U624" s="1"/>
      <c r="V624" s="1"/>
      <c r="W624" s="1"/>
      <c r="X624" s="1"/>
      <c r="Y624" s="1"/>
      <c r="Z624" s="1"/>
    </row>
    <row r="625">
      <c r="A625" s="1"/>
      <c r="B625" s="32"/>
      <c r="C625" s="1"/>
      <c r="D625" s="1"/>
      <c r="E625" s="1"/>
      <c r="F625" s="1"/>
      <c r="G625" s="1"/>
      <c r="H625" s="32"/>
      <c r="I625" s="1"/>
      <c r="J625" s="1"/>
      <c r="K625" s="1"/>
      <c r="L625" s="1"/>
      <c r="M625" s="1"/>
      <c r="N625" s="1"/>
      <c r="O625" s="1"/>
      <c r="P625" s="1"/>
      <c r="Q625" s="1"/>
      <c r="R625" s="1"/>
      <c r="S625" s="1"/>
      <c r="T625" s="1"/>
      <c r="U625" s="1"/>
      <c r="V625" s="1"/>
      <c r="W625" s="1"/>
      <c r="X625" s="1"/>
      <c r="Y625" s="1"/>
      <c r="Z625" s="1"/>
    </row>
    <row r="626">
      <c r="A626" s="1"/>
      <c r="B626" s="32"/>
      <c r="C626" s="1"/>
      <c r="D626" s="1"/>
      <c r="E626" s="1"/>
      <c r="F626" s="1"/>
      <c r="G626" s="1"/>
      <c r="H626" s="32"/>
      <c r="I626" s="1"/>
      <c r="J626" s="1"/>
      <c r="K626" s="1"/>
      <c r="L626" s="1"/>
      <c r="M626" s="1"/>
      <c r="N626" s="1"/>
      <c r="O626" s="1"/>
      <c r="P626" s="1"/>
      <c r="Q626" s="1"/>
      <c r="R626" s="1"/>
      <c r="S626" s="1"/>
      <c r="T626" s="1"/>
      <c r="U626" s="1"/>
      <c r="V626" s="1"/>
      <c r="W626" s="1"/>
      <c r="X626" s="1"/>
      <c r="Y626" s="1"/>
      <c r="Z626" s="1"/>
    </row>
    <row r="627">
      <c r="A627" s="1"/>
      <c r="B627" s="32"/>
      <c r="C627" s="1"/>
      <c r="D627" s="1"/>
      <c r="E627" s="1"/>
      <c r="F627" s="1"/>
      <c r="G627" s="1"/>
      <c r="H627" s="32"/>
      <c r="I627" s="1"/>
      <c r="J627" s="1"/>
      <c r="K627" s="1"/>
      <c r="L627" s="1"/>
      <c r="M627" s="1"/>
      <c r="N627" s="1"/>
      <c r="O627" s="1"/>
      <c r="P627" s="1"/>
      <c r="Q627" s="1"/>
      <c r="R627" s="1"/>
      <c r="S627" s="1"/>
      <c r="T627" s="1"/>
      <c r="U627" s="1"/>
      <c r="V627" s="1"/>
      <c r="W627" s="1"/>
      <c r="X627" s="1"/>
      <c r="Y627" s="1"/>
      <c r="Z627" s="1"/>
    </row>
    <row r="628">
      <c r="A628" s="1"/>
      <c r="B628" s="32"/>
      <c r="C628" s="1"/>
      <c r="D628" s="1"/>
      <c r="E628" s="1"/>
      <c r="F628" s="1"/>
      <c r="G628" s="1"/>
      <c r="H628" s="32"/>
      <c r="I628" s="1"/>
      <c r="J628" s="1"/>
      <c r="K628" s="1"/>
      <c r="L628" s="1"/>
      <c r="M628" s="1"/>
      <c r="N628" s="1"/>
      <c r="O628" s="1"/>
      <c r="P628" s="1"/>
      <c r="Q628" s="1"/>
      <c r="R628" s="1"/>
      <c r="S628" s="1"/>
      <c r="T628" s="1"/>
      <c r="U628" s="1"/>
      <c r="V628" s="1"/>
      <c r="W628" s="1"/>
      <c r="X628" s="1"/>
      <c r="Y628" s="1"/>
      <c r="Z628" s="1"/>
    </row>
    <row r="629">
      <c r="A629" s="1"/>
      <c r="B629" s="32"/>
      <c r="C629" s="1"/>
      <c r="D629" s="1"/>
      <c r="E629" s="1"/>
      <c r="F629" s="1"/>
      <c r="G629" s="1"/>
      <c r="H629" s="32"/>
      <c r="I629" s="1"/>
      <c r="J629" s="1"/>
      <c r="K629" s="1"/>
      <c r="L629" s="1"/>
      <c r="M629" s="1"/>
      <c r="N629" s="1"/>
      <c r="O629" s="1"/>
      <c r="P629" s="1"/>
      <c r="Q629" s="1"/>
      <c r="R629" s="1"/>
      <c r="S629" s="1"/>
      <c r="T629" s="1"/>
      <c r="U629" s="1"/>
      <c r="V629" s="1"/>
      <c r="W629" s="1"/>
      <c r="X629" s="1"/>
      <c r="Y629" s="1"/>
      <c r="Z629" s="1"/>
    </row>
    <row r="630">
      <c r="A630" s="1"/>
      <c r="B630" s="32"/>
      <c r="C630" s="1"/>
      <c r="D630" s="1"/>
      <c r="E630" s="1"/>
      <c r="F630" s="1"/>
      <c r="G630" s="1"/>
      <c r="H630" s="32"/>
      <c r="I630" s="1"/>
      <c r="J630" s="1"/>
      <c r="K630" s="1"/>
      <c r="L630" s="1"/>
      <c r="M630" s="1"/>
      <c r="N630" s="1"/>
      <c r="O630" s="1"/>
      <c r="P630" s="1"/>
      <c r="Q630" s="1"/>
      <c r="R630" s="1"/>
      <c r="S630" s="1"/>
      <c r="T630" s="1"/>
      <c r="U630" s="1"/>
      <c r="V630" s="1"/>
      <c r="W630" s="1"/>
      <c r="X630" s="1"/>
      <c r="Y630" s="1"/>
      <c r="Z630" s="1"/>
    </row>
    <row r="631">
      <c r="A631" s="1"/>
      <c r="B631" s="32"/>
      <c r="C631" s="1"/>
      <c r="D631" s="1"/>
      <c r="E631" s="1"/>
      <c r="F631" s="1"/>
      <c r="G631" s="1"/>
      <c r="H631" s="32"/>
      <c r="I631" s="1"/>
      <c r="J631" s="1"/>
      <c r="K631" s="1"/>
      <c r="L631" s="1"/>
      <c r="M631" s="1"/>
      <c r="N631" s="1"/>
      <c r="O631" s="1"/>
      <c r="P631" s="1"/>
      <c r="Q631" s="1"/>
      <c r="R631" s="1"/>
      <c r="S631" s="1"/>
      <c r="T631" s="1"/>
      <c r="U631" s="1"/>
      <c r="V631" s="1"/>
      <c r="W631" s="1"/>
      <c r="X631" s="1"/>
      <c r="Y631" s="1"/>
      <c r="Z631" s="1"/>
    </row>
    <row r="632">
      <c r="A632" s="1"/>
      <c r="B632" s="32"/>
      <c r="C632" s="1"/>
      <c r="D632" s="1"/>
      <c r="E632" s="1"/>
      <c r="F632" s="1"/>
      <c r="G632" s="1"/>
      <c r="H632" s="32"/>
      <c r="I632" s="1"/>
      <c r="J632" s="1"/>
      <c r="K632" s="1"/>
      <c r="L632" s="1"/>
      <c r="M632" s="1"/>
      <c r="N632" s="1"/>
      <c r="O632" s="1"/>
      <c r="P632" s="1"/>
      <c r="Q632" s="1"/>
      <c r="R632" s="1"/>
      <c r="S632" s="1"/>
      <c r="T632" s="1"/>
      <c r="U632" s="1"/>
      <c r="V632" s="1"/>
      <c r="W632" s="1"/>
      <c r="X632" s="1"/>
      <c r="Y632" s="1"/>
      <c r="Z632" s="1"/>
    </row>
    <row r="633">
      <c r="A633" s="1"/>
      <c r="B633" s="32"/>
      <c r="C633" s="1"/>
      <c r="D633" s="1"/>
      <c r="E633" s="1"/>
      <c r="F633" s="1"/>
      <c r="G633" s="1"/>
      <c r="H633" s="32"/>
      <c r="I633" s="1"/>
      <c r="J633" s="1"/>
      <c r="K633" s="1"/>
      <c r="L633" s="1"/>
      <c r="M633" s="1"/>
      <c r="N633" s="1"/>
      <c r="O633" s="1"/>
      <c r="P633" s="1"/>
      <c r="Q633" s="1"/>
      <c r="R633" s="1"/>
      <c r="S633" s="1"/>
      <c r="T633" s="1"/>
      <c r="U633" s="1"/>
      <c r="V633" s="1"/>
      <c r="W633" s="1"/>
      <c r="X633" s="1"/>
      <c r="Y633" s="1"/>
      <c r="Z633" s="1"/>
    </row>
    <row r="634">
      <c r="A634" s="1"/>
      <c r="B634" s="32"/>
      <c r="C634" s="1"/>
      <c r="D634" s="1"/>
      <c r="E634" s="1"/>
      <c r="F634" s="1"/>
      <c r="G634" s="1"/>
      <c r="H634" s="32"/>
      <c r="I634" s="1"/>
      <c r="J634" s="1"/>
      <c r="K634" s="1"/>
      <c r="L634" s="1"/>
      <c r="M634" s="1"/>
      <c r="N634" s="1"/>
      <c r="O634" s="1"/>
      <c r="P634" s="1"/>
      <c r="Q634" s="1"/>
      <c r="R634" s="1"/>
      <c r="S634" s="1"/>
      <c r="T634" s="1"/>
      <c r="U634" s="1"/>
      <c r="V634" s="1"/>
      <c r="W634" s="1"/>
      <c r="X634" s="1"/>
      <c r="Y634" s="1"/>
      <c r="Z634" s="1"/>
    </row>
    <row r="635">
      <c r="A635" s="1"/>
      <c r="B635" s="32"/>
      <c r="C635" s="1"/>
      <c r="D635" s="1"/>
      <c r="E635" s="1"/>
      <c r="F635" s="1"/>
      <c r="G635" s="1"/>
      <c r="H635" s="32"/>
      <c r="I635" s="1"/>
      <c r="J635" s="1"/>
      <c r="K635" s="1"/>
      <c r="L635" s="1"/>
      <c r="M635" s="1"/>
      <c r="N635" s="1"/>
      <c r="O635" s="1"/>
      <c r="P635" s="1"/>
      <c r="Q635" s="1"/>
      <c r="R635" s="1"/>
      <c r="S635" s="1"/>
      <c r="T635" s="1"/>
      <c r="U635" s="1"/>
      <c r="V635" s="1"/>
      <c r="W635" s="1"/>
      <c r="X635" s="1"/>
      <c r="Y635" s="1"/>
      <c r="Z635" s="1"/>
    </row>
    <row r="636">
      <c r="A636" s="1"/>
      <c r="B636" s="32"/>
      <c r="C636" s="1"/>
      <c r="D636" s="1"/>
      <c r="E636" s="1"/>
      <c r="F636" s="1"/>
      <c r="G636" s="1"/>
      <c r="H636" s="32"/>
      <c r="I636" s="1"/>
      <c r="J636" s="1"/>
      <c r="K636" s="1"/>
      <c r="L636" s="1"/>
      <c r="M636" s="1"/>
      <c r="N636" s="1"/>
      <c r="O636" s="1"/>
      <c r="P636" s="1"/>
      <c r="Q636" s="1"/>
      <c r="R636" s="1"/>
      <c r="S636" s="1"/>
      <c r="T636" s="1"/>
      <c r="U636" s="1"/>
      <c r="V636" s="1"/>
      <c r="W636" s="1"/>
      <c r="X636" s="1"/>
      <c r="Y636" s="1"/>
      <c r="Z636" s="1"/>
    </row>
    <row r="637">
      <c r="A637" s="1"/>
      <c r="B637" s="32"/>
      <c r="C637" s="1"/>
      <c r="D637" s="1"/>
      <c r="E637" s="1"/>
      <c r="F637" s="1"/>
      <c r="G637" s="1"/>
      <c r="H637" s="32"/>
      <c r="I637" s="1"/>
      <c r="J637" s="1"/>
      <c r="K637" s="1"/>
      <c r="L637" s="1"/>
      <c r="M637" s="1"/>
      <c r="N637" s="1"/>
      <c r="O637" s="1"/>
      <c r="P637" s="1"/>
      <c r="Q637" s="1"/>
      <c r="R637" s="1"/>
      <c r="S637" s="1"/>
      <c r="T637" s="1"/>
      <c r="U637" s="1"/>
      <c r="V637" s="1"/>
      <c r="W637" s="1"/>
      <c r="X637" s="1"/>
      <c r="Y637" s="1"/>
      <c r="Z637" s="1"/>
    </row>
    <row r="638">
      <c r="A638" s="1"/>
      <c r="B638" s="32"/>
      <c r="C638" s="1"/>
      <c r="D638" s="1"/>
      <c r="E638" s="1"/>
      <c r="F638" s="1"/>
      <c r="G638" s="1"/>
      <c r="H638" s="32"/>
      <c r="I638" s="1"/>
      <c r="J638" s="1"/>
      <c r="K638" s="1"/>
      <c r="L638" s="1"/>
      <c r="M638" s="1"/>
      <c r="N638" s="1"/>
      <c r="O638" s="1"/>
      <c r="P638" s="1"/>
      <c r="Q638" s="1"/>
      <c r="R638" s="1"/>
      <c r="S638" s="1"/>
      <c r="T638" s="1"/>
      <c r="U638" s="1"/>
      <c r="V638" s="1"/>
      <c r="W638" s="1"/>
      <c r="X638" s="1"/>
      <c r="Y638" s="1"/>
      <c r="Z638" s="1"/>
    </row>
    <row r="639">
      <c r="A639" s="1"/>
      <c r="B639" s="32"/>
      <c r="C639" s="1"/>
      <c r="D639" s="1"/>
      <c r="E639" s="1"/>
      <c r="F639" s="1"/>
      <c r="G639" s="1"/>
      <c r="H639" s="32"/>
      <c r="I639" s="1"/>
      <c r="J639" s="1"/>
      <c r="K639" s="1"/>
      <c r="L639" s="1"/>
      <c r="M639" s="1"/>
      <c r="N639" s="1"/>
      <c r="O639" s="1"/>
      <c r="P639" s="1"/>
      <c r="Q639" s="1"/>
      <c r="R639" s="1"/>
      <c r="S639" s="1"/>
      <c r="T639" s="1"/>
      <c r="U639" s="1"/>
      <c r="V639" s="1"/>
      <c r="W639" s="1"/>
      <c r="X639" s="1"/>
      <c r="Y639" s="1"/>
      <c r="Z639" s="1"/>
    </row>
    <row r="640">
      <c r="A640" s="1"/>
      <c r="B640" s="32"/>
      <c r="C640" s="1"/>
      <c r="D640" s="1"/>
      <c r="E640" s="1"/>
      <c r="F640" s="1"/>
      <c r="G640" s="1"/>
      <c r="H640" s="32"/>
      <c r="I640" s="1"/>
      <c r="J640" s="1"/>
      <c r="K640" s="1"/>
      <c r="L640" s="1"/>
      <c r="M640" s="1"/>
      <c r="N640" s="1"/>
      <c r="O640" s="1"/>
      <c r="P640" s="1"/>
      <c r="Q640" s="1"/>
      <c r="R640" s="1"/>
      <c r="S640" s="1"/>
      <c r="T640" s="1"/>
      <c r="U640" s="1"/>
      <c r="V640" s="1"/>
      <c r="W640" s="1"/>
      <c r="X640" s="1"/>
      <c r="Y640" s="1"/>
      <c r="Z640" s="1"/>
    </row>
    <row r="641">
      <c r="A641" s="1"/>
      <c r="B641" s="32"/>
      <c r="C641" s="1"/>
      <c r="D641" s="1"/>
      <c r="E641" s="1"/>
      <c r="F641" s="1"/>
      <c r="G641" s="1"/>
      <c r="H641" s="32"/>
      <c r="I641" s="1"/>
      <c r="J641" s="1"/>
      <c r="K641" s="1"/>
      <c r="L641" s="1"/>
      <c r="M641" s="1"/>
      <c r="N641" s="1"/>
      <c r="O641" s="1"/>
      <c r="P641" s="1"/>
      <c r="Q641" s="1"/>
      <c r="R641" s="1"/>
      <c r="S641" s="1"/>
      <c r="T641" s="1"/>
      <c r="U641" s="1"/>
      <c r="V641" s="1"/>
      <c r="W641" s="1"/>
      <c r="X641" s="1"/>
      <c r="Y641" s="1"/>
      <c r="Z641" s="1"/>
    </row>
    <row r="642">
      <c r="A642" s="1"/>
      <c r="B642" s="32"/>
      <c r="C642" s="1"/>
      <c r="D642" s="1"/>
      <c r="E642" s="1"/>
      <c r="F642" s="1"/>
      <c r="G642" s="1"/>
      <c r="H642" s="32"/>
      <c r="I642" s="1"/>
      <c r="J642" s="1"/>
      <c r="K642" s="1"/>
      <c r="L642" s="1"/>
      <c r="M642" s="1"/>
      <c r="N642" s="1"/>
      <c r="O642" s="1"/>
      <c r="P642" s="1"/>
      <c r="Q642" s="1"/>
      <c r="R642" s="1"/>
      <c r="S642" s="1"/>
      <c r="T642" s="1"/>
      <c r="U642" s="1"/>
      <c r="V642" s="1"/>
      <c r="W642" s="1"/>
      <c r="X642" s="1"/>
      <c r="Y642" s="1"/>
      <c r="Z642" s="1"/>
    </row>
    <row r="643">
      <c r="A643" s="1"/>
      <c r="B643" s="32"/>
      <c r="C643" s="1"/>
      <c r="D643" s="1"/>
      <c r="E643" s="1"/>
      <c r="F643" s="1"/>
      <c r="G643" s="1"/>
      <c r="H643" s="32"/>
      <c r="I643" s="1"/>
      <c r="J643" s="1"/>
      <c r="K643" s="1"/>
      <c r="L643" s="1"/>
      <c r="M643" s="1"/>
      <c r="N643" s="1"/>
      <c r="O643" s="1"/>
      <c r="P643" s="1"/>
      <c r="Q643" s="1"/>
      <c r="R643" s="1"/>
      <c r="S643" s="1"/>
      <c r="T643" s="1"/>
      <c r="U643" s="1"/>
      <c r="V643" s="1"/>
      <c r="W643" s="1"/>
      <c r="X643" s="1"/>
      <c r="Y643" s="1"/>
      <c r="Z643" s="1"/>
    </row>
    <row r="644">
      <c r="A644" s="1"/>
      <c r="B644" s="32"/>
      <c r="C644" s="1"/>
      <c r="D644" s="1"/>
      <c r="E644" s="1"/>
      <c r="F644" s="1"/>
      <c r="G644" s="1"/>
      <c r="H644" s="32"/>
      <c r="I644" s="1"/>
      <c r="J644" s="1"/>
      <c r="K644" s="1"/>
      <c r="L644" s="1"/>
      <c r="M644" s="1"/>
      <c r="N644" s="1"/>
      <c r="O644" s="1"/>
      <c r="P644" s="1"/>
      <c r="Q644" s="1"/>
      <c r="R644" s="1"/>
      <c r="S644" s="1"/>
      <c r="T644" s="1"/>
      <c r="U644" s="1"/>
      <c r="V644" s="1"/>
      <c r="W644" s="1"/>
      <c r="X644" s="1"/>
      <c r="Y644" s="1"/>
      <c r="Z644" s="1"/>
    </row>
    <row r="645">
      <c r="A645" s="1"/>
      <c r="B645" s="32"/>
      <c r="C645" s="1"/>
      <c r="D645" s="1"/>
      <c r="E645" s="1"/>
      <c r="F645" s="1"/>
      <c r="G645" s="1"/>
      <c r="H645" s="32"/>
      <c r="I645" s="1"/>
      <c r="J645" s="1"/>
      <c r="K645" s="1"/>
      <c r="L645" s="1"/>
      <c r="M645" s="1"/>
      <c r="N645" s="1"/>
      <c r="O645" s="1"/>
      <c r="P645" s="1"/>
      <c r="Q645" s="1"/>
      <c r="R645" s="1"/>
      <c r="S645" s="1"/>
      <c r="T645" s="1"/>
      <c r="U645" s="1"/>
      <c r="V645" s="1"/>
      <c r="W645" s="1"/>
      <c r="X645" s="1"/>
      <c r="Y645" s="1"/>
      <c r="Z645" s="1"/>
    </row>
    <row r="646">
      <c r="A646" s="1"/>
      <c r="B646" s="32"/>
      <c r="C646" s="1"/>
      <c r="D646" s="1"/>
      <c r="E646" s="1"/>
      <c r="F646" s="1"/>
      <c r="G646" s="1"/>
      <c r="H646" s="32"/>
      <c r="I646" s="1"/>
      <c r="J646" s="1"/>
      <c r="K646" s="1"/>
      <c r="L646" s="1"/>
      <c r="M646" s="1"/>
      <c r="N646" s="1"/>
      <c r="O646" s="1"/>
      <c r="P646" s="1"/>
      <c r="Q646" s="1"/>
      <c r="R646" s="1"/>
      <c r="S646" s="1"/>
      <c r="T646" s="1"/>
      <c r="U646" s="1"/>
      <c r="V646" s="1"/>
      <c r="W646" s="1"/>
      <c r="X646" s="1"/>
      <c r="Y646" s="1"/>
      <c r="Z646" s="1"/>
    </row>
    <row r="647">
      <c r="A647" s="1"/>
      <c r="B647" s="32"/>
      <c r="C647" s="1"/>
      <c r="D647" s="1"/>
      <c r="E647" s="1"/>
      <c r="F647" s="1"/>
      <c r="G647" s="1"/>
      <c r="H647" s="32"/>
      <c r="I647" s="1"/>
      <c r="J647" s="1"/>
      <c r="K647" s="1"/>
      <c r="L647" s="1"/>
      <c r="M647" s="1"/>
      <c r="N647" s="1"/>
      <c r="O647" s="1"/>
      <c r="P647" s="1"/>
      <c r="Q647" s="1"/>
      <c r="R647" s="1"/>
      <c r="S647" s="1"/>
      <c r="T647" s="1"/>
      <c r="U647" s="1"/>
      <c r="V647" s="1"/>
      <c r="W647" s="1"/>
      <c r="X647" s="1"/>
      <c r="Y647" s="1"/>
      <c r="Z647" s="1"/>
    </row>
    <row r="648">
      <c r="A648" s="1"/>
      <c r="B648" s="32"/>
      <c r="C648" s="1"/>
      <c r="D648" s="1"/>
      <c r="E648" s="1"/>
      <c r="F648" s="1"/>
      <c r="G648" s="1"/>
      <c r="H648" s="32"/>
      <c r="I648" s="1"/>
      <c r="J648" s="1"/>
      <c r="K648" s="1"/>
      <c r="L648" s="1"/>
      <c r="M648" s="1"/>
      <c r="N648" s="1"/>
      <c r="O648" s="1"/>
      <c r="P648" s="1"/>
      <c r="Q648" s="1"/>
      <c r="R648" s="1"/>
      <c r="S648" s="1"/>
      <c r="T648" s="1"/>
      <c r="U648" s="1"/>
      <c r="V648" s="1"/>
      <c r="W648" s="1"/>
      <c r="X648" s="1"/>
      <c r="Y648" s="1"/>
      <c r="Z648" s="1"/>
    </row>
    <row r="649">
      <c r="A649" s="1"/>
      <c r="B649" s="32"/>
      <c r="C649" s="1"/>
      <c r="D649" s="1"/>
      <c r="E649" s="1"/>
      <c r="F649" s="1"/>
      <c r="G649" s="1"/>
      <c r="H649" s="32"/>
      <c r="I649" s="1"/>
      <c r="J649" s="1"/>
      <c r="K649" s="1"/>
      <c r="L649" s="1"/>
      <c r="M649" s="1"/>
      <c r="N649" s="1"/>
      <c r="O649" s="1"/>
      <c r="P649" s="1"/>
      <c r="Q649" s="1"/>
      <c r="R649" s="1"/>
      <c r="S649" s="1"/>
      <c r="T649" s="1"/>
      <c r="U649" s="1"/>
      <c r="V649" s="1"/>
      <c r="W649" s="1"/>
      <c r="X649" s="1"/>
      <c r="Y649" s="1"/>
      <c r="Z649" s="1"/>
    </row>
    <row r="650">
      <c r="A650" s="1"/>
      <c r="B650" s="32"/>
      <c r="C650" s="1"/>
      <c r="D650" s="1"/>
      <c r="E650" s="1"/>
      <c r="F650" s="1"/>
      <c r="G650" s="1"/>
      <c r="H650" s="32"/>
      <c r="I650" s="1"/>
      <c r="J650" s="1"/>
      <c r="K650" s="1"/>
      <c r="L650" s="1"/>
      <c r="M650" s="1"/>
      <c r="N650" s="1"/>
      <c r="O650" s="1"/>
      <c r="P650" s="1"/>
      <c r="Q650" s="1"/>
      <c r="R650" s="1"/>
      <c r="S650" s="1"/>
      <c r="T650" s="1"/>
      <c r="U650" s="1"/>
      <c r="V650" s="1"/>
      <c r="W650" s="1"/>
      <c r="X650" s="1"/>
      <c r="Y650" s="1"/>
      <c r="Z650" s="1"/>
    </row>
    <row r="651">
      <c r="A651" s="1"/>
      <c r="B651" s="32"/>
      <c r="C651" s="1"/>
      <c r="D651" s="1"/>
      <c r="E651" s="1"/>
      <c r="F651" s="1"/>
      <c r="G651" s="1"/>
      <c r="H651" s="32"/>
      <c r="I651" s="1"/>
      <c r="J651" s="1"/>
      <c r="K651" s="1"/>
      <c r="L651" s="1"/>
      <c r="M651" s="1"/>
      <c r="N651" s="1"/>
      <c r="O651" s="1"/>
      <c r="P651" s="1"/>
      <c r="Q651" s="1"/>
      <c r="R651" s="1"/>
      <c r="S651" s="1"/>
      <c r="T651" s="1"/>
      <c r="U651" s="1"/>
      <c r="V651" s="1"/>
      <c r="W651" s="1"/>
      <c r="X651" s="1"/>
      <c r="Y651" s="1"/>
      <c r="Z651" s="1"/>
    </row>
    <row r="652">
      <c r="A652" s="1"/>
      <c r="B652" s="32"/>
      <c r="C652" s="1"/>
      <c r="D652" s="1"/>
      <c r="E652" s="1"/>
      <c r="F652" s="1"/>
      <c r="G652" s="1"/>
      <c r="H652" s="32"/>
      <c r="I652" s="1"/>
      <c r="J652" s="1"/>
      <c r="K652" s="1"/>
      <c r="L652" s="1"/>
      <c r="M652" s="1"/>
      <c r="N652" s="1"/>
      <c r="O652" s="1"/>
      <c r="P652" s="1"/>
      <c r="Q652" s="1"/>
      <c r="R652" s="1"/>
      <c r="S652" s="1"/>
      <c r="T652" s="1"/>
      <c r="U652" s="1"/>
      <c r="V652" s="1"/>
      <c r="W652" s="1"/>
      <c r="X652" s="1"/>
      <c r="Y652" s="1"/>
      <c r="Z652" s="1"/>
    </row>
    <row r="653">
      <c r="A653" s="1"/>
      <c r="B653" s="32"/>
      <c r="C653" s="1"/>
      <c r="D653" s="1"/>
      <c r="E653" s="1"/>
      <c r="F653" s="1"/>
      <c r="G653" s="1"/>
      <c r="H653" s="32"/>
      <c r="I653" s="1"/>
      <c r="J653" s="1"/>
      <c r="K653" s="1"/>
      <c r="L653" s="1"/>
      <c r="M653" s="1"/>
      <c r="N653" s="1"/>
      <c r="O653" s="1"/>
      <c r="P653" s="1"/>
      <c r="Q653" s="1"/>
      <c r="R653" s="1"/>
      <c r="S653" s="1"/>
      <c r="T653" s="1"/>
      <c r="U653" s="1"/>
      <c r="V653" s="1"/>
      <c r="W653" s="1"/>
      <c r="X653" s="1"/>
      <c r="Y653" s="1"/>
      <c r="Z653" s="1"/>
    </row>
    <row r="654">
      <c r="A654" s="1"/>
      <c r="B654" s="32"/>
      <c r="C654" s="1"/>
      <c r="D654" s="1"/>
      <c r="E654" s="1"/>
      <c r="F654" s="1"/>
      <c r="G654" s="1"/>
      <c r="H654" s="32"/>
      <c r="I654" s="1"/>
      <c r="J654" s="1"/>
      <c r="K654" s="1"/>
      <c r="L654" s="1"/>
      <c r="M654" s="1"/>
      <c r="N654" s="1"/>
      <c r="O654" s="1"/>
      <c r="P654" s="1"/>
      <c r="Q654" s="1"/>
      <c r="R654" s="1"/>
      <c r="S654" s="1"/>
      <c r="T654" s="1"/>
      <c r="U654" s="1"/>
      <c r="V654" s="1"/>
      <c r="W654" s="1"/>
      <c r="X654" s="1"/>
      <c r="Y654" s="1"/>
      <c r="Z654" s="1"/>
    </row>
    <row r="655">
      <c r="A655" s="1"/>
      <c r="B655" s="32"/>
      <c r="C655" s="1"/>
      <c r="D655" s="1"/>
      <c r="E655" s="1"/>
      <c r="F655" s="1"/>
      <c r="G655" s="1"/>
      <c r="H655" s="32"/>
      <c r="I655" s="1"/>
      <c r="J655" s="1"/>
      <c r="K655" s="1"/>
      <c r="L655" s="1"/>
      <c r="M655" s="1"/>
      <c r="N655" s="1"/>
      <c r="O655" s="1"/>
      <c r="P655" s="1"/>
      <c r="Q655" s="1"/>
      <c r="R655" s="1"/>
      <c r="S655" s="1"/>
      <c r="T655" s="1"/>
      <c r="U655" s="1"/>
      <c r="V655" s="1"/>
      <c r="W655" s="1"/>
      <c r="X655" s="1"/>
      <c r="Y655" s="1"/>
      <c r="Z655" s="1"/>
    </row>
    <row r="656">
      <c r="A656" s="1"/>
      <c r="B656" s="32"/>
      <c r="C656" s="1"/>
      <c r="D656" s="1"/>
      <c r="E656" s="1"/>
      <c r="F656" s="1"/>
      <c r="G656" s="1"/>
      <c r="H656" s="32"/>
      <c r="I656" s="1"/>
      <c r="J656" s="1"/>
      <c r="K656" s="1"/>
      <c r="L656" s="1"/>
      <c r="M656" s="1"/>
      <c r="N656" s="1"/>
      <c r="O656" s="1"/>
      <c r="P656" s="1"/>
      <c r="Q656" s="1"/>
      <c r="R656" s="1"/>
      <c r="S656" s="1"/>
      <c r="T656" s="1"/>
      <c r="U656" s="1"/>
      <c r="V656" s="1"/>
      <c r="W656" s="1"/>
      <c r="X656" s="1"/>
      <c r="Y656" s="1"/>
      <c r="Z656" s="1"/>
    </row>
    <row r="657">
      <c r="A657" s="1"/>
      <c r="B657" s="32"/>
      <c r="C657" s="1"/>
      <c r="D657" s="1"/>
      <c r="E657" s="1"/>
      <c r="F657" s="1"/>
      <c r="G657" s="1"/>
      <c r="H657" s="32"/>
      <c r="I657" s="1"/>
      <c r="J657" s="1"/>
      <c r="K657" s="1"/>
      <c r="L657" s="1"/>
      <c r="M657" s="1"/>
      <c r="N657" s="1"/>
      <c r="O657" s="1"/>
      <c r="P657" s="1"/>
      <c r="Q657" s="1"/>
      <c r="R657" s="1"/>
      <c r="S657" s="1"/>
      <c r="T657" s="1"/>
      <c r="U657" s="1"/>
      <c r="V657" s="1"/>
      <c r="W657" s="1"/>
      <c r="X657" s="1"/>
      <c r="Y657" s="1"/>
      <c r="Z657" s="1"/>
    </row>
    <row r="658">
      <c r="A658" s="1"/>
      <c r="B658" s="32"/>
      <c r="C658" s="1"/>
      <c r="D658" s="1"/>
      <c r="E658" s="1"/>
      <c r="F658" s="1"/>
      <c r="G658" s="1"/>
      <c r="H658" s="32"/>
      <c r="I658" s="1"/>
      <c r="J658" s="1"/>
      <c r="K658" s="1"/>
      <c r="L658" s="1"/>
      <c r="M658" s="1"/>
      <c r="N658" s="1"/>
      <c r="O658" s="1"/>
      <c r="P658" s="1"/>
      <c r="Q658" s="1"/>
      <c r="R658" s="1"/>
      <c r="S658" s="1"/>
      <c r="T658" s="1"/>
      <c r="U658" s="1"/>
      <c r="V658" s="1"/>
      <c r="W658" s="1"/>
      <c r="X658" s="1"/>
      <c r="Y658" s="1"/>
      <c r="Z658" s="1"/>
    </row>
    <row r="659">
      <c r="A659" s="1"/>
      <c r="B659" s="32"/>
      <c r="C659" s="1"/>
      <c r="D659" s="1"/>
      <c r="E659" s="1"/>
      <c r="F659" s="1"/>
      <c r="G659" s="1"/>
      <c r="H659" s="32"/>
      <c r="I659" s="1"/>
      <c r="J659" s="1"/>
      <c r="K659" s="1"/>
      <c r="L659" s="1"/>
      <c r="M659" s="1"/>
      <c r="N659" s="1"/>
      <c r="O659" s="1"/>
      <c r="P659" s="1"/>
      <c r="Q659" s="1"/>
      <c r="R659" s="1"/>
      <c r="S659" s="1"/>
      <c r="T659" s="1"/>
      <c r="U659" s="1"/>
      <c r="V659" s="1"/>
      <c r="W659" s="1"/>
      <c r="X659" s="1"/>
      <c r="Y659" s="1"/>
      <c r="Z659" s="1"/>
    </row>
    <row r="660">
      <c r="A660" s="1"/>
      <c r="B660" s="32"/>
      <c r="C660" s="1"/>
      <c r="D660" s="1"/>
      <c r="E660" s="1"/>
      <c r="F660" s="1"/>
      <c r="G660" s="1"/>
      <c r="H660" s="32"/>
      <c r="I660" s="1"/>
      <c r="J660" s="1"/>
      <c r="K660" s="1"/>
      <c r="L660" s="1"/>
      <c r="M660" s="1"/>
      <c r="N660" s="1"/>
      <c r="O660" s="1"/>
      <c r="P660" s="1"/>
      <c r="Q660" s="1"/>
      <c r="R660" s="1"/>
      <c r="S660" s="1"/>
      <c r="T660" s="1"/>
      <c r="U660" s="1"/>
      <c r="V660" s="1"/>
      <c r="W660" s="1"/>
      <c r="X660" s="1"/>
      <c r="Y660" s="1"/>
      <c r="Z660" s="1"/>
    </row>
    <row r="661">
      <c r="A661" s="1"/>
      <c r="B661" s="32"/>
      <c r="C661" s="1"/>
      <c r="D661" s="1"/>
      <c r="E661" s="1"/>
      <c r="F661" s="1"/>
      <c r="G661" s="1"/>
      <c r="H661" s="32"/>
      <c r="I661" s="1"/>
      <c r="J661" s="1"/>
      <c r="K661" s="1"/>
      <c r="L661" s="1"/>
      <c r="M661" s="1"/>
      <c r="N661" s="1"/>
      <c r="O661" s="1"/>
      <c r="P661" s="1"/>
      <c r="Q661" s="1"/>
      <c r="R661" s="1"/>
      <c r="S661" s="1"/>
      <c r="T661" s="1"/>
      <c r="U661" s="1"/>
      <c r="V661" s="1"/>
      <c r="W661" s="1"/>
      <c r="X661" s="1"/>
      <c r="Y661" s="1"/>
      <c r="Z661" s="1"/>
    </row>
    <row r="662">
      <c r="A662" s="1"/>
      <c r="B662" s="32"/>
      <c r="C662" s="1"/>
      <c r="D662" s="1"/>
      <c r="E662" s="1"/>
      <c r="F662" s="1"/>
      <c r="G662" s="1"/>
      <c r="H662" s="32"/>
      <c r="I662" s="1"/>
      <c r="J662" s="1"/>
      <c r="K662" s="1"/>
      <c r="L662" s="1"/>
      <c r="M662" s="1"/>
      <c r="N662" s="1"/>
      <c r="O662" s="1"/>
      <c r="P662" s="1"/>
      <c r="Q662" s="1"/>
      <c r="R662" s="1"/>
      <c r="S662" s="1"/>
      <c r="T662" s="1"/>
      <c r="U662" s="1"/>
      <c r="V662" s="1"/>
      <c r="W662" s="1"/>
      <c r="X662" s="1"/>
      <c r="Y662" s="1"/>
      <c r="Z662" s="1"/>
    </row>
    <row r="663">
      <c r="A663" s="1"/>
      <c r="B663" s="32"/>
      <c r="C663" s="1"/>
      <c r="D663" s="1"/>
      <c r="E663" s="1"/>
      <c r="F663" s="1"/>
      <c r="G663" s="1"/>
      <c r="H663" s="32"/>
      <c r="I663" s="1"/>
      <c r="J663" s="1"/>
      <c r="K663" s="1"/>
      <c r="L663" s="1"/>
      <c r="M663" s="1"/>
      <c r="N663" s="1"/>
      <c r="O663" s="1"/>
      <c r="P663" s="1"/>
      <c r="Q663" s="1"/>
      <c r="R663" s="1"/>
      <c r="S663" s="1"/>
      <c r="T663" s="1"/>
      <c r="U663" s="1"/>
      <c r="V663" s="1"/>
      <c r="W663" s="1"/>
      <c r="X663" s="1"/>
      <c r="Y663" s="1"/>
      <c r="Z663" s="1"/>
    </row>
    <row r="664">
      <c r="A664" s="1"/>
      <c r="B664" s="32"/>
      <c r="C664" s="1"/>
      <c r="D664" s="1"/>
      <c r="E664" s="1"/>
      <c r="F664" s="1"/>
      <c r="G664" s="1"/>
      <c r="H664" s="32"/>
      <c r="I664" s="1"/>
      <c r="J664" s="1"/>
      <c r="K664" s="1"/>
      <c r="L664" s="1"/>
      <c r="M664" s="1"/>
      <c r="N664" s="1"/>
      <c r="O664" s="1"/>
      <c r="P664" s="1"/>
      <c r="Q664" s="1"/>
      <c r="R664" s="1"/>
      <c r="S664" s="1"/>
      <c r="T664" s="1"/>
      <c r="U664" s="1"/>
      <c r="V664" s="1"/>
      <c r="W664" s="1"/>
      <c r="X664" s="1"/>
      <c r="Y664" s="1"/>
      <c r="Z664" s="1"/>
    </row>
    <row r="665">
      <c r="A665" s="1"/>
      <c r="B665" s="32"/>
      <c r="C665" s="1"/>
      <c r="D665" s="1"/>
      <c r="E665" s="1"/>
      <c r="F665" s="1"/>
      <c r="G665" s="1"/>
      <c r="H665" s="32"/>
      <c r="I665" s="1"/>
      <c r="J665" s="1"/>
      <c r="K665" s="1"/>
      <c r="L665" s="1"/>
      <c r="M665" s="1"/>
      <c r="N665" s="1"/>
      <c r="O665" s="1"/>
      <c r="P665" s="1"/>
      <c r="Q665" s="1"/>
      <c r="R665" s="1"/>
      <c r="S665" s="1"/>
      <c r="T665" s="1"/>
      <c r="U665" s="1"/>
      <c r="V665" s="1"/>
      <c r="W665" s="1"/>
      <c r="X665" s="1"/>
      <c r="Y665" s="1"/>
      <c r="Z665" s="1"/>
    </row>
    <row r="666">
      <c r="A666" s="1"/>
      <c r="B666" s="32"/>
      <c r="C666" s="1"/>
      <c r="D666" s="1"/>
      <c r="E666" s="1"/>
      <c r="F666" s="1"/>
      <c r="G666" s="1"/>
      <c r="H666" s="32"/>
      <c r="I666" s="1"/>
      <c r="J666" s="1"/>
      <c r="K666" s="1"/>
      <c r="L666" s="1"/>
      <c r="M666" s="1"/>
      <c r="N666" s="1"/>
      <c r="O666" s="1"/>
      <c r="P666" s="1"/>
      <c r="Q666" s="1"/>
      <c r="R666" s="1"/>
      <c r="S666" s="1"/>
      <c r="T666" s="1"/>
      <c r="U666" s="1"/>
      <c r="V666" s="1"/>
      <c r="W666" s="1"/>
      <c r="X666" s="1"/>
      <c r="Y666" s="1"/>
      <c r="Z666" s="1"/>
    </row>
    <row r="667">
      <c r="A667" s="1"/>
      <c r="B667" s="32"/>
      <c r="C667" s="1"/>
      <c r="D667" s="1"/>
      <c r="E667" s="1"/>
      <c r="F667" s="1"/>
      <c r="G667" s="1"/>
      <c r="H667" s="32"/>
      <c r="I667" s="1"/>
      <c r="J667" s="1"/>
      <c r="K667" s="1"/>
      <c r="L667" s="1"/>
      <c r="M667" s="1"/>
      <c r="N667" s="1"/>
      <c r="O667" s="1"/>
      <c r="P667" s="1"/>
      <c r="Q667" s="1"/>
      <c r="R667" s="1"/>
      <c r="S667" s="1"/>
      <c r="T667" s="1"/>
      <c r="U667" s="1"/>
      <c r="V667" s="1"/>
      <c r="W667" s="1"/>
      <c r="X667" s="1"/>
      <c r="Y667" s="1"/>
      <c r="Z667" s="1"/>
    </row>
    <row r="668">
      <c r="A668" s="1"/>
      <c r="B668" s="32"/>
      <c r="C668" s="1"/>
      <c r="D668" s="1"/>
      <c r="E668" s="1"/>
      <c r="F668" s="1"/>
      <c r="G668" s="1"/>
      <c r="H668" s="32"/>
      <c r="I668" s="1"/>
      <c r="J668" s="1"/>
      <c r="K668" s="1"/>
      <c r="L668" s="1"/>
      <c r="M668" s="1"/>
      <c r="N668" s="1"/>
      <c r="O668" s="1"/>
      <c r="P668" s="1"/>
      <c r="Q668" s="1"/>
      <c r="R668" s="1"/>
      <c r="S668" s="1"/>
      <c r="T668" s="1"/>
      <c r="U668" s="1"/>
      <c r="V668" s="1"/>
      <c r="W668" s="1"/>
      <c r="X668" s="1"/>
      <c r="Y668" s="1"/>
      <c r="Z668" s="1"/>
    </row>
    <row r="669">
      <c r="A669" s="1"/>
      <c r="B669" s="32"/>
      <c r="C669" s="1"/>
      <c r="D669" s="1"/>
      <c r="E669" s="1"/>
      <c r="F669" s="1"/>
      <c r="G669" s="1"/>
      <c r="H669" s="32"/>
      <c r="I669" s="1"/>
      <c r="J669" s="1"/>
      <c r="K669" s="1"/>
      <c r="L669" s="1"/>
      <c r="M669" s="1"/>
      <c r="N669" s="1"/>
      <c r="O669" s="1"/>
      <c r="P669" s="1"/>
      <c r="Q669" s="1"/>
      <c r="R669" s="1"/>
      <c r="S669" s="1"/>
      <c r="T669" s="1"/>
      <c r="U669" s="1"/>
      <c r="V669" s="1"/>
      <c r="W669" s="1"/>
      <c r="X669" s="1"/>
      <c r="Y669" s="1"/>
      <c r="Z669" s="1"/>
    </row>
    <row r="670">
      <c r="A670" s="1"/>
      <c r="B670" s="32"/>
      <c r="C670" s="1"/>
      <c r="D670" s="1"/>
      <c r="E670" s="1"/>
      <c r="F670" s="1"/>
      <c r="G670" s="1"/>
      <c r="H670" s="32"/>
      <c r="I670" s="1"/>
      <c r="J670" s="1"/>
      <c r="K670" s="1"/>
      <c r="L670" s="1"/>
      <c r="M670" s="1"/>
      <c r="N670" s="1"/>
      <c r="O670" s="1"/>
      <c r="P670" s="1"/>
      <c r="Q670" s="1"/>
      <c r="R670" s="1"/>
      <c r="S670" s="1"/>
      <c r="T670" s="1"/>
      <c r="U670" s="1"/>
      <c r="V670" s="1"/>
      <c r="W670" s="1"/>
      <c r="X670" s="1"/>
      <c r="Y670" s="1"/>
      <c r="Z670" s="1"/>
    </row>
    <row r="671">
      <c r="A671" s="1"/>
      <c r="B671" s="32"/>
      <c r="C671" s="1"/>
      <c r="D671" s="1"/>
      <c r="E671" s="1"/>
      <c r="F671" s="1"/>
      <c r="G671" s="1"/>
      <c r="H671" s="32"/>
      <c r="I671" s="1"/>
      <c r="J671" s="1"/>
      <c r="K671" s="1"/>
      <c r="L671" s="1"/>
      <c r="M671" s="1"/>
      <c r="N671" s="1"/>
      <c r="O671" s="1"/>
      <c r="P671" s="1"/>
      <c r="Q671" s="1"/>
      <c r="R671" s="1"/>
      <c r="S671" s="1"/>
      <c r="T671" s="1"/>
      <c r="U671" s="1"/>
      <c r="V671" s="1"/>
      <c r="W671" s="1"/>
      <c r="X671" s="1"/>
      <c r="Y671" s="1"/>
      <c r="Z671" s="1"/>
    </row>
    <row r="672">
      <c r="A672" s="1"/>
      <c r="B672" s="32"/>
      <c r="C672" s="1"/>
      <c r="D672" s="1"/>
      <c r="E672" s="1"/>
      <c r="F672" s="1"/>
      <c r="G672" s="1"/>
      <c r="H672" s="32"/>
      <c r="I672" s="1"/>
      <c r="J672" s="1"/>
      <c r="K672" s="1"/>
      <c r="L672" s="1"/>
      <c r="M672" s="1"/>
      <c r="N672" s="1"/>
      <c r="O672" s="1"/>
      <c r="P672" s="1"/>
      <c r="Q672" s="1"/>
      <c r="R672" s="1"/>
      <c r="S672" s="1"/>
      <c r="T672" s="1"/>
      <c r="U672" s="1"/>
      <c r="V672" s="1"/>
      <c r="W672" s="1"/>
      <c r="X672" s="1"/>
      <c r="Y672" s="1"/>
      <c r="Z672" s="1"/>
    </row>
    <row r="673">
      <c r="A673" s="1"/>
      <c r="B673" s="32"/>
      <c r="C673" s="1"/>
      <c r="D673" s="1"/>
      <c r="E673" s="1"/>
      <c r="F673" s="1"/>
      <c r="G673" s="1"/>
      <c r="H673" s="32"/>
      <c r="I673" s="1"/>
      <c r="J673" s="1"/>
      <c r="K673" s="1"/>
      <c r="L673" s="1"/>
      <c r="M673" s="1"/>
      <c r="N673" s="1"/>
      <c r="O673" s="1"/>
      <c r="P673" s="1"/>
      <c r="Q673" s="1"/>
      <c r="R673" s="1"/>
      <c r="S673" s="1"/>
      <c r="T673" s="1"/>
      <c r="U673" s="1"/>
      <c r="V673" s="1"/>
      <c r="W673" s="1"/>
      <c r="X673" s="1"/>
      <c r="Y673" s="1"/>
      <c r="Z673" s="1"/>
    </row>
    <row r="674">
      <c r="A674" s="1"/>
      <c r="B674" s="32"/>
      <c r="C674" s="1"/>
      <c r="D674" s="1"/>
      <c r="E674" s="1"/>
      <c r="F674" s="1"/>
      <c r="G674" s="1"/>
      <c r="H674" s="32"/>
      <c r="I674" s="1"/>
      <c r="J674" s="1"/>
      <c r="K674" s="1"/>
      <c r="L674" s="1"/>
      <c r="M674" s="1"/>
      <c r="N674" s="1"/>
      <c r="O674" s="1"/>
      <c r="P674" s="1"/>
      <c r="Q674" s="1"/>
      <c r="R674" s="1"/>
      <c r="S674" s="1"/>
      <c r="T674" s="1"/>
      <c r="U674" s="1"/>
      <c r="V674" s="1"/>
      <c r="W674" s="1"/>
      <c r="X674" s="1"/>
      <c r="Y674" s="1"/>
      <c r="Z674" s="1"/>
    </row>
    <row r="675">
      <c r="A675" s="1"/>
      <c r="B675" s="32"/>
      <c r="C675" s="1"/>
      <c r="D675" s="1"/>
      <c r="E675" s="1"/>
      <c r="F675" s="1"/>
      <c r="G675" s="1"/>
      <c r="H675" s="32"/>
      <c r="I675" s="1"/>
      <c r="J675" s="1"/>
      <c r="K675" s="1"/>
      <c r="L675" s="1"/>
      <c r="M675" s="1"/>
      <c r="N675" s="1"/>
      <c r="O675" s="1"/>
      <c r="P675" s="1"/>
      <c r="Q675" s="1"/>
      <c r="R675" s="1"/>
      <c r="S675" s="1"/>
      <c r="T675" s="1"/>
      <c r="U675" s="1"/>
      <c r="V675" s="1"/>
      <c r="W675" s="1"/>
      <c r="X675" s="1"/>
      <c r="Y675" s="1"/>
      <c r="Z675" s="1"/>
    </row>
    <row r="676">
      <c r="A676" s="1"/>
      <c r="B676" s="32"/>
      <c r="C676" s="1"/>
      <c r="D676" s="1"/>
      <c r="E676" s="1"/>
      <c r="F676" s="1"/>
      <c r="G676" s="1"/>
      <c r="H676" s="32"/>
      <c r="I676" s="1"/>
      <c r="J676" s="1"/>
      <c r="K676" s="1"/>
      <c r="L676" s="1"/>
      <c r="M676" s="1"/>
      <c r="N676" s="1"/>
      <c r="O676" s="1"/>
      <c r="P676" s="1"/>
      <c r="Q676" s="1"/>
      <c r="R676" s="1"/>
      <c r="S676" s="1"/>
      <c r="T676" s="1"/>
      <c r="U676" s="1"/>
      <c r="V676" s="1"/>
      <c r="W676" s="1"/>
      <c r="X676" s="1"/>
      <c r="Y676" s="1"/>
      <c r="Z676" s="1"/>
    </row>
    <row r="677">
      <c r="A677" s="1"/>
      <c r="B677" s="32"/>
      <c r="C677" s="1"/>
      <c r="D677" s="1"/>
      <c r="E677" s="1"/>
      <c r="F677" s="1"/>
      <c r="G677" s="1"/>
      <c r="H677" s="32"/>
      <c r="I677" s="1"/>
      <c r="J677" s="1"/>
      <c r="K677" s="1"/>
      <c r="L677" s="1"/>
      <c r="M677" s="1"/>
      <c r="N677" s="1"/>
      <c r="O677" s="1"/>
      <c r="P677" s="1"/>
      <c r="Q677" s="1"/>
      <c r="R677" s="1"/>
      <c r="S677" s="1"/>
      <c r="T677" s="1"/>
      <c r="U677" s="1"/>
      <c r="V677" s="1"/>
      <c r="W677" s="1"/>
      <c r="X677" s="1"/>
      <c r="Y677" s="1"/>
      <c r="Z677" s="1"/>
    </row>
    <row r="678">
      <c r="A678" s="1"/>
      <c r="B678" s="32"/>
      <c r="C678" s="1"/>
      <c r="D678" s="1"/>
      <c r="E678" s="1"/>
      <c r="F678" s="1"/>
      <c r="G678" s="1"/>
      <c r="H678" s="32"/>
      <c r="I678" s="1"/>
      <c r="J678" s="1"/>
      <c r="K678" s="1"/>
      <c r="L678" s="1"/>
      <c r="M678" s="1"/>
      <c r="N678" s="1"/>
      <c r="O678" s="1"/>
      <c r="P678" s="1"/>
      <c r="Q678" s="1"/>
      <c r="R678" s="1"/>
      <c r="S678" s="1"/>
      <c r="T678" s="1"/>
      <c r="U678" s="1"/>
      <c r="V678" s="1"/>
      <c r="W678" s="1"/>
      <c r="X678" s="1"/>
      <c r="Y678" s="1"/>
      <c r="Z678" s="1"/>
    </row>
    <row r="679">
      <c r="A679" s="1"/>
      <c r="B679" s="32"/>
      <c r="C679" s="1"/>
      <c r="D679" s="1"/>
      <c r="E679" s="1"/>
      <c r="F679" s="1"/>
      <c r="G679" s="1"/>
      <c r="H679" s="32"/>
      <c r="I679" s="1"/>
      <c r="J679" s="1"/>
      <c r="K679" s="1"/>
      <c r="L679" s="1"/>
      <c r="M679" s="1"/>
      <c r="N679" s="1"/>
      <c r="O679" s="1"/>
      <c r="P679" s="1"/>
      <c r="Q679" s="1"/>
      <c r="R679" s="1"/>
      <c r="S679" s="1"/>
      <c r="T679" s="1"/>
      <c r="U679" s="1"/>
      <c r="V679" s="1"/>
      <c r="W679" s="1"/>
      <c r="X679" s="1"/>
      <c r="Y679" s="1"/>
      <c r="Z679" s="1"/>
    </row>
    <row r="680">
      <c r="A680" s="1"/>
      <c r="B680" s="32"/>
      <c r="C680" s="1"/>
      <c r="D680" s="1"/>
      <c r="E680" s="1"/>
      <c r="F680" s="1"/>
      <c r="G680" s="1"/>
      <c r="H680" s="32"/>
      <c r="I680" s="1"/>
      <c r="J680" s="1"/>
      <c r="K680" s="1"/>
      <c r="L680" s="1"/>
      <c r="M680" s="1"/>
      <c r="N680" s="1"/>
      <c r="O680" s="1"/>
      <c r="P680" s="1"/>
      <c r="Q680" s="1"/>
      <c r="R680" s="1"/>
      <c r="S680" s="1"/>
      <c r="T680" s="1"/>
      <c r="U680" s="1"/>
      <c r="V680" s="1"/>
      <c r="W680" s="1"/>
      <c r="X680" s="1"/>
      <c r="Y680" s="1"/>
      <c r="Z680" s="1"/>
    </row>
    <row r="681">
      <c r="A681" s="1"/>
      <c r="B681" s="32"/>
      <c r="C681" s="1"/>
      <c r="D681" s="1"/>
      <c r="E681" s="1"/>
      <c r="F681" s="1"/>
      <c r="G681" s="1"/>
      <c r="H681" s="32"/>
      <c r="I681" s="1"/>
      <c r="J681" s="1"/>
      <c r="K681" s="1"/>
      <c r="L681" s="1"/>
      <c r="M681" s="1"/>
      <c r="N681" s="1"/>
      <c r="O681" s="1"/>
      <c r="P681" s="1"/>
      <c r="Q681" s="1"/>
      <c r="R681" s="1"/>
      <c r="S681" s="1"/>
      <c r="T681" s="1"/>
      <c r="U681" s="1"/>
      <c r="V681" s="1"/>
      <c r="W681" s="1"/>
      <c r="X681" s="1"/>
      <c r="Y681" s="1"/>
      <c r="Z681" s="1"/>
    </row>
    <row r="682">
      <c r="A682" s="1"/>
      <c r="B682" s="32"/>
      <c r="C682" s="1"/>
      <c r="D682" s="1"/>
      <c r="E682" s="1"/>
      <c r="F682" s="1"/>
      <c r="G682" s="1"/>
      <c r="H682" s="32"/>
      <c r="I682" s="1"/>
      <c r="J682" s="1"/>
      <c r="K682" s="1"/>
      <c r="L682" s="1"/>
      <c r="M682" s="1"/>
      <c r="N682" s="1"/>
      <c r="O682" s="1"/>
      <c r="P682" s="1"/>
      <c r="Q682" s="1"/>
      <c r="R682" s="1"/>
      <c r="S682" s="1"/>
      <c r="T682" s="1"/>
      <c r="U682" s="1"/>
      <c r="V682" s="1"/>
      <c r="W682" s="1"/>
      <c r="X682" s="1"/>
      <c r="Y682" s="1"/>
      <c r="Z682" s="1"/>
    </row>
    <row r="683">
      <c r="A683" s="1"/>
      <c r="B683" s="32"/>
      <c r="C683" s="1"/>
      <c r="D683" s="1"/>
      <c r="E683" s="1"/>
      <c r="F683" s="1"/>
      <c r="G683" s="1"/>
      <c r="H683" s="32"/>
      <c r="I683" s="1"/>
      <c r="J683" s="1"/>
      <c r="K683" s="1"/>
      <c r="L683" s="1"/>
      <c r="M683" s="1"/>
      <c r="N683" s="1"/>
      <c r="O683" s="1"/>
      <c r="P683" s="1"/>
      <c r="Q683" s="1"/>
      <c r="R683" s="1"/>
      <c r="S683" s="1"/>
      <c r="T683" s="1"/>
      <c r="U683" s="1"/>
      <c r="V683" s="1"/>
      <c r="W683" s="1"/>
      <c r="X683" s="1"/>
      <c r="Y683" s="1"/>
      <c r="Z683" s="1"/>
    </row>
    <row r="684">
      <c r="A684" s="1"/>
      <c r="B684" s="32"/>
      <c r="C684" s="1"/>
      <c r="D684" s="1"/>
      <c r="E684" s="1"/>
      <c r="F684" s="1"/>
      <c r="G684" s="1"/>
      <c r="H684" s="32"/>
      <c r="I684" s="1"/>
      <c r="J684" s="1"/>
      <c r="K684" s="1"/>
      <c r="L684" s="1"/>
      <c r="M684" s="1"/>
      <c r="N684" s="1"/>
      <c r="O684" s="1"/>
      <c r="P684" s="1"/>
      <c r="Q684" s="1"/>
      <c r="R684" s="1"/>
      <c r="S684" s="1"/>
      <c r="T684" s="1"/>
      <c r="U684" s="1"/>
      <c r="V684" s="1"/>
      <c r="W684" s="1"/>
      <c r="X684" s="1"/>
      <c r="Y684" s="1"/>
      <c r="Z684" s="1"/>
    </row>
    <row r="685">
      <c r="A685" s="1"/>
      <c r="B685" s="32"/>
      <c r="C685" s="1"/>
      <c r="D685" s="1"/>
      <c r="E685" s="1"/>
      <c r="F685" s="1"/>
      <c r="G685" s="1"/>
      <c r="H685" s="32"/>
      <c r="I685" s="1"/>
      <c r="J685" s="1"/>
      <c r="K685" s="1"/>
      <c r="L685" s="1"/>
      <c r="M685" s="1"/>
      <c r="N685" s="1"/>
      <c r="O685" s="1"/>
      <c r="P685" s="1"/>
      <c r="Q685" s="1"/>
      <c r="R685" s="1"/>
      <c r="S685" s="1"/>
      <c r="T685" s="1"/>
      <c r="U685" s="1"/>
      <c r="V685" s="1"/>
      <c r="W685" s="1"/>
      <c r="X685" s="1"/>
      <c r="Y685" s="1"/>
      <c r="Z685" s="1"/>
    </row>
    <row r="686">
      <c r="A686" s="1"/>
      <c r="B686" s="32"/>
      <c r="C686" s="1"/>
      <c r="D686" s="1"/>
      <c r="E686" s="1"/>
      <c r="F686" s="1"/>
      <c r="G686" s="1"/>
      <c r="H686" s="32"/>
      <c r="I686" s="1"/>
      <c r="J686" s="1"/>
      <c r="K686" s="1"/>
      <c r="L686" s="1"/>
      <c r="M686" s="1"/>
      <c r="N686" s="1"/>
      <c r="O686" s="1"/>
      <c r="P686" s="1"/>
      <c r="Q686" s="1"/>
      <c r="R686" s="1"/>
      <c r="S686" s="1"/>
      <c r="T686" s="1"/>
      <c r="U686" s="1"/>
      <c r="V686" s="1"/>
      <c r="W686" s="1"/>
      <c r="X686" s="1"/>
      <c r="Y686" s="1"/>
      <c r="Z686" s="1"/>
    </row>
    <row r="687">
      <c r="A687" s="1"/>
      <c r="B687" s="32"/>
      <c r="C687" s="1"/>
      <c r="D687" s="1"/>
      <c r="E687" s="1"/>
      <c r="F687" s="1"/>
      <c r="G687" s="1"/>
      <c r="H687" s="32"/>
      <c r="I687" s="1"/>
      <c r="J687" s="1"/>
      <c r="K687" s="1"/>
      <c r="L687" s="1"/>
      <c r="M687" s="1"/>
      <c r="N687" s="1"/>
      <c r="O687" s="1"/>
      <c r="P687" s="1"/>
      <c r="Q687" s="1"/>
      <c r="R687" s="1"/>
      <c r="S687" s="1"/>
      <c r="T687" s="1"/>
      <c r="U687" s="1"/>
      <c r="V687" s="1"/>
      <c r="W687" s="1"/>
      <c r="X687" s="1"/>
      <c r="Y687" s="1"/>
      <c r="Z687" s="1"/>
    </row>
    <row r="688">
      <c r="A688" s="1"/>
      <c r="B688" s="32"/>
      <c r="C688" s="1"/>
      <c r="D688" s="1"/>
      <c r="E688" s="1"/>
      <c r="F688" s="1"/>
      <c r="G688" s="1"/>
      <c r="H688" s="32"/>
      <c r="I688" s="1"/>
      <c r="J688" s="1"/>
      <c r="K688" s="1"/>
      <c r="L688" s="1"/>
      <c r="M688" s="1"/>
      <c r="N688" s="1"/>
      <c r="O688" s="1"/>
      <c r="P688" s="1"/>
      <c r="Q688" s="1"/>
      <c r="R688" s="1"/>
      <c r="S688" s="1"/>
      <c r="T688" s="1"/>
      <c r="U688" s="1"/>
      <c r="V688" s="1"/>
      <c r="W688" s="1"/>
      <c r="X688" s="1"/>
      <c r="Y688" s="1"/>
      <c r="Z688" s="1"/>
    </row>
    <row r="689">
      <c r="A689" s="1"/>
      <c r="B689" s="32"/>
      <c r="C689" s="1"/>
      <c r="D689" s="1"/>
      <c r="E689" s="1"/>
      <c r="F689" s="1"/>
      <c r="G689" s="1"/>
      <c r="H689" s="32"/>
      <c r="I689" s="1"/>
      <c r="J689" s="1"/>
      <c r="K689" s="1"/>
      <c r="L689" s="1"/>
      <c r="M689" s="1"/>
      <c r="N689" s="1"/>
      <c r="O689" s="1"/>
      <c r="P689" s="1"/>
      <c r="Q689" s="1"/>
      <c r="R689" s="1"/>
      <c r="S689" s="1"/>
      <c r="T689" s="1"/>
      <c r="U689" s="1"/>
      <c r="V689" s="1"/>
      <c r="W689" s="1"/>
      <c r="X689" s="1"/>
      <c r="Y689" s="1"/>
      <c r="Z689" s="1"/>
    </row>
    <row r="690">
      <c r="A690" s="1"/>
      <c r="B690" s="32"/>
      <c r="C690" s="1"/>
      <c r="D690" s="1"/>
      <c r="E690" s="1"/>
      <c r="F690" s="1"/>
      <c r="G690" s="1"/>
      <c r="H690" s="32"/>
      <c r="I690" s="1"/>
      <c r="J690" s="1"/>
      <c r="K690" s="1"/>
      <c r="L690" s="1"/>
      <c r="M690" s="1"/>
      <c r="N690" s="1"/>
      <c r="O690" s="1"/>
      <c r="P690" s="1"/>
      <c r="Q690" s="1"/>
      <c r="R690" s="1"/>
      <c r="S690" s="1"/>
      <c r="T690" s="1"/>
      <c r="U690" s="1"/>
      <c r="V690" s="1"/>
      <c r="W690" s="1"/>
      <c r="X690" s="1"/>
      <c r="Y690" s="1"/>
      <c r="Z690" s="1"/>
    </row>
    <row r="691">
      <c r="A691" s="1"/>
      <c r="B691" s="32"/>
      <c r="C691" s="1"/>
      <c r="D691" s="1"/>
      <c r="E691" s="1"/>
      <c r="F691" s="1"/>
      <c r="G691" s="1"/>
      <c r="H691" s="32"/>
      <c r="I691" s="1"/>
      <c r="J691" s="1"/>
      <c r="K691" s="1"/>
      <c r="L691" s="1"/>
      <c r="M691" s="1"/>
      <c r="N691" s="1"/>
      <c r="O691" s="1"/>
      <c r="P691" s="1"/>
      <c r="Q691" s="1"/>
      <c r="R691" s="1"/>
      <c r="S691" s="1"/>
      <c r="T691" s="1"/>
      <c r="U691" s="1"/>
      <c r="V691" s="1"/>
      <c r="W691" s="1"/>
      <c r="X691" s="1"/>
      <c r="Y691" s="1"/>
      <c r="Z691" s="1"/>
    </row>
    <row r="692">
      <c r="A692" s="1"/>
      <c r="B692" s="32"/>
      <c r="C692" s="1"/>
      <c r="D692" s="1"/>
      <c r="E692" s="1"/>
      <c r="F692" s="1"/>
      <c r="G692" s="1"/>
      <c r="H692" s="32"/>
      <c r="I692" s="1"/>
      <c r="J692" s="1"/>
      <c r="K692" s="1"/>
      <c r="L692" s="1"/>
      <c r="M692" s="1"/>
      <c r="N692" s="1"/>
      <c r="O692" s="1"/>
      <c r="P692" s="1"/>
      <c r="Q692" s="1"/>
      <c r="R692" s="1"/>
      <c r="S692" s="1"/>
      <c r="T692" s="1"/>
      <c r="U692" s="1"/>
      <c r="V692" s="1"/>
      <c r="W692" s="1"/>
      <c r="X692" s="1"/>
      <c r="Y692" s="1"/>
      <c r="Z692" s="1"/>
    </row>
    <row r="693">
      <c r="A693" s="1"/>
      <c r="B693" s="32"/>
      <c r="C693" s="1"/>
      <c r="D693" s="1"/>
      <c r="E693" s="1"/>
      <c r="F693" s="1"/>
      <c r="G693" s="1"/>
      <c r="H693" s="32"/>
      <c r="I693" s="1"/>
      <c r="J693" s="1"/>
      <c r="K693" s="1"/>
      <c r="L693" s="1"/>
      <c r="M693" s="1"/>
      <c r="N693" s="1"/>
      <c r="O693" s="1"/>
      <c r="P693" s="1"/>
      <c r="Q693" s="1"/>
      <c r="R693" s="1"/>
      <c r="S693" s="1"/>
      <c r="T693" s="1"/>
      <c r="U693" s="1"/>
      <c r="V693" s="1"/>
      <c r="W693" s="1"/>
      <c r="X693" s="1"/>
      <c r="Y693" s="1"/>
      <c r="Z693" s="1"/>
    </row>
    <row r="694">
      <c r="A694" s="1"/>
      <c r="B694" s="32"/>
      <c r="C694" s="1"/>
      <c r="D694" s="1"/>
      <c r="E694" s="1"/>
      <c r="F694" s="1"/>
      <c r="G694" s="1"/>
      <c r="H694" s="32"/>
      <c r="I694" s="1"/>
      <c r="J694" s="1"/>
      <c r="K694" s="1"/>
      <c r="L694" s="1"/>
      <c r="M694" s="1"/>
      <c r="N694" s="1"/>
      <c r="O694" s="1"/>
      <c r="P694" s="1"/>
      <c r="Q694" s="1"/>
      <c r="R694" s="1"/>
      <c r="S694" s="1"/>
      <c r="T694" s="1"/>
      <c r="U694" s="1"/>
      <c r="V694" s="1"/>
      <c r="W694" s="1"/>
      <c r="X694" s="1"/>
      <c r="Y694" s="1"/>
      <c r="Z694" s="1"/>
    </row>
    <row r="695">
      <c r="A695" s="1"/>
      <c r="B695" s="32"/>
      <c r="C695" s="1"/>
      <c r="D695" s="1"/>
      <c r="E695" s="1"/>
      <c r="F695" s="1"/>
      <c r="G695" s="1"/>
      <c r="H695" s="32"/>
      <c r="I695" s="1"/>
      <c r="J695" s="1"/>
      <c r="K695" s="1"/>
      <c r="L695" s="1"/>
      <c r="M695" s="1"/>
      <c r="N695" s="1"/>
      <c r="O695" s="1"/>
      <c r="P695" s="1"/>
      <c r="Q695" s="1"/>
      <c r="R695" s="1"/>
      <c r="S695" s="1"/>
      <c r="T695" s="1"/>
      <c r="U695" s="1"/>
      <c r="V695" s="1"/>
      <c r="W695" s="1"/>
      <c r="X695" s="1"/>
      <c r="Y695" s="1"/>
      <c r="Z695" s="1"/>
    </row>
    <row r="696">
      <c r="A696" s="1"/>
      <c r="B696" s="32"/>
      <c r="C696" s="1"/>
      <c r="D696" s="1"/>
      <c r="E696" s="1"/>
      <c r="F696" s="1"/>
      <c r="G696" s="1"/>
      <c r="H696" s="32"/>
      <c r="I696" s="1"/>
      <c r="J696" s="1"/>
      <c r="K696" s="1"/>
      <c r="L696" s="1"/>
      <c r="M696" s="1"/>
      <c r="N696" s="1"/>
      <c r="O696" s="1"/>
      <c r="P696" s="1"/>
      <c r="Q696" s="1"/>
      <c r="R696" s="1"/>
      <c r="S696" s="1"/>
      <c r="T696" s="1"/>
      <c r="U696" s="1"/>
      <c r="V696" s="1"/>
      <c r="W696" s="1"/>
      <c r="X696" s="1"/>
      <c r="Y696" s="1"/>
      <c r="Z696" s="1"/>
    </row>
    <row r="697">
      <c r="A697" s="1"/>
      <c r="B697" s="32"/>
      <c r="C697" s="1"/>
      <c r="D697" s="1"/>
      <c r="E697" s="1"/>
      <c r="F697" s="1"/>
      <c r="G697" s="1"/>
      <c r="H697" s="32"/>
      <c r="I697" s="1"/>
      <c r="J697" s="1"/>
      <c r="K697" s="1"/>
      <c r="L697" s="1"/>
      <c r="M697" s="1"/>
      <c r="N697" s="1"/>
      <c r="O697" s="1"/>
      <c r="P697" s="1"/>
      <c r="Q697" s="1"/>
      <c r="R697" s="1"/>
      <c r="S697" s="1"/>
      <c r="T697" s="1"/>
      <c r="U697" s="1"/>
      <c r="V697" s="1"/>
      <c r="W697" s="1"/>
      <c r="X697" s="1"/>
      <c r="Y697" s="1"/>
      <c r="Z697" s="1"/>
    </row>
    <row r="698">
      <c r="A698" s="1"/>
      <c r="B698" s="32"/>
      <c r="C698" s="1"/>
      <c r="D698" s="1"/>
      <c r="E698" s="1"/>
      <c r="F698" s="1"/>
      <c r="G698" s="1"/>
      <c r="H698" s="32"/>
      <c r="I698" s="1"/>
      <c r="J698" s="1"/>
      <c r="K698" s="1"/>
      <c r="L698" s="1"/>
      <c r="M698" s="1"/>
      <c r="N698" s="1"/>
      <c r="O698" s="1"/>
      <c r="P698" s="1"/>
      <c r="Q698" s="1"/>
      <c r="R698" s="1"/>
      <c r="S698" s="1"/>
      <c r="T698" s="1"/>
      <c r="U698" s="1"/>
      <c r="V698" s="1"/>
      <c r="W698" s="1"/>
      <c r="X698" s="1"/>
      <c r="Y698" s="1"/>
      <c r="Z698" s="1"/>
    </row>
    <row r="699">
      <c r="A699" s="1"/>
      <c r="B699" s="32"/>
      <c r="C699" s="1"/>
      <c r="D699" s="1"/>
      <c r="E699" s="1"/>
      <c r="F699" s="1"/>
      <c r="G699" s="1"/>
      <c r="H699" s="32"/>
      <c r="I699" s="1"/>
      <c r="J699" s="1"/>
      <c r="K699" s="1"/>
      <c r="L699" s="1"/>
      <c r="M699" s="1"/>
      <c r="N699" s="1"/>
      <c r="O699" s="1"/>
      <c r="P699" s="1"/>
      <c r="Q699" s="1"/>
      <c r="R699" s="1"/>
      <c r="S699" s="1"/>
      <c r="T699" s="1"/>
      <c r="U699" s="1"/>
      <c r="V699" s="1"/>
      <c r="W699" s="1"/>
      <c r="X699" s="1"/>
      <c r="Y699" s="1"/>
      <c r="Z699" s="1"/>
    </row>
    <row r="700">
      <c r="A700" s="1"/>
      <c r="B700" s="32"/>
      <c r="C700" s="1"/>
      <c r="D700" s="1"/>
      <c r="E700" s="1"/>
      <c r="F700" s="1"/>
      <c r="G700" s="1"/>
      <c r="H700" s="32"/>
      <c r="I700" s="1"/>
      <c r="J700" s="1"/>
      <c r="K700" s="1"/>
      <c r="L700" s="1"/>
      <c r="M700" s="1"/>
      <c r="N700" s="1"/>
      <c r="O700" s="1"/>
      <c r="P700" s="1"/>
      <c r="Q700" s="1"/>
      <c r="R700" s="1"/>
      <c r="S700" s="1"/>
      <c r="T700" s="1"/>
      <c r="U700" s="1"/>
      <c r="V700" s="1"/>
      <c r="W700" s="1"/>
      <c r="X700" s="1"/>
      <c r="Y700" s="1"/>
      <c r="Z700" s="1"/>
    </row>
    <row r="701">
      <c r="A701" s="1"/>
      <c r="B701" s="32"/>
      <c r="C701" s="1"/>
      <c r="D701" s="1"/>
      <c r="E701" s="1"/>
      <c r="F701" s="1"/>
      <c r="G701" s="1"/>
      <c r="H701" s="32"/>
      <c r="I701" s="1"/>
      <c r="J701" s="1"/>
      <c r="K701" s="1"/>
      <c r="L701" s="1"/>
      <c r="M701" s="1"/>
      <c r="N701" s="1"/>
      <c r="O701" s="1"/>
      <c r="P701" s="1"/>
      <c r="Q701" s="1"/>
      <c r="R701" s="1"/>
      <c r="S701" s="1"/>
      <c r="T701" s="1"/>
      <c r="U701" s="1"/>
      <c r="V701" s="1"/>
      <c r="W701" s="1"/>
      <c r="X701" s="1"/>
      <c r="Y701" s="1"/>
      <c r="Z701" s="1"/>
    </row>
    <row r="702">
      <c r="A702" s="1"/>
      <c r="B702" s="32"/>
      <c r="C702" s="1"/>
      <c r="D702" s="1"/>
      <c r="E702" s="1"/>
      <c r="F702" s="1"/>
      <c r="G702" s="1"/>
      <c r="H702" s="32"/>
      <c r="I702" s="1"/>
      <c r="J702" s="1"/>
      <c r="K702" s="1"/>
      <c r="L702" s="1"/>
      <c r="M702" s="1"/>
      <c r="N702" s="1"/>
      <c r="O702" s="1"/>
      <c r="P702" s="1"/>
      <c r="Q702" s="1"/>
      <c r="R702" s="1"/>
      <c r="S702" s="1"/>
      <c r="T702" s="1"/>
      <c r="U702" s="1"/>
      <c r="V702" s="1"/>
      <c r="W702" s="1"/>
      <c r="X702" s="1"/>
      <c r="Y702" s="1"/>
      <c r="Z702" s="1"/>
    </row>
    <row r="703">
      <c r="A703" s="1"/>
      <c r="B703" s="32"/>
      <c r="C703" s="1"/>
      <c r="D703" s="1"/>
      <c r="E703" s="1"/>
      <c r="F703" s="1"/>
      <c r="G703" s="1"/>
      <c r="H703" s="32"/>
      <c r="I703" s="1"/>
      <c r="J703" s="1"/>
      <c r="K703" s="1"/>
      <c r="L703" s="1"/>
      <c r="M703" s="1"/>
      <c r="N703" s="1"/>
      <c r="O703" s="1"/>
      <c r="P703" s="1"/>
      <c r="Q703" s="1"/>
      <c r="R703" s="1"/>
      <c r="S703" s="1"/>
      <c r="T703" s="1"/>
      <c r="U703" s="1"/>
      <c r="V703" s="1"/>
      <c r="W703" s="1"/>
      <c r="X703" s="1"/>
      <c r="Y703" s="1"/>
      <c r="Z703" s="1"/>
    </row>
    <row r="704">
      <c r="A704" s="1"/>
      <c r="B704" s="32"/>
      <c r="C704" s="1"/>
      <c r="D704" s="1"/>
      <c r="E704" s="1"/>
      <c r="F704" s="1"/>
      <c r="G704" s="1"/>
      <c r="H704" s="32"/>
      <c r="I704" s="1"/>
      <c r="J704" s="1"/>
      <c r="K704" s="1"/>
      <c r="L704" s="1"/>
      <c r="M704" s="1"/>
      <c r="N704" s="1"/>
      <c r="O704" s="1"/>
      <c r="P704" s="1"/>
      <c r="Q704" s="1"/>
      <c r="R704" s="1"/>
      <c r="S704" s="1"/>
      <c r="T704" s="1"/>
      <c r="U704" s="1"/>
      <c r="V704" s="1"/>
      <c r="W704" s="1"/>
      <c r="X704" s="1"/>
      <c r="Y704" s="1"/>
      <c r="Z704" s="1"/>
    </row>
    <row r="705">
      <c r="A705" s="1"/>
      <c r="B705" s="32"/>
      <c r="C705" s="1"/>
      <c r="D705" s="1"/>
      <c r="E705" s="1"/>
      <c r="F705" s="1"/>
      <c r="G705" s="1"/>
      <c r="H705" s="32"/>
      <c r="I705" s="1"/>
      <c r="J705" s="1"/>
      <c r="K705" s="1"/>
      <c r="L705" s="1"/>
      <c r="M705" s="1"/>
      <c r="N705" s="1"/>
      <c r="O705" s="1"/>
      <c r="P705" s="1"/>
      <c r="Q705" s="1"/>
      <c r="R705" s="1"/>
      <c r="S705" s="1"/>
      <c r="T705" s="1"/>
      <c r="U705" s="1"/>
      <c r="V705" s="1"/>
      <c r="W705" s="1"/>
      <c r="X705" s="1"/>
      <c r="Y705" s="1"/>
      <c r="Z705" s="1"/>
    </row>
    <row r="706">
      <c r="A706" s="1"/>
      <c r="B706" s="32"/>
      <c r="C706" s="1"/>
      <c r="D706" s="1"/>
      <c r="E706" s="1"/>
      <c r="F706" s="1"/>
      <c r="G706" s="1"/>
      <c r="H706" s="32"/>
      <c r="I706" s="1"/>
      <c r="J706" s="1"/>
      <c r="K706" s="1"/>
      <c r="L706" s="1"/>
      <c r="M706" s="1"/>
      <c r="N706" s="1"/>
      <c r="O706" s="1"/>
      <c r="P706" s="1"/>
      <c r="Q706" s="1"/>
      <c r="R706" s="1"/>
      <c r="S706" s="1"/>
      <c r="T706" s="1"/>
      <c r="U706" s="1"/>
      <c r="V706" s="1"/>
      <c r="W706" s="1"/>
      <c r="X706" s="1"/>
      <c r="Y706" s="1"/>
      <c r="Z706" s="1"/>
    </row>
    <row r="707">
      <c r="A707" s="1"/>
      <c r="B707" s="32"/>
      <c r="C707" s="1"/>
      <c r="D707" s="1"/>
      <c r="E707" s="1"/>
      <c r="F707" s="1"/>
      <c r="G707" s="1"/>
      <c r="H707" s="32"/>
      <c r="I707" s="1"/>
      <c r="J707" s="1"/>
      <c r="K707" s="1"/>
      <c r="L707" s="1"/>
      <c r="M707" s="1"/>
      <c r="N707" s="1"/>
      <c r="O707" s="1"/>
      <c r="P707" s="1"/>
      <c r="Q707" s="1"/>
      <c r="R707" s="1"/>
      <c r="S707" s="1"/>
      <c r="T707" s="1"/>
      <c r="U707" s="1"/>
      <c r="V707" s="1"/>
      <c r="W707" s="1"/>
      <c r="X707" s="1"/>
      <c r="Y707" s="1"/>
      <c r="Z707" s="1"/>
    </row>
    <row r="708">
      <c r="A708" s="1"/>
      <c r="B708" s="32"/>
      <c r="C708" s="1"/>
      <c r="D708" s="1"/>
      <c r="E708" s="1"/>
      <c r="F708" s="1"/>
      <c r="G708" s="1"/>
      <c r="H708" s="32"/>
      <c r="I708" s="1"/>
      <c r="J708" s="1"/>
      <c r="K708" s="1"/>
      <c r="L708" s="1"/>
      <c r="M708" s="1"/>
      <c r="N708" s="1"/>
      <c r="O708" s="1"/>
      <c r="P708" s="1"/>
      <c r="Q708" s="1"/>
      <c r="R708" s="1"/>
      <c r="S708" s="1"/>
      <c r="T708" s="1"/>
      <c r="U708" s="1"/>
      <c r="V708" s="1"/>
      <c r="W708" s="1"/>
      <c r="X708" s="1"/>
      <c r="Y708" s="1"/>
      <c r="Z708" s="1"/>
    </row>
    <row r="709">
      <c r="A709" s="1"/>
      <c r="B709" s="32"/>
      <c r="C709" s="1"/>
      <c r="D709" s="1"/>
      <c r="E709" s="1"/>
      <c r="F709" s="1"/>
      <c r="G709" s="1"/>
      <c r="H709" s="32"/>
      <c r="I709" s="1"/>
      <c r="J709" s="1"/>
      <c r="K709" s="1"/>
      <c r="L709" s="1"/>
      <c r="M709" s="1"/>
      <c r="N709" s="1"/>
      <c r="O709" s="1"/>
      <c r="P709" s="1"/>
      <c r="Q709" s="1"/>
      <c r="R709" s="1"/>
      <c r="S709" s="1"/>
      <c r="T709" s="1"/>
      <c r="U709" s="1"/>
      <c r="V709" s="1"/>
      <c r="W709" s="1"/>
      <c r="X709" s="1"/>
      <c r="Y709" s="1"/>
      <c r="Z709" s="1"/>
    </row>
    <row r="710">
      <c r="A710" s="1"/>
      <c r="B710" s="32"/>
      <c r="C710" s="1"/>
      <c r="D710" s="1"/>
      <c r="E710" s="1"/>
      <c r="F710" s="1"/>
      <c r="G710" s="1"/>
      <c r="H710" s="32"/>
      <c r="I710" s="1"/>
      <c r="J710" s="1"/>
      <c r="K710" s="1"/>
      <c r="L710" s="1"/>
      <c r="M710" s="1"/>
      <c r="N710" s="1"/>
      <c r="O710" s="1"/>
      <c r="P710" s="1"/>
      <c r="Q710" s="1"/>
      <c r="R710" s="1"/>
      <c r="S710" s="1"/>
      <c r="T710" s="1"/>
      <c r="U710" s="1"/>
      <c r="V710" s="1"/>
      <c r="W710" s="1"/>
      <c r="X710" s="1"/>
      <c r="Y710" s="1"/>
      <c r="Z710" s="1"/>
    </row>
    <row r="711">
      <c r="A711" s="1"/>
      <c r="B711" s="32"/>
      <c r="C711" s="1"/>
      <c r="D711" s="1"/>
      <c r="E711" s="1"/>
      <c r="F711" s="1"/>
      <c r="G711" s="1"/>
      <c r="H711" s="32"/>
      <c r="I711" s="1"/>
      <c r="J711" s="1"/>
      <c r="K711" s="1"/>
      <c r="L711" s="1"/>
      <c r="M711" s="1"/>
      <c r="N711" s="1"/>
      <c r="O711" s="1"/>
      <c r="P711" s="1"/>
      <c r="Q711" s="1"/>
      <c r="R711" s="1"/>
      <c r="S711" s="1"/>
      <c r="T711" s="1"/>
      <c r="U711" s="1"/>
      <c r="V711" s="1"/>
      <c r="W711" s="1"/>
      <c r="X711" s="1"/>
      <c r="Y711" s="1"/>
      <c r="Z711" s="1"/>
    </row>
    <row r="712">
      <c r="A712" s="1"/>
      <c r="B712" s="32"/>
      <c r="C712" s="1"/>
      <c r="D712" s="1"/>
      <c r="E712" s="1"/>
      <c r="F712" s="1"/>
      <c r="G712" s="1"/>
      <c r="H712" s="32"/>
      <c r="I712" s="1"/>
      <c r="J712" s="1"/>
      <c r="K712" s="1"/>
      <c r="L712" s="1"/>
      <c r="M712" s="1"/>
      <c r="N712" s="1"/>
      <c r="O712" s="1"/>
      <c r="P712" s="1"/>
      <c r="Q712" s="1"/>
      <c r="R712" s="1"/>
      <c r="S712" s="1"/>
      <c r="T712" s="1"/>
      <c r="U712" s="1"/>
      <c r="V712" s="1"/>
      <c r="W712" s="1"/>
      <c r="X712" s="1"/>
      <c r="Y712" s="1"/>
      <c r="Z712" s="1"/>
    </row>
    <row r="713">
      <c r="A713" s="1"/>
      <c r="B713" s="32"/>
      <c r="C713" s="1"/>
      <c r="D713" s="1"/>
      <c r="E713" s="1"/>
      <c r="F713" s="1"/>
      <c r="G713" s="1"/>
      <c r="H713" s="32"/>
      <c r="I713" s="1"/>
      <c r="J713" s="1"/>
      <c r="K713" s="1"/>
      <c r="L713" s="1"/>
      <c r="M713" s="1"/>
      <c r="N713" s="1"/>
      <c r="O713" s="1"/>
      <c r="P713" s="1"/>
      <c r="Q713" s="1"/>
      <c r="R713" s="1"/>
      <c r="S713" s="1"/>
      <c r="T713" s="1"/>
      <c r="U713" s="1"/>
      <c r="V713" s="1"/>
      <c r="W713" s="1"/>
      <c r="X713" s="1"/>
      <c r="Y713" s="1"/>
      <c r="Z713" s="1"/>
    </row>
    <row r="714">
      <c r="A714" s="1"/>
      <c r="B714" s="32"/>
      <c r="C714" s="1"/>
      <c r="D714" s="1"/>
      <c r="E714" s="1"/>
      <c r="F714" s="1"/>
      <c r="G714" s="1"/>
      <c r="H714" s="32"/>
      <c r="I714" s="1"/>
      <c r="J714" s="1"/>
      <c r="K714" s="1"/>
      <c r="L714" s="1"/>
      <c r="M714" s="1"/>
      <c r="N714" s="1"/>
      <c r="O714" s="1"/>
      <c r="P714" s="1"/>
      <c r="Q714" s="1"/>
      <c r="R714" s="1"/>
      <c r="S714" s="1"/>
      <c r="T714" s="1"/>
      <c r="U714" s="1"/>
      <c r="V714" s="1"/>
      <c r="W714" s="1"/>
      <c r="X714" s="1"/>
      <c r="Y714" s="1"/>
      <c r="Z714" s="1"/>
    </row>
    <row r="715">
      <c r="A715" s="1"/>
      <c r="B715" s="32"/>
      <c r="C715" s="1"/>
      <c r="D715" s="1"/>
      <c r="E715" s="1"/>
      <c r="F715" s="1"/>
      <c r="G715" s="1"/>
      <c r="H715" s="32"/>
      <c r="I715" s="1"/>
      <c r="J715" s="1"/>
      <c r="K715" s="1"/>
      <c r="L715" s="1"/>
      <c r="M715" s="1"/>
      <c r="N715" s="1"/>
      <c r="O715" s="1"/>
      <c r="P715" s="1"/>
      <c r="Q715" s="1"/>
      <c r="R715" s="1"/>
      <c r="S715" s="1"/>
      <c r="T715" s="1"/>
      <c r="U715" s="1"/>
      <c r="V715" s="1"/>
      <c r="W715" s="1"/>
      <c r="X715" s="1"/>
      <c r="Y715" s="1"/>
      <c r="Z715" s="1"/>
    </row>
    <row r="716">
      <c r="A716" s="1"/>
      <c r="B716" s="32"/>
      <c r="C716" s="1"/>
      <c r="D716" s="1"/>
      <c r="E716" s="1"/>
      <c r="F716" s="1"/>
      <c r="G716" s="1"/>
      <c r="H716" s="32"/>
      <c r="I716" s="1"/>
      <c r="J716" s="1"/>
      <c r="K716" s="1"/>
      <c r="L716" s="1"/>
      <c r="M716" s="1"/>
      <c r="N716" s="1"/>
      <c r="O716" s="1"/>
      <c r="P716" s="1"/>
      <c r="Q716" s="1"/>
      <c r="R716" s="1"/>
      <c r="S716" s="1"/>
      <c r="T716" s="1"/>
      <c r="U716" s="1"/>
      <c r="V716" s="1"/>
      <c r="W716" s="1"/>
      <c r="X716" s="1"/>
      <c r="Y716" s="1"/>
      <c r="Z716" s="1"/>
    </row>
    <row r="717">
      <c r="A717" s="1"/>
      <c r="B717" s="32"/>
      <c r="C717" s="1"/>
      <c r="D717" s="1"/>
      <c r="E717" s="1"/>
      <c r="F717" s="1"/>
      <c r="G717" s="1"/>
      <c r="H717" s="32"/>
      <c r="I717" s="1"/>
      <c r="J717" s="1"/>
      <c r="K717" s="1"/>
      <c r="L717" s="1"/>
      <c r="M717" s="1"/>
      <c r="N717" s="1"/>
      <c r="O717" s="1"/>
      <c r="P717" s="1"/>
      <c r="Q717" s="1"/>
      <c r="R717" s="1"/>
      <c r="S717" s="1"/>
      <c r="T717" s="1"/>
      <c r="U717" s="1"/>
      <c r="V717" s="1"/>
      <c r="W717" s="1"/>
      <c r="X717" s="1"/>
      <c r="Y717" s="1"/>
      <c r="Z717" s="1"/>
    </row>
    <row r="718">
      <c r="A718" s="1"/>
      <c r="B718" s="32"/>
      <c r="C718" s="1"/>
      <c r="D718" s="1"/>
      <c r="E718" s="1"/>
      <c r="F718" s="1"/>
      <c r="G718" s="1"/>
      <c r="H718" s="32"/>
      <c r="I718" s="1"/>
      <c r="J718" s="1"/>
      <c r="K718" s="1"/>
      <c r="L718" s="1"/>
      <c r="M718" s="1"/>
      <c r="N718" s="1"/>
      <c r="O718" s="1"/>
      <c r="P718" s="1"/>
      <c r="Q718" s="1"/>
      <c r="R718" s="1"/>
      <c r="S718" s="1"/>
      <c r="T718" s="1"/>
      <c r="U718" s="1"/>
      <c r="V718" s="1"/>
      <c r="W718" s="1"/>
      <c r="X718" s="1"/>
      <c r="Y718" s="1"/>
      <c r="Z718" s="1"/>
    </row>
    <row r="719">
      <c r="A719" s="1"/>
      <c r="B719" s="32"/>
      <c r="C719" s="1"/>
      <c r="D719" s="1"/>
      <c r="E719" s="1"/>
      <c r="F719" s="1"/>
      <c r="G719" s="1"/>
      <c r="H719" s="32"/>
      <c r="I719" s="1"/>
      <c r="J719" s="1"/>
      <c r="K719" s="1"/>
      <c r="L719" s="1"/>
      <c r="M719" s="1"/>
      <c r="N719" s="1"/>
      <c r="O719" s="1"/>
      <c r="P719" s="1"/>
      <c r="Q719" s="1"/>
      <c r="R719" s="1"/>
      <c r="S719" s="1"/>
      <c r="T719" s="1"/>
      <c r="U719" s="1"/>
      <c r="V719" s="1"/>
      <c r="W719" s="1"/>
      <c r="X719" s="1"/>
      <c r="Y719" s="1"/>
      <c r="Z719" s="1"/>
    </row>
    <row r="720">
      <c r="A720" s="1"/>
      <c r="B720" s="32"/>
      <c r="C720" s="1"/>
      <c r="D720" s="1"/>
      <c r="E720" s="1"/>
      <c r="F720" s="1"/>
      <c r="G720" s="1"/>
      <c r="H720" s="32"/>
      <c r="I720" s="1"/>
      <c r="J720" s="1"/>
      <c r="K720" s="1"/>
      <c r="L720" s="1"/>
      <c r="M720" s="1"/>
      <c r="N720" s="1"/>
      <c r="O720" s="1"/>
      <c r="P720" s="1"/>
      <c r="Q720" s="1"/>
      <c r="R720" s="1"/>
      <c r="S720" s="1"/>
      <c r="T720" s="1"/>
      <c r="U720" s="1"/>
      <c r="V720" s="1"/>
      <c r="W720" s="1"/>
      <c r="X720" s="1"/>
      <c r="Y720" s="1"/>
      <c r="Z720" s="1"/>
    </row>
    <row r="721">
      <c r="A721" s="1"/>
      <c r="B721" s="32"/>
      <c r="C721" s="1"/>
      <c r="D721" s="1"/>
      <c r="E721" s="1"/>
      <c r="F721" s="1"/>
      <c r="G721" s="1"/>
      <c r="H721" s="32"/>
      <c r="I721" s="1"/>
      <c r="J721" s="1"/>
      <c r="K721" s="1"/>
      <c r="L721" s="1"/>
      <c r="M721" s="1"/>
      <c r="N721" s="1"/>
      <c r="O721" s="1"/>
      <c r="P721" s="1"/>
      <c r="Q721" s="1"/>
      <c r="R721" s="1"/>
      <c r="S721" s="1"/>
      <c r="T721" s="1"/>
      <c r="U721" s="1"/>
      <c r="V721" s="1"/>
      <c r="W721" s="1"/>
      <c r="X721" s="1"/>
      <c r="Y721" s="1"/>
      <c r="Z721" s="1"/>
    </row>
    <row r="722">
      <c r="A722" s="1"/>
      <c r="B722" s="32"/>
      <c r="C722" s="1"/>
      <c r="D722" s="1"/>
      <c r="E722" s="1"/>
      <c r="F722" s="1"/>
      <c r="G722" s="1"/>
      <c r="H722" s="32"/>
      <c r="I722" s="1"/>
      <c r="J722" s="1"/>
      <c r="K722" s="1"/>
      <c r="L722" s="1"/>
      <c r="M722" s="1"/>
      <c r="N722" s="1"/>
      <c r="O722" s="1"/>
      <c r="P722" s="1"/>
      <c r="Q722" s="1"/>
      <c r="R722" s="1"/>
      <c r="S722" s="1"/>
      <c r="T722" s="1"/>
      <c r="U722" s="1"/>
      <c r="V722" s="1"/>
      <c r="W722" s="1"/>
      <c r="X722" s="1"/>
      <c r="Y722" s="1"/>
      <c r="Z722" s="1"/>
    </row>
    <row r="723">
      <c r="A723" s="1"/>
      <c r="B723" s="32"/>
      <c r="C723" s="1"/>
      <c r="D723" s="1"/>
      <c r="E723" s="1"/>
      <c r="F723" s="1"/>
      <c r="G723" s="1"/>
      <c r="H723" s="32"/>
      <c r="I723" s="1"/>
      <c r="J723" s="1"/>
      <c r="K723" s="1"/>
      <c r="L723" s="1"/>
      <c r="M723" s="1"/>
      <c r="N723" s="1"/>
      <c r="O723" s="1"/>
      <c r="P723" s="1"/>
      <c r="Q723" s="1"/>
      <c r="R723" s="1"/>
      <c r="S723" s="1"/>
      <c r="T723" s="1"/>
      <c r="U723" s="1"/>
      <c r="V723" s="1"/>
      <c r="W723" s="1"/>
      <c r="X723" s="1"/>
      <c r="Y723" s="1"/>
      <c r="Z723" s="1"/>
    </row>
    <row r="724">
      <c r="A724" s="1"/>
      <c r="B724" s="32"/>
      <c r="C724" s="1"/>
      <c r="D724" s="1"/>
      <c r="E724" s="1"/>
      <c r="F724" s="1"/>
      <c r="G724" s="1"/>
      <c r="H724" s="32"/>
      <c r="I724" s="1"/>
      <c r="J724" s="1"/>
      <c r="K724" s="1"/>
      <c r="L724" s="1"/>
      <c r="M724" s="1"/>
      <c r="N724" s="1"/>
      <c r="O724" s="1"/>
      <c r="P724" s="1"/>
      <c r="Q724" s="1"/>
      <c r="R724" s="1"/>
      <c r="S724" s="1"/>
      <c r="T724" s="1"/>
      <c r="U724" s="1"/>
      <c r="V724" s="1"/>
      <c r="W724" s="1"/>
      <c r="X724" s="1"/>
      <c r="Y724" s="1"/>
      <c r="Z724" s="1"/>
    </row>
    <row r="725">
      <c r="A725" s="1"/>
      <c r="B725" s="32"/>
      <c r="C725" s="1"/>
      <c r="D725" s="1"/>
      <c r="E725" s="1"/>
      <c r="F725" s="1"/>
      <c r="G725" s="1"/>
      <c r="H725" s="32"/>
      <c r="I725" s="1"/>
      <c r="J725" s="1"/>
      <c r="K725" s="1"/>
      <c r="L725" s="1"/>
      <c r="M725" s="1"/>
      <c r="N725" s="1"/>
      <c r="O725" s="1"/>
      <c r="P725" s="1"/>
      <c r="Q725" s="1"/>
      <c r="R725" s="1"/>
      <c r="S725" s="1"/>
      <c r="T725" s="1"/>
      <c r="U725" s="1"/>
      <c r="V725" s="1"/>
      <c r="W725" s="1"/>
      <c r="X725" s="1"/>
      <c r="Y725" s="1"/>
      <c r="Z725" s="1"/>
    </row>
    <row r="726">
      <c r="A726" s="1"/>
      <c r="B726" s="32"/>
      <c r="C726" s="1"/>
      <c r="D726" s="1"/>
      <c r="E726" s="1"/>
      <c r="F726" s="1"/>
      <c r="G726" s="1"/>
      <c r="H726" s="32"/>
      <c r="I726" s="1"/>
      <c r="J726" s="1"/>
      <c r="K726" s="1"/>
      <c r="L726" s="1"/>
      <c r="M726" s="1"/>
      <c r="N726" s="1"/>
      <c r="O726" s="1"/>
      <c r="P726" s="1"/>
      <c r="Q726" s="1"/>
      <c r="R726" s="1"/>
      <c r="S726" s="1"/>
      <c r="T726" s="1"/>
      <c r="U726" s="1"/>
      <c r="V726" s="1"/>
      <c r="W726" s="1"/>
      <c r="X726" s="1"/>
      <c r="Y726" s="1"/>
      <c r="Z726" s="1"/>
    </row>
    <row r="727">
      <c r="A727" s="1"/>
      <c r="B727" s="32"/>
      <c r="C727" s="1"/>
      <c r="D727" s="1"/>
      <c r="E727" s="1"/>
      <c r="F727" s="1"/>
      <c r="G727" s="1"/>
      <c r="H727" s="32"/>
      <c r="I727" s="1"/>
      <c r="J727" s="1"/>
      <c r="K727" s="1"/>
      <c r="L727" s="1"/>
      <c r="M727" s="1"/>
      <c r="N727" s="1"/>
      <c r="O727" s="1"/>
      <c r="P727" s="1"/>
      <c r="Q727" s="1"/>
      <c r="R727" s="1"/>
      <c r="S727" s="1"/>
      <c r="T727" s="1"/>
      <c r="U727" s="1"/>
      <c r="V727" s="1"/>
      <c r="W727" s="1"/>
      <c r="X727" s="1"/>
      <c r="Y727" s="1"/>
      <c r="Z727" s="1"/>
    </row>
    <row r="728">
      <c r="A728" s="1"/>
      <c r="B728" s="32"/>
      <c r="C728" s="1"/>
      <c r="D728" s="1"/>
      <c r="E728" s="1"/>
      <c r="F728" s="1"/>
      <c r="G728" s="1"/>
      <c r="H728" s="32"/>
      <c r="I728" s="1"/>
      <c r="J728" s="1"/>
      <c r="K728" s="1"/>
      <c r="L728" s="1"/>
      <c r="M728" s="1"/>
      <c r="N728" s="1"/>
      <c r="O728" s="1"/>
      <c r="P728" s="1"/>
      <c r="Q728" s="1"/>
      <c r="R728" s="1"/>
      <c r="S728" s="1"/>
      <c r="T728" s="1"/>
      <c r="U728" s="1"/>
      <c r="V728" s="1"/>
      <c r="W728" s="1"/>
      <c r="X728" s="1"/>
      <c r="Y728" s="1"/>
      <c r="Z728" s="1"/>
    </row>
    <row r="729">
      <c r="A729" s="1"/>
      <c r="B729" s="32"/>
      <c r="C729" s="1"/>
      <c r="D729" s="1"/>
      <c r="E729" s="1"/>
      <c r="F729" s="1"/>
      <c r="G729" s="1"/>
      <c r="H729" s="32"/>
      <c r="I729" s="1"/>
      <c r="J729" s="1"/>
      <c r="K729" s="1"/>
      <c r="L729" s="1"/>
      <c r="M729" s="1"/>
      <c r="N729" s="1"/>
      <c r="O729" s="1"/>
      <c r="P729" s="1"/>
      <c r="Q729" s="1"/>
      <c r="R729" s="1"/>
      <c r="S729" s="1"/>
      <c r="T729" s="1"/>
      <c r="U729" s="1"/>
      <c r="V729" s="1"/>
      <c r="W729" s="1"/>
      <c r="X729" s="1"/>
      <c r="Y729" s="1"/>
      <c r="Z729" s="1"/>
    </row>
    <row r="730">
      <c r="A730" s="1"/>
      <c r="B730" s="32"/>
      <c r="C730" s="1"/>
      <c r="D730" s="1"/>
      <c r="E730" s="1"/>
      <c r="F730" s="1"/>
      <c r="G730" s="1"/>
      <c r="H730" s="32"/>
      <c r="I730" s="1"/>
      <c r="J730" s="1"/>
      <c r="K730" s="1"/>
      <c r="L730" s="1"/>
      <c r="M730" s="1"/>
      <c r="N730" s="1"/>
      <c r="O730" s="1"/>
      <c r="P730" s="1"/>
      <c r="Q730" s="1"/>
      <c r="R730" s="1"/>
      <c r="S730" s="1"/>
      <c r="T730" s="1"/>
      <c r="U730" s="1"/>
      <c r="V730" s="1"/>
      <c r="W730" s="1"/>
      <c r="X730" s="1"/>
      <c r="Y730" s="1"/>
      <c r="Z730" s="1"/>
    </row>
    <row r="731">
      <c r="A731" s="1"/>
      <c r="B731" s="32"/>
      <c r="C731" s="1"/>
      <c r="D731" s="1"/>
      <c r="E731" s="1"/>
      <c r="F731" s="1"/>
      <c r="G731" s="1"/>
      <c r="H731" s="32"/>
      <c r="I731" s="1"/>
      <c r="J731" s="1"/>
      <c r="K731" s="1"/>
      <c r="L731" s="1"/>
      <c r="M731" s="1"/>
      <c r="N731" s="1"/>
      <c r="O731" s="1"/>
      <c r="P731" s="1"/>
      <c r="Q731" s="1"/>
      <c r="R731" s="1"/>
      <c r="S731" s="1"/>
      <c r="T731" s="1"/>
      <c r="U731" s="1"/>
      <c r="V731" s="1"/>
      <c r="W731" s="1"/>
      <c r="X731" s="1"/>
      <c r="Y731" s="1"/>
      <c r="Z731" s="1"/>
    </row>
    <row r="732">
      <c r="A732" s="1"/>
      <c r="B732" s="32"/>
      <c r="C732" s="1"/>
      <c r="D732" s="1"/>
      <c r="E732" s="1"/>
      <c r="F732" s="1"/>
      <c r="G732" s="1"/>
      <c r="H732" s="32"/>
      <c r="I732" s="1"/>
      <c r="J732" s="1"/>
      <c r="K732" s="1"/>
      <c r="L732" s="1"/>
      <c r="M732" s="1"/>
      <c r="N732" s="1"/>
      <c r="O732" s="1"/>
      <c r="P732" s="1"/>
      <c r="Q732" s="1"/>
      <c r="R732" s="1"/>
      <c r="S732" s="1"/>
      <c r="T732" s="1"/>
      <c r="U732" s="1"/>
      <c r="V732" s="1"/>
      <c r="W732" s="1"/>
      <c r="X732" s="1"/>
      <c r="Y732" s="1"/>
      <c r="Z732" s="1"/>
    </row>
    <row r="733">
      <c r="A733" s="1"/>
      <c r="B733" s="32"/>
      <c r="C733" s="1"/>
      <c r="D733" s="1"/>
      <c r="E733" s="1"/>
      <c r="F733" s="1"/>
      <c r="G733" s="1"/>
      <c r="H733" s="32"/>
      <c r="I733" s="1"/>
      <c r="J733" s="1"/>
      <c r="K733" s="1"/>
      <c r="L733" s="1"/>
      <c r="M733" s="1"/>
      <c r="N733" s="1"/>
      <c r="O733" s="1"/>
      <c r="P733" s="1"/>
      <c r="Q733" s="1"/>
      <c r="R733" s="1"/>
      <c r="S733" s="1"/>
      <c r="T733" s="1"/>
      <c r="U733" s="1"/>
      <c r="V733" s="1"/>
      <c r="W733" s="1"/>
      <c r="X733" s="1"/>
      <c r="Y733" s="1"/>
      <c r="Z733" s="1"/>
    </row>
    <row r="734">
      <c r="A734" s="1"/>
      <c r="B734" s="32"/>
      <c r="C734" s="1"/>
      <c r="D734" s="1"/>
      <c r="E734" s="1"/>
      <c r="F734" s="1"/>
      <c r="G734" s="1"/>
      <c r="H734" s="32"/>
      <c r="I734" s="1"/>
      <c r="J734" s="1"/>
      <c r="K734" s="1"/>
      <c r="L734" s="1"/>
      <c r="M734" s="1"/>
      <c r="N734" s="1"/>
      <c r="O734" s="1"/>
      <c r="P734" s="1"/>
      <c r="Q734" s="1"/>
      <c r="R734" s="1"/>
      <c r="S734" s="1"/>
      <c r="T734" s="1"/>
      <c r="U734" s="1"/>
      <c r="V734" s="1"/>
      <c r="W734" s="1"/>
      <c r="X734" s="1"/>
      <c r="Y734" s="1"/>
      <c r="Z734" s="1"/>
    </row>
    <row r="735">
      <c r="A735" s="1"/>
      <c r="B735" s="32"/>
      <c r="C735" s="1"/>
      <c r="D735" s="1"/>
      <c r="E735" s="1"/>
      <c r="F735" s="1"/>
      <c r="G735" s="1"/>
      <c r="H735" s="32"/>
      <c r="I735" s="1"/>
      <c r="J735" s="1"/>
      <c r="K735" s="1"/>
      <c r="L735" s="1"/>
      <c r="M735" s="1"/>
      <c r="N735" s="1"/>
      <c r="O735" s="1"/>
      <c r="P735" s="1"/>
      <c r="Q735" s="1"/>
      <c r="R735" s="1"/>
      <c r="S735" s="1"/>
      <c r="T735" s="1"/>
      <c r="U735" s="1"/>
      <c r="V735" s="1"/>
      <c r="W735" s="1"/>
      <c r="X735" s="1"/>
      <c r="Y735" s="1"/>
      <c r="Z735" s="1"/>
    </row>
    <row r="736">
      <c r="A736" s="1"/>
      <c r="B736" s="32"/>
      <c r="C736" s="1"/>
      <c r="D736" s="1"/>
      <c r="E736" s="1"/>
      <c r="F736" s="1"/>
      <c r="G736" s="1"/>
      <c r="H736" s="32"/>
      <c r="I736" s="1"/>
      <c r="J736" s="1"/>
      <c r="K736" s="1"/>
      <c r="L736" s="1"/>
      <c r="M736" s="1"/>
      <c r="N736" s="1"/>
      <c r="O736" s="1"/>
      <c r="P736" s="1"/>
      <c r="Q736" s="1"/>
      <c r="R736" s="1"/>
      <c r="S736" s="1"/>
      <c r="T736" s="1"/>
      <c r="U736" s="1"/>
      <c r="V736" s="1"/>
      <c r="W736" s="1"/>
      <c r="X736" s="1"/>
      <c r="Y736" s="1"/>
      <c r="Z736" s="1"/>
    </row>
    <row r="737">
      <c r="A737" s="1"/>
      <c r="B737" s="32"/>
      <c r="C737" s="1"/>
      <c r="D737" s="1"/>
      <c r="E737" s="1"/>
      <c r="F737" s="1"/>
      <c r="G737" s="1"/>
      <c r="H737" s="32"/>
      <c r="I737" s="1"/>
      <c r="J737" s="1"/>
      <c r="K737" s="1"/>
      <c r="L737" s="1"/>
      <c r="M737" s="1"/>
      <c r="N737" s="1"/>
      <c r="O737" s="1"/>
      <c r="P737" s="1"/>
      <c r="Q737" s="1"/>
      <c r="R737" s="1"/>
      <c r="S737" s="1"/>
      <c r="T737" s="1"/>
      <c r="U737" s="1"/>
      <c r="V737" s="1"/>
      <c r="W737" s="1"/>
      <c r="X737" s="1"/>
      <c r="Y737" s="1"/>
      <c r="Z737" s="1"/>
    </row>
    <row r="738">
      <c r="A738" s="1"/>
      <c r="B738" s="32"/>
      <c r="C738" s="1"/>
      <c r="D738" s="1"/>
      <c r="E738" s="1"/>
      <c r="F738" s="1"/>
      <c r="G738" s="1"/>
      <c r="H738" s="32"/>
      <c r="I738" s="1"/>
      <c r="J738" s="1"/>
      <c r="K738" s="1"/>
      <c r="L738" s="1"/>
      <c r="M738" s="1"/>
      <c r="N738" s="1"/>
      <c r="O738" s="1"/>
      <c r="P738" s="1"/>
      <c r="Q738" s="1"/>
      <c r="R738" s="1"/>
      <c r="S738" s="1"/>
      <c r="T738" s="1"/>
      <c r="U738" s="1"/>
      <c r="V738" s="1"/>
      <c r="W738" s="1"/>
      <c r="X738" s="1"/>
      <c r="Y738" s="1"/>
      <c r="Z738" s="1"/>
    </row>
    <row r="739">
      <c r="A739" s="1"/>
      <c r="B739" s="32"/>
      <c r="C739" s="1"/>
      <c r="D739" s="1"/>
      <c r="E739" s="1"/>
      <c r="F739" s="1"/>
      <c r="G739" s="1"/>
      <c r="H739" s="32"/>
      <c r="I739" s="1"/>
      <c r="J739" s="1"/>
      <c r="K739" s="1"/>
      <c r="L739" s="1"/>
      <c r="M739" s="1"/>
      <c r="N739" s="1"/>
      <c r="O739" s="1"/>
      <c r="P739" s="1"/>
      <c r="Q739" s="1"/>
      <c r="R739" s="1"/>
      <c r="S739" s="1"/>
      <c r="T739" s="1"/>
      <c r="U739" s="1"/>
      <c r="V739" s="1"/>
      <c r="W739" s="1"/>
      <c r="X739" s="1"/>
      <c r="Y739" s="1"/>
      <c r="Z739" s="1"/>
    </row>
    <row r="740">
      <c r="A740" s="1"/>
      <c r="B740" s="32"/>
      <c r="C740" s="1"/>
      <c r="D740" s="1"/>
      <c r="E740" s="1"/>
      <c r="F740" s="1"/>
      <c r="G740" s="1"/>
      <c r="H740" s="32"/>
      <c r="I740" s="1"/>
      <c r="J740" s="1"/>
      <c r="K740" s="1"/>
      <c r="L740" s="1"/>
      <c r="M740" s="1"/>
      <c r="N740" s="1"/>
      <c r="O740" s="1"/>
      <c r="P740" s="1"/>
      <c r="Q740" s="1"/>
      <c r="R740" s="1"/>
      <c r="S740" s="1"/>
      <c r="T740" s="1"/>
      <c r="U740" s="1"/>
      <c r="V740" s="1"/>
      <c r="W740" s="1"/>
      <c r="X740" s="1"/>
      <c r="Y740" s="1"/>
      <c r="Z740" s="1"/>
    </row>
    <row r="741">
      <c r="A741" s="1"/>
      <c r="B741" s="32"/>
      <c r="C741" s="1"/>
      <c r="D741" s="1"/>
      <c r="E741" s="1"/>
      <c r="F741" s="1"/>
      <c r="G741" s="1"/>
      <c r="H741" s="32"/>
      <c r="I741" s="1"/>
      <c r="J741" s="1"/>
      <c r="K741" s="1"/>
      <c r="L741" s="1"/>
      <c r="M741" s="1"/>
      <c r="N741" s="1"/>
      <c r="O741" s="1"/>
      <c r="P741" s="1"/>
      <c r="Q741" s="1"/>
      <c r="R741" s="1"/>
      <c r="S741" s="1"/>
      <c r="T741" s="1"/>
      <c r="U741" s="1"/>
      <c r="V741" s="1"/>
      <c r="W741" s="1"/>
      <c r="X741" s="1"/>
      <c r="Y741" s="1"/>
      <c r="Z741" s="1"/>
    </row>
    <row r="742">
      <c r="A742" s="1"/>
      <c r="B742" s="32"/>
      <c r="C742" s="1"/>
      <c r="D742" s="1"/>
      <c r="E742" s="1"/>
      <c r="F742" s="1"/>
      <c r="G742" s="1"/>
      <c r="H742" s="32"/>
      <c r="I742" s="1"/>
      <c r="J742" s="1"/>
      <c r="K742" s="1"/>
      <c r="L742" s="1"/>
      <c r="M742" s="1"/>
      <c r="N742" s="1"/>
      <c r="O742" s="1"/>
      <c r="P742" s="1"/>
      <c r="Q742" s="1"/>
      <c r="R742" s="1"/>
      <c r="S742" s="1"/>
      <c r="T742" s="1"/>
      <c r="U742" s="1"/>
      <c r="V742" s="1"/>
      <c r="W742" s="1"/>
      <c r="X742" s="1"/>
      <c r="Y742" s="1"/>
      <c r="Z742" s="1"/>
    </row>
    <row r="743">
      <c r="A743" s="1"/>
      <c r="B743" s="32"/>
      <c r="C743" s="1"/>
      <c r="D743" s="1"/>
      <c r="E743" s="1"/>
      <c r="F743" s="1"/>
      <c r="G743" s="1"/>
      <c r="H743" s="32"/>
      <c r="I743" s="1"/>
      <c r="J743" s="1"/>
      <c r="K743" s="1"/>
      <c r="L743" s="1"/>
      <c r="M743" s="1"/>
      <c r="N743" s="1"/>
      <c r="O743" s="1"/>
      <c r="P743" s="1"/>
      <c r="Q743" s="1"/>
      <c r="R743" s="1"/>
      <c r="S743" s="1"/>
      <c r="T743" s="1"/>
      <c r="U743" s="1"/>
      <c r="V743" s="1"/>
      <c r="W743" s="1"/>
      <c r="X743" s="1"/>
      <c r="Y743" s="1"/>
      <c r="Z743" s="1"/>
    </row>
    <row r="744">
      <c r="A744" s="1"/>
      <c r="B744" s="32"/>
      <c r="C744" s="1"/>
      <c r="D744" s="1"/>
      <c r="E744" s="1"/>
      <c r="F744" s="1"/>
      <c r="G744" s="1"/>
      <c r="H744" s="32"/>
      <c r="I744" s="1"/>
      <c r="J744" s="1"/>
      <c r="K744" s="1"/>
      <c r="L744" s="1"/>
      <c r="M744" s="1"/>
      <c r="N744" s="1"/>
      <c r="O744" s="1"/>
      <c r="P744" s="1"/>
      <c r="Q744" s="1"/>
      <c r="R744" s="1"/>
      <c r="S744" s="1"/>
      <c r="T744" s="1"/>
      <c r="U744" s="1"/>
      <c r="V744" s="1"/>
      <c r="W744" s="1"/>
      <c r="X744" s="1"/>
      <c r="Y744" s="1"/>
      <c r="Z744" s="1"/>
    </row>
    <row r="745">
      <c r="A745" s="1"/>
      <c r="B745" s="32"/>
      <c r="C745" s="1"/>
      <c r="D745" s="1"/>
      <c r="E745" s="1"/>
      <c r="F745" s="1"/>
      <c r="G745" s="1"/>
      <c r="H745" s="32"/>
      <c r="I745" s="1"/>
      <c r="J745" s="1"/>
      <c r="K745" s="1"/>
      <c r="L745" s="1"/>
      <c r="M745" s="1"/>
      <c r="N745" s="1"/>
      <c r="O745" s="1"/>
      <c r="P745" s="1"/>
      <c r="Q745" s="1"/>
      <c r="R745" s="1"/>
      <c r="S745" s="1"/>
      <c r="T745" s="1"/>
      <c r="U745" s="1"/>
      <c r="V745" s="1"/>
      <c r="W745" s="1"/>
      <c r="X745" s="1"/>
      <c r="Y745" s="1"/>
      <c r="Z745" s="1"/>
    </row>
    <row r="746">
      <c r="A746" s="1"/>
      <c r="B746" s="32"/>
      <c r="C746" s="1"/>
      <c r="D746" s="1"/>
      <c r="E746" s="1"/>
      <c r="F746" s="1"/>
      <c r="G746" s="1"/>
      <c r="H746" s="32"/>
      <c r="I746" s="1"/>
      <c r="J746" s="1"/>
      <c r="K746" s="1"/>
      <c r="L746" s="1"/>
      <c r="M746" s="1"/>
      <c r="N746" s="1"/>
      <c r="O746" s="1"/>
      <c r="P746" s="1"/>
      <c r="Q746" s="1"/>
      <c r="R746" s="1"/>
      <c r="S746" s="1"/>
      <c r="T746" s="1"/>
      <c r="U746" s="1"/>
      <c r="V746" s="1"/>
      <c r="W746" s="1"/>
      <c r="X746" s="1"/>
      <c r="Y746" s="1"/>
      <c r="Z746" s="1"/>
    </row>
    <row r="747">
      <c r="A747" s="1"/>
      <c r="B747" s="32"/>
      <c r="C747" s="1"/>
      <c r="D747" s="1"/>
      <c r="E747" s="1"/>
      <c r="F747" s="1"/>
      <c r="G747" s="1"/>
      <c r="H747" s="32"/>
      <c r="I747" s="1"/>
      <c r="J747" s="1"/>
      <c r="K747" s="1"/>
      <c r="L747" s="1"/>
      <c r="M747" s="1"/>
      <c r="N747" s="1"/>
      <c r="O747" s="1"/>
      <c r="P747" s="1"/>
      <c r="Q747" s="1"/>
      <c r="R747" s="1"/>
      <c r="S747" s="1"/>
      <c r="T747" s="1"/>
      <c r="U747" s="1"/>
      <c r="V747" s="1"/>
      <c r="W747" s="1"/>
      <c r="X747" s="1"/>
      <c r="Y747" s="1"/>
      <c r="Z747" s="1"/>
    </row>
    <row r="748">
      <c r="A748" s="1"/>
      <c r="B748" s="32"/>
      <c r="C748" s="1"/>
      <c r="D748" s="1"/>
      <c r="E748" s="1"/>
      <c r="F748" s="1"/>
      <c r="G748" s="1"/>
      <c r="H748" s="32"/>
      <c r="I748" s="1"/>
      <c r="J748" s="1"/>
      <c r="K748" s="1"/>
      <c r="L748" s="1"/>
      <c r="M748" s="1"/>
      <c r="N748" s="1"/>
      <c r="O748" s="1"/>
      <c r="P748" s="1"/>
      <c r="Q748" s="1"/>
      <c r="R748" s="1"/>
      <c r="S748" s="1"/>
      <c r="T748" s="1"/>
      <c r="U748" s="1"/>
      <c r="V748" s="1"/>
      <c r="W748" s="1"/>
      <c r="X748" s="1"/>
      <c r="Y748" s="1"/>
      <c r="Z748" s="1"/>
    </row>
    <row r="749">
      <c r="A749" s="1"/>
      <c r="B749" s="32"/>
      <c r="C749" s="1"/>
      <c r="D749" s="1"/>
      <c r="E749" s="1"/>
      <c r="F749" s="1"/>
      <c r="G749" s="1"/>
      <c r="H749" s="32"/>
      <c r="I749" s="1"/>
      <c r="J749" s="1"/>
      <c r="K749" s="1"/>
      <c r="L749" s="1"/>
      <c r="M749" s="1"/>
      <c r="N749" s="1"/>
      <c r="O749" s="1"/>
      <c r="P749" s="1"/>
      <c r="Q749" s="1"/>
      <c r="R749" s="1"/>
      <c r="S749" s="1"/>
      <c r="T749" s="1"/>
      <c r="U749" s="1"/>
      <c r="V749" s="1"/>
      <c r="W749" s="1"/>
      <c r="X749" s="1"/>
      <c r="Y749" s="1"/>
      <c r="Z749" s="1"/>
    </row>
    <row r="750">
      <c r="A750" s="1"/>
      <c r="B750" s="32"/>
      <c r="C750" s="1"/>
      <c r="D750" s="1"/>
      <c r="E750" s="1"/>
      <c r="F750" s="1"/>
      <c r="G750" s="1"/>
      <c r="H750" s="32"/>
      <c r="I750" s="1"/>
      <c r="J750" s="1"/>
      <c r="K750" s="1"/>
      <c r="L750" s="1"/>
      <c r="M750" s="1"/>
      <c r="N750" s="1"/>
      <c r="O750" s="1"/>
      <c r="P750" s="1"/>
      <c r="Q750" s="1"/>
      <c r="R750" s="1"/>
      <c r="S750" s="1"/>
      <c r="T750" s="1"/>
      <c r="U750" s="1"/>
      <c r="V750" s="1"/>
      <c r="W750" s="1"/>
      <c r="X750" s="1"/>
      <c r="Y750" s="1"/>
      <c r="Z750" s="1"/>
    </row>
    <row r="751">
      <c r="A751" s="1"/>
      <c r="B751" s="32"/>
      <c r="C751" s="1"/>
      <c r="D751" s="1"/>
      <c r="E751" s="1"/>
      <c r="F751" s="1"/>
      <c r="G751" s="1"/>
      <c r="H751" s="32"/>
      <c r="I751" s="1"/>
      <c r="J751" s="1"/>
      <c r="K751" s="1"/>
      <c r="L751" s="1"/>
      <c r="M751" s="1"/>
      <c r="N751" s="1"/>
      <c r="O751" s="1"/>
      <c r="P751" s="1"/>
      <c r="Q751" s="1"/>
      <c r="R751" s="1"/>
      <c r="S751" s="1"/>
      <c r="T751" s="1"/>
      <c r="U751" s="1"/>
      <c r="V751" s="1"/>
      <c r="W751" s="1"/>
      <c r="X751" s="1"/>
      <c r="Y751" s="1"/>
      <c r="Z751" s="1"/>
    </row>
    <row r="752">
      <c r="A752" s="1"/>
      <c r="B752" s="32"/>
      <c r="C752" s="1"/>
      <c r="D752" s="1"/>
      <c r="E752" s="1"/>
      <c r="F752" s="1"/>
      <c r="G752" s="1"/>
      <c r="H752" s="32"/>
      <c r="I752" s="1"/>
      <c r="J752" s="1"/>
      <c r="K752" s="1"/>
      <c r="L752" s="1"/>
      <c r="M752" s="1"/>
      <c r="N752" s="1"/>
      <c r="O752" s="1"/>
      <c r="P752" s="1"/>
      <c r="Q752" s="1"/>
      <c r="R752" s="1"/>
      <c r="S752" s="1"/>
      <c r="T752" s="1"/>
      <c r="U752" s="1"/>
      <c r="V752" s="1"/>
      <c r="W752" s="1"/>
      <c r="X752" s="1"/>
      <c r="Y752" s="1"/>
      <c r="Z752" s="1"/>
    </row>
    <row r="753">
      <c r="A753" s="1"/>
      <c r="B753" s="32"/>
      <c r="C753" s="1"/>
      <c r="D753" s="1"/>
      <c r="E753" s="1"/>
      <c r="F753" s="1"/>
      <c r="G753" s="1"/>
      <c r="H753" s="32"/>
      <c r="I753" s="1"/>
      <c r="J753" s="1"/>
      <c r="K753" s="1"/>
      <c r="L753" s="1"/>
      <c r="M753" s="1"/>
      <c r="N753" s="1"/>
      <c r="O753" s="1"/>
      <c r="P753" s="1"/>
      <c r="Q753" s="1"/>
      <c r="R753" s="1"/>
      <c r="S753" s="1"/>
      <c r="T753" s="1"/>
      <c r="U753" s="1"/>
      <c r="V753" s="1"/>
      <c r="W753" s="1"/>
      <c r="X753" s="1"/>
      <c r="Y753" s="1"/>
      <c r="Z753" s="1"/>
    </row>
    <row r="754">
      <c r="A754" s="1"/>
      <c r="B754" s="32"/>
      <c r="C754" s="1"/>
      <c r="D754" s="1"/>
      <c r="E754" s="1"/>
      <c r="F754" s="1"/>
      <c r="G754" s="1"/>
      <c r="H754" s="32"/>
      <c r="I754" s="1"/>
      <c r="J754" s="1"/>
      <c r="K754" s="1"/>
      <c r="L754" s="1"/>
      <c r="M754" s="1"/>
      <c r="N754" s="1"/>
      <c r="O754" s="1"/>
      <c r="P754" s="1"/>
      <c r="Q754" s="1"/>
      <c r="R754" s="1"/>
      <c r="S754" s="1"/>
      <c r="T754" s="1"/>
      <c r="U754" s="1"/>
      <c r="V754" s="1"/>
      <c r="W754" s="1"/>
      <c r="X754" s="1"/>
      <c r="Y754" s="1"/>
      <c r="Z754" s="1"/>
    </row>
    <row r="755">
      <c r="A755" s="1"/>
      <c r="B755" s="32"/>
      <c r="C755" s="1"/>
      <c r="D755" s="1"/>
      <c r="E755" s="1"/>
      <c r="F755" s="1"/>
      <c r="G755" s="1"/>
      <c r="H755" s="32"/>
      <c r="I755" s="1"/>
      <c r="J755" s="1"/>
      <c r="K755" s="1"/>
      <c r="L755" s="1"/>
      <c r="M755" s="1"/>
      <c r="N755" s="1"/>
      <c r="O755" s="1"/>
      <c r="P755" s="1"/>
      <c r="Q755" s="1"/>
      <c r="R755" s="1"/>
      <c r="S755" s="1"/>
      <c r="T755" s="1"/>
      <c r="U755" s="1"/>
      <c r="V755" s="1"/>
      <c r="W755" s="1"/>
      <c r="X755" s="1"/>
      <c r="Y755" s="1"/>
      <c r="Z755" s="1"/>
    </row>
    <row r="756">
      <c r="A756" s="1"/>
      <c r="B756" s="32"/>
      <c r="C756" s="1"/>
      <c r="D756" s="1"/>
      <c r="E756" s="1"/>
      <c r="F756" s="1"/>
      <c r="G756" s="1"/>
      <c r="H756" s="32"/>
      <c r="I756" s="1"/>
      <c r="J756" s="1"/>
      <c r="K756" s="1"/>
      <c r="L756" s="1"/>
      <c r="M756" s="1"/>
      <c r="N756" s="1"/>
      <c r="O756" s="1"/>
      <c r="P756" s="1"/>
      <c r="Q756" s="1"/>
      <c r="R756" s="1"/>
      <c r="S756" s="1"/>
      <c r="T756" s="1"/>
      <c r="U756" s="1"/>
      <c r="V756" s="1"/>
      <c r="W756" s="1"/>
      <c r="X756" s="1"/>
      <c r="Y756" s="1"/>
      <c r="Z756" s="1"/>
    </row>
    <row r="757">
      <c r="A757" s="1"/>
      <c r="B757" s="32"/>
      <c r="C757" s="1"/>
      <c r="D757" s="1"/>
      <c r="E757" s="1"/>
      <c r="F757" s="1"/>
      <c r="G757" s="1"/>
      <c r="H757" s="32"/>
      <c r="I757" s="1"/>
      <c r="J757" s="1"/>
      <c r="K757" s="1"/>
      <c r="L757" s="1"/>
      <c r="M757" s="1"/>
      <c r="N757" s="1"/>
      <c r="O757" s="1"/>
      <c r="P757" s="1"/>
      <c r="Q757" s="1"/>
      <c r="R757" s="1"/>
      <c r="S757" s="1"/>
      <c r="T757" s="1"/>
      <c r="U757" s="1"/>
      <c r="V757" s="1"/>
      <c r="W757" s="1"/>
      <c r="X757" s="1"/>
      <c r="Y757" s="1"/>
      <c r="Z757" s="1"/>
    </row>
    <row r="758">
      <c r="A758" s="1"/>
      <c r="B758" s="32"/>
      <c r="C758" s="1"/>
      <c r="D758" s="1"/>
      <c r="E758" s="1"/>
      <c r="F758" s="1"/>
      <c r="G758" s="1"/>
      <c r="H758" s="32"/>
      <c r="I758" s="1"/>
      <c r="J758" s="1"/>
      <c r="K758" s="1"/>
      <c r="L758" s="1"/>
      <c r="M758" s="1"/>
      <c r="N758" s="1"/>
      <c r="O758" s="1"/>
      <c r="P758" s="1"/>
      <c r="Q758" s="1"/>
      <c r="R758" s="1"/>
      <c r="S758" s="1"/>
      <c r="T758" s="1"/>
      <c r="U758" s="1"/>
      <c r="V758" s="1"/>
      <c r="W758" s="1"/>
      <c r="X758" s="1"/>
      <c r="Y758" s="1"/>
      <c r="Z758" s="1"/>
    </row>
    <row r="759">
      <c r="A759" s="1"/>
      <c r="B759" s="32"/>
      <c r="C759" s="1"/>
      <c r="D759" s="1"/>
      <c r="E759" s="1"/>
      <c r="F759" s="1"/>
      <c r="G759" s="1"/>
      <c r="H759" s="32"/>
      <c r="I759" s="1"/>
      <c r="J759" s="1"/>
      <c r="K759" s="1"/>
      <c r="L759" s="1"/>
      <c r="M759" s="1"/>
      <c r="N759" s="1"/>
      <c r="O759" s="1"/>
      <c r="P759" s="1"/>
      <c r="Q759" s="1"/>
      <c r="R759" s="1"/>
      <c r="S759" s="1"/>
      <c r="T759" s="1"/>
      <c r="U759" s="1"/>
      <c r="V759" s="1"/>
      <c r="W759" s="1"/>
      <c r="X759" s="1"/>
      <c r="Y759" s="1"/>
      <c r="Z759" s="1"/>
    </row>
    <row r="760">
      <c r="A760" s="1"/>
      <c r="B760" s="32"/>
      <c r="C760" s="1"/>
      <c r="D760" s="1"/>
      <c r="E760" s="1"/>
      <c r="F760" s="1"/>
      <c r="G760" s="1"/>
      <c r="H760" s="32"/>
      <c r="I760" s="1"/>
      <c r="J760" s="1"/>
      <c r="K760" s="1"/>
      <c r="L760" s="1"/>
      <c r="M760" s="1"/>
      <c r="N760" s="1"/>
      <c r="O760" s="1"/>
      <c r="P760" s="1"/>
      <c r="Q760" s="1"/>
      <c r="R760" s="1"/>
      <c r="S760" s="1"/>
      <c r="T760" s="1"/>
      <c r="U760" s="1"/>
      <c r="V760" s="1"/>
      <c r="W760" s="1"/>
      <c r="X760" s="1"/>
      <c r="Y760" s="1"/>
      <c r="Z760" s="1"/>
    </row>
    <row r="761">
      <c r="A761" s="1"/>
      <c r="B761" s="32"/>
      <c r="C761" s="1"/>
      <c r="D761" s="1"/>
      <c r="E761" s="1"/>
      <c r="F761" s="1"/>
      <c r="G761" s="1"/>
      <c r="H761" s="32"/>
      <c r="I761" s="1"/>
      <c r="J761" s="1"/>
      <c r="K761" s="1"/>
      <c r="L761" s="1"/>
      <c r="M761" s="1"/>
      <c r="N761" s="1"/>
      <c r="O761" s="1"/>
      <c r="P761" s="1"/>
      <c r="Q761" s="1"/>
      <c r="R761" s="1"/>
      <c r="S761" s="1"/>
      <c r="T761" s="1"/>
      <c r="U761" s="1"/>
      <c r="V761" s="1"/>
      <c r="W761" s="1"/>
      <c r="X761" s="1"/>
      <c r="Y761" s="1"/>
      <c r="Z761" s="1"/>
    </row>
    <row r="762">
      <c r="A762" s="1"/>
      <c r="B762" s="32"/>
      <c r="C762" s="1"/>
      <c r="D762" s="1"/>
      <c r="E762" s="1"/>
      <c r="F762" s="1"/>
      <c r="G762" s="1"/>
      <c r="H762" s="32"/>
      <c r="I762" s="1"/>
      <c r="J762" s="1"/>
      <c r="K762" s="1"/>
      <c r="L762" s="1"/>
      <c r="M762" s="1"/>
      <c r="N762" s="1"/>
      <c r="O762" s="1"/>
      <c r="P762" s="1"/>
      <c r="Q762" s="1"/>
      <c r="R762" s="1"/>
      <c r="S762" s="1"/>
      <c r="T762" s="1"/>
      <c r="U762" s="1"/>
      <c r="V762" s="1"/>
      <c r="W762" s="1"/>
      <c r="X762" s="1"/>
      <c r="Y762" s="1"/>
      <c r="Z762" s="1"/>
    </row>
    <row r="763">
      <c r="A763" s="1"/>
      <c r="B763" s="32"/>
      <c r="C763" s="1"/>
      <c r="D763" s="1"/>
      <c r="E763" s="1"/>
      <c r="F763" s="1"/>
      <c r="G763" s="1"/>
      <c r="H763" s="32"/>
      <c r="I763" s="1"/>
      <c r="J763" s="1"/>
      <c r="K763" s="1"/>
      <c r="L763" s="1"/>
      <c r="M763" s="1"/>
      <c r="N763" s="1"/>
      <c r="O763" s="1"/>
      <c r="P763" s="1"/>
      <c r="Q763" s="1"/>
      <c r="R763" s="1"/>
      <c r="S763" s="1"/>
      <c r="T763" s="1"/>
      <c r="U763" s="1"/>
      <c r="V763" s="1"/>
      <c r="W763" s="1"/>
      <c r="X763" s="1"/>
      <c r="Y763" s="1"/>
      <c r="Z763" s="1"/>
    </row>
    <row r="764">
      <c r="A764" s="1"/>
      <c r="B764" s="32"/>
      <c r="C764" s="1"/>
      <c r="D764" s="1"/>
      <c r="E764" s="1"/>
      <c r="F764" s="1"/>
      <c r="G764" s="1"/>
      <c r="H764" s="32"/>
      <c r="I764" s="1"/>
      <c r="J764" s="1"/>
      <c r="K764" s="1"/>
      <c r="L764" s="1"/>
      <c r="M764" s="1"/>
      <c r="N764" s="1"/>
      <c r="O764" s="1"/>
      <c r="P764" s="1"/>
      <c r="Q764" s="1"/>
      <c r="R764" s="1"/>
      <c r="S764" s="1"/>
      <c r="T764" s="1"/>
      <c r="U764" s="1"/>
      <c r="V764" s="1"/>
      <c r="W764" s="1"/>
      <c r="X764" s="1"/>
      <c r="Y764" s="1"/>
      <c r="Z764" s="1"/>
    </row>
    <row r="765">
      <c r="A765" s="1"/>
      <c r="B765" s="32"/>
      <c r="C765" s="1"/>
      <c r="D765" s="1"/>
      <c r="E765" s="1"/>
      <c r="F765" s="1"/>
      <c r="G765" s="1"/>
      <c r="H765" s="32"/>
      <c r="I765" s="1"/>
      <c r="J765" s="1"/>
      <c r="K765" s="1"/>
      <c r="L765" s="1"/>
      <c r="M765" s="1"/>
      <c r="N765" s="1"/>
      <c r="O765" s="1"/>
      <c r="P765" s="1"/>
      <c r="Q765" s="1"/>
      <c r="R765" s="1"/>
      <c r="S765" s="1"/>
      <c r="T765" s="1"/>
      <c r="U765" s="1"/>
      <c r="V765" s="1"/>
      <c r="W765" s="1"/>
      <c r="X765" s="1"/>
      <c r="Y765" s="1"/>
      <c r="Z765" s="1"/>
    </row>
    <row r="766">
      <c r="A766" s="1"/>
      <c r="B766" s="32"/>
      <c r="C766" s="1"/>
      <c r="D766" s="1"/>
      <c r="E766" s="1"/>
      <c r="F766" s="1"/>
      <c r="G766" s="1"/>
      <c r="H766" s="32"/>
      <c r="I766" s="1"/>
      <c r="J766" s="1"/>
      <c r="K766" s="1"/>
      <c r="L766" s="1"/>
      <c r="M766" s="1"/>
      <c r="N766" s="1"/>
      <c r="O766" s="1"/>
      <c r="P766" s="1"/>
      <c r="Q766" s="1"/>
      <c r="R766" s="1"/>
      <c r="S766" s="1"/>
      <c r="T766" s="1"/>
      <c r="U766" s="1"/>
      <c r="V766" s="1"/>
      <c r="W766" s="1"/>
      <c r="X766" s="1"/>
      <c r="Y766" s="1"/>
      <c r="Z766" s="1"/>
    </row>
    <row r="767">
      <c r="A767" s="1"/>
      <c r="B767" s="32"/>
      <c r="C767" s="1"/>
      <c r="D767" s="1"/>
      <c r="E767" s="1"/>
      <c r="F767" s="1"/>
      <c r="G767" s="1"/>
      <c r="H767" s="32"/>
      <c r="I767" s="1"/>
      <c r="J767" s="1"/>
      <c r="K767" s="1"/>
      <c r="L767" s="1"/>
      <c r="M767" s="1"/>
      <c r="N767" s="1"/>
      <c r="O767" s="1"/>
      <c r="P767" s="1"/>
      <c r="Q767" s="1"/>
      <c r="R767" s="1"/>
      <c r="S767" s="1"/>
      <c r="T767" s="1"/>
      <c r="U767" s="1"/>
      <c r="V767" s="1"/>
      <c r="W767" s="1"/>
      <c r="X767" s="1"/>
      <c r="Y767" s="1"/>
      <c r="Z767" s="1"/>
    </row>
    <row r="768">
      <c r="A768" s="1"/>
      <c r="B768" s="32"/>
      <c r="C768" s="1"/>
      <c r="D768" s="1"/>
      <c r="E768" s="1"/>
      <c r="F768" s="1"/>
      <c r="G768" s="1"/>
      <c r="H768" s="32"/>
      <c r="I768" s="1"/>
      <c r="J768" s="1"/>
      <c r="K768" s="1"/>
      <c r="L768" s="1"/>
      <c r="M768" s="1"/>
      <c r="N768" s="1"/>
      <c r="O768" s="1"/>
      <c r="P768" s="1"/>
      <c r="Q768" s="1"/>
      <c r="R768" s="1"/>
      <c r="S768" s="1"/>
      <c r="T768" s="1"/>
      <c r="U768" s="1"/>
      <c r="V768" s="1"/>
      <c r="W768" s="1"/>
      <c r="X768" s="1"/>
      <c r="Y768" s="1"/>
      <c r="Z768" s="1"/>
    </row>
    <row r="769">
      <c r="A769" s="1"/>
      <c r="B769" s="32"/>
      <c r="C769" s="1"/>
      <c r="D769" s="1"/>
      <c r="E769" s="1"/>
      <c r="F769" s="1"/>
      <c r="G769" s="1"/>
      <c r="H769" s="32"/>
      <c r="I769" s="1"/>
      <c r="J769" s="1"/>
      <c r="K769" s="1"/>
      <c r="L769" s="1"/>
      <c r="M769" s="1"/>
      <c r="N769" s="1"/>
      <c r="O769" s="1"/>
      <c r="P769" s="1"/>
      <c r="Q769" s="1"/>
      <c r="R769" s="1"/>
      <c r="S769" s="1"/>
      <c r="T769" s="1"/>
      <c r="U769" s="1"/>
      <c r="V769" s="1"/>
      <c r="W769" s="1"/>
      <c r="X769" s="1"/>
      <c r="Y769" s="1"/>
      <c r="Z769" s="1"/>
    </row>
    <row r="770">
      <c r="A770" s="1"/>
      <c r="B770" s="32"/>
      <c r="C770" s="1"/>
      <c r="D770" s="1"/>
      <c r="E770" s="1"/>
      <c r="F770" s="1"/>
      <c r="G770" s="1"/>
      <c r="H770" s="32"/>
      <c r="I770" s="1"/>
      <c r="J770" s="1"/>
      <c r="K770" s="1"/>
      <c r="L770" s="1"/>
      <c r="M770" s="1"/>
      <c r="N770" s="1"/>
      <c r="O770" s="1"/>
      <c r="P770" s="1"/>
      <c r="Q770" s="1"/>
      <c r="R770" s="1"/>
      <c r="S770" s="1"/>
      <c r="T770" s="1"/>
      <c r="U770" s="1"/>
      <c r="V770" s="1"/>
      <c r="W770" s="1"/>
      <c r="X770" s="1"/>
      <c r="Y770" s="1"/>
      <c r="Z770" s="1"/>
    </row>
    <row r="771">
      <c r="A771" s="1"/>
      <c r="B771" s="32"/>
      <c r="C771" s="1"/>
      <c r="D771" s="1"/>
      <c r="E771" s="1"/>
      <c r="F771" s="1"/>
      <c r="G771" s="1"/>
      <c r="H771" s="32"/>
      <c r="I771" s="1"/>
      <c r="J771" s="1"/>
      <c r="K771" s="1"/>
      <c r="L771" s="1"/>
      <c r="M771" s="1"/>
      <c r="N771" s="1"/>
      <c r="O771" s="1"/>
      <c r="P771" s="1"/>
      <c r="Q771" s="1"/>
      <c r="R771" s="1"/>
      <c r="S771" s="1"/>
      <c r="T771" s="1"/>
      <c r="U771" s="1"/>
      <c r="V771" s="1"/>
      <c r="W771" s="1"/>
      <c r="X771" s="1"/>
      <c r="Y771" s="1"/>
      <c r="Z771" s="1"/>
    </row>
    <row r="772">
      <c r="A772" s="1"/>
      <c r="B772" s="32"/>
      <c r="C772" s="1"/>
      <c r="D772" s="1"/>
      <c r="E772" s="1"/>
      <c r="F772" s="1"/>
      <c r="G772" s="1"/>
      <c r="H772" s="32"/>
      <c r="I772" s="1"/>
      <c r="J772" s="1"/>
      <c r="K772" s="1"/>
      <c r="L772" s="1"/>
      <c r="M772" s="1"/>
      <c r="N772" s="1"/>
      <c r="O772" s="1"/>
      <c r="P772" s="1"/>
      <c r="Q772" s="1"/>
      <c r="R772" s="1"/>
      <c r="S772" s="1"/>
      <c r="T772" s="1"/>
      <c r="U772" s="1"/>
      <c r="V772" s="1"/>
      <c r="W772" s="1"/>
      <c r="X772" s="1"/>
      <c r="Y772" s="1"/>
      <c r="Z772" s="1"/>
    </row>
    <row r="773">
      <c r="A773" s="1"/>
      <c r="B773" s="32"/>
      <c r="C773" s="1"/>
      <c r="D773" s="1"/>
      <c r="E773" s="1"/>
      <c r="F773" s="1"/>
      <c r="G773" s="1"/>
      <c r="H773" s="32"/>
      <c r="I773" s="1"/>
      <c r="J773" s="1"/>
      <c r="K773" s="1"/>
      <c r="L773" s="1"/>
      <c r="M773" s="1"/>
      <c r="N773" s="1"/>
      <c r="O773" s="1"/>
      <c r="P773" s="1"/>
      <c r="Q773" s="1"/>
      <c r="R773" s="1"/>
      <c r="S773" s="1"/>
      <c r="T773" s="1"/>
      <c r="U773" s="1"/>
      <c r="V773" s="1"/>
      <c r="W773" s="1"/>
      <c r="X773" s="1"/>
      <c r="Y773" s="1"/>
      <c r="Z773" s="1"/>
    </row>
    <row r="774">
      <c r="A774" s="1"/>
      <c r="B774" s="32"/>
      <c r="C774" s="1"/>
      <c r="D774" s="1"/>
      <c r="E774" s="1"/>
      <c r="F774" s="1"/>
      <c r="G774" s="1"/>
      <c r="H774" s="32"/>
      <c r="I774" s="1"/>
      <c r="J774" s="1"/>
      <c r="K774" s="1"/>
      <c r="L774" s="1"/>
      <c r="M774" s="1"/>
      <c r="N774" s="1"/>
      <c r="O774" s="1"/>
      <c r="P774" s="1"/>
      <c r="Q774" s="1"/>
      <c r="R774" s="1"/>
      <c r="S774" s="1"/>
      <c r="T774" s="1"/>
      <c r="U774" s="1"/>
      <c r="V774" s="1"/>
      <c r="W774" s="1"/>
      <c r="X774" s="1"/>
      <c r="Y774" s="1"/>
      <c r="Z774" s="1"/>
    </row>
    <row r="775">
      <c r="A775" s="1"/>
      <c r="B775" s="32"/>
      <c r="C775" s="1"/>
      <c r="D775" s="1"/>
      <c r="E775" s="1"/>
      <c r="F775" s="1"/>
      <c r="G775" s="1"/>
      <c r="H775" s="32"/>
      <c r="I775" s="1"/>
      <c r="J775" s="1"/>
      <c r="K775" s="1"/>
      <c r="L775" s="1"/>
      <c r="M775" s="1"/>
      <c r="N775" s="1"/>
      <c r="O775" s="1"/>
      <c r="P775" s="1"/>
      <c r="Q775" s="1"/>
      <c r="R775" s="1"/>
      <c r="S775" s="1"/>
      <c r="T775" s="1"/>
      <c r="U775" s="1"/>
      <c r="V775" s="1"/>
      <c r="W775" s="1"/>
      <c r="X775" s="1"/>
      <c r="Y775" s="1"/>
      <c r="Z775" s="1"/>
    </row>
    <row r="776">
      <c r="A776" s="1"/>
      <c r="B776" s="32"/>
      <c r="C776" s="1"/>
      <c r="D776" s="1"/>
      <c r="E776" s="1"/>
      <c r="F776" s="1"/>
      <c r="G776" s="1"/>
      <c r="H776" s="32"/>
      <c r="I776" s="1"/>
      <c r="J776" s="1"/>
      <c r="K776" s="1"/>
      <c r="L776" s="1"/>
      <c r="M776" s="1"/>
      <c r="N776" s="1"/>
      <c r="O776" s="1"/>
      <c r="P776" s="1"/>
      <c r="Q776" s="1"/>
      <c r="R776" s="1"/>
      <c r="S776" s="1"/>
      <c r="T776" s="1"/>
      <c r="U776" s="1"/>
      <c r="V776" s="1"/>
      <c r="W776" s="1"/>
      <c r="X776" s="1"/>
      <c r="Y776" s="1"/>
      <c r="Z776" s="1"/>
    </row>
    <row r="777">
      <c r="A777" s="1"/>
      <c r="B777" s="32"/>
      <c r="C777" s="1"/>
      <c r="D777" s="1"/>
      <c r="E777" s="1"/>
      <c r="F777" s="1"/>
      <c r="G777" s="1"/>
      <c r="H777" s="32"/>
      <c r="I777" s="1"/>
      <c r="J777" s="1"/>
      <c r="K777" s="1"/>
      <c r="L777" s="1"/>
      <c r="M777" s="1"/>
      <c r="N777" s="1"/>
      <c r="O777" s="1"/>
      <c r="P777" s="1"/>
      <c r="Q777" s="1"/>
      <c r="R777" s="1"/>
      <c r="S777" s="1"/>
      <c r="T777" s="1"/>
      <c r="U777" s="1"/>
      <c r="V777" s="1"/>
      <c r="W777" s="1"/>
      <c r="X777" s="1"/>
      <c r="Y777" s="1"/>
      <c r="Z777" s="1"/>
    </row>
    <row r="778">
      <c r="A778" s="1"/>
      <c r="B778" s="32"/>
      <c r="C778" s="1"/>
      <c r="D778" s="1"/>
      <c r="E778" s="1"/>
      <c r="F778" s="1"/>
      <c r="G778" s="1"/>
      <c r="H778" s="32"/>
      <c r="I778" s="1"/>
      <c r="J778" s="1"/>
      <c r="K778" s="1"/>
      <c r="L778" s="1"/>
      <c r="M778" s="1"/>
      <c r="N778" s="1"/>
      <c r="O778" s="1"/>
      <c r="P778" s="1"/>
      <c r="Q778" s="1"/>
      <c r="R778" s="1"/>
      <c r="S778" s="1"/>
      <c r="T778" s="1"/>
      <c r="U778" s="1"/>
      <c r="V778" s="1"/>
      <c r="W778" s="1"/>
      <c r="X778" s="1"/>
      <c r="Y778" s="1"/>
      <c r="Z778" s="1"/>
    </row>
    <row r="779">
      <c r="A779" s="1"/>
      <c r="B779" s="32"/>
      <c r="C779" s="1"/>
      <c r="D779" s="1"/>
      <c r="E779" s="1"/>
      <c r="F779" s="1"/>
      <c r="G779" s="1"/>
      <c r="H779" s="32"/>
      <c r="I779" s="1"/>
      <c r="J779" s="1"/>
      <c r="K779" s="1"/>
      <c r="L779" s="1"/>
      <c r="M779" s="1"/>
      <c r="N779" s="1"/>
      <c r="O779" s="1"/>
      <c r="P779" s="1"/>
      <c r="Q779" s="1"/>
      <c r="R779" s="1"/>
      <c r="S779" s="1"/>
      <c r="T779" s="1"/>
      <c r="U779" s="1"/>
      <c r="V779" s="1"/>
      <c r="W779" s="1"/>
      <c r="X779" s="1"/>
      <c r="Y779" s="1"/>
      <c r="Z779" s="1"/>
    </row>
    <row r="780">
      <c r="A780" s="1"/>
      <c r="B780" s="32"/>
      <c r="C780" s="1"/>
      <c r="D780" s="1"/>
      <c r="E780" s="1"/>
      <c r="F780" s="1"/>
      <c r="G780" s="1"/>
      <c r="H780" s="32"/>
      <c r="I780" s="1"/>
      <c r="J780" s="1"/>
      <c r="K780" s="1"/>
      <c r="L780" s="1"/>
      <c r="M780" s="1"/>
      <c r="N780" s="1"/>
      <c r="O780" s="1"/>
      <c r="P780" s="1"/>
      <c r="Q780" s="1"/>
      <c r="R780" s="1"/>
      <c r="S780" s="1"/>
      <c r="T780" s="1"/>
      <c r="U780" s="1"/>
      <c r="V780" s="1"/>
      <c r="W780" s="1"/>
      <c r="X780" s="1"/>
      <c r="Y780" s="1"/>
      <c r="Z780" s="1"/>
    </row>
    <row r="781">
      <c r="A781" s="1"/>
      <c r="B781" s="32"/>
      <c r="C781" s="1"/>
      <c r="D781" s="1"/>
      <c r="E781" s="1"/>
      <c r="F781" s="1"/>
      <c r="G781" s="1"/>
      <c r="H781" s="32"/>
      <c r="I781" s="1"/>
      <c r="J781" s="1"/>
      <c r="K781" s="1"/>
      <c r="L781" s="1"/>
      <c r="M781" s="1"/>
      <c r="N781" s="1"/>
      <c r="O781" s="1"/>
      <c r="P781" s="1"/>
      <c r="Q781" s="1"/>
      <c r="R781" s="1"/>
      <c r="S781" s="1"/>
      <c r="T781" s="1"/>
      <c r="U781" s="1"/>
      <c r="V781" s="1"/>
      <c r="W781" s="1"/>
      <c r="X781" s="1"/>
      <c r="Y781" s="1"/>
      <c r="Z781" s="1"/>
    </row>
    <row r="782">
      <c r="A782" s="1"/>
      <c r="B782" s="32"/>
      <c r="C782" s="1"/>
      <c r="D782" s="1"/>
      <c r="E782" s="1"/>
      <c r="F782" s="1"/>
      <c r="G782" s="1"/>
      <c r="H782" s="32"/>
      <c r="I782" s="1"/>
      <c r="J782" s="1"/>
      <c r="K782" s="1"/>
      <c r="L782" s="1"/>
      <c r="M782" s="1"/>
      <c r="N782" s="1"/>
      <c r="O782" s="1"/>
      <c r="P782" s="1"/>
      <c r="Q782" s="1"/>
      <c r="R782" s="1"/>
      <c r="S782" s="1"/>
      <c r="T782" s="1"/>
      <c r="U782" s="1"/>
      <c r="V782" s="1"/>
      <c r="W782" s="1"/>
      <c r="X782" s="1"/>
      <c r="Y782" s="1"/>
      <c r="Z782" s="1"/>
    </row>
    <row r="783">
      <c r="A783" s="1"/>
      <c r="B783" s="32"/>
      <c r="C783" s="1"/>
      <c r="D783" s="1"/>
      <c r="E783" s="1"/>
      <c r="F783" s="1"/>
      <c r="G783" s="1"/>
      <c r="H783" s="32"/>
      <c r="I783" s="1"/>
      <c r="J783" s="1"/>
      <c r="K783" s="1"/>
      <c r="L783" s="1"/>
      <c r="M783" s="1"/>
      <c r="N783" s="1"/>
      <c r="O783" s="1"/>
      <c r="P783" s="1"/>
      <c r="Q783" s="1"/>
      <c r="R783" s="1"/>
      <c r="S783" s="1"/>
      <c r="T783" s="1"/>
      <c r="U783" s="1"/>
      <c r="V783" s="1"/>
      <c r="W783" s="1"/>
      <c r="X783" s="1"/>
      <c r="Y783" s="1"/>
      <c r="Z783" s="1"/>
    </row>
    <row r="784">
      <c r="A784" s="1"/>
      <c r="B784" s="32"/>
      <c r="C784" s="1"/>
      <c r="D784" s="1"/>
      <c r="E784" s="1"/>
      <c r="F784" s="1"/>
      <c r="G784" s="1"/>
      <c r="H784" s="32"/>
      <c r="I784" s="1"/>
      <c r="J784" s="1"/>
      <c r="K784" s="1"/>
      <c r="L784" s="1"/>
      <c r="M784" s="1"/>
      <c r="N784" s="1"/>
      <c r="O784" s="1"/>
      <c r="P784" s="1"/>
      <c r="Q784" s="1"/>
      <c r="R784" s="1"/>
      <c r="S784" s="1"/>
      <c r="T784" s="1"/>
      <c r="U784" s="1"/>
      <c r="V784" s="1"/>
      <c r="W784" s="1"/>
      <c r="X784" s="1"/>
      <c r="Y784" s="1"/>
      <c r="Z784" s="1"/>
    </row>
    <row r="785">
      <c r="A785" s="1"/>
      <c r="B785" s="32"/>
      <c r="C785" s="1"/>
      <c r="D785" s="1"/>
      <c r="E785" s="1"/>
      <c r="F785" s="1"/>
      <c r="G785" s="1"/>
      <c r="H785" s="32"/>
      <c r="I785" s="1"/>
      <c r="J785" s="1"/>
      <c r="K785" s="1"/>
      <c r="L785" s="1"/>
      <c r="M785" s="1"/>
      <c r="N785" s="1"/>
      <c r="O785" s="1"/>
      <c r="P785" s="1"/>
      <c r="Q785" s="1"/>
      <c r="R785" s="1"/>
      <c r="S785" s="1"/>
      <c r="T785" s="1"/>
      <c r="U785" s="1"/>
      <c r="V785" s="1"/>
      <c r="W785" s="1"/>
      <c r="X785" s="1"/>
      <c r="Y785" s="1"/>
      <c r="Z785" s="1"/>
    </row>
    <row r="786">
      <c r="A786" s="1"/>
      <c r="B786" s="32"/>
      <c r="C786" s="1"/>
      <c r="D786" s="1"/>
      <c r="E786" s="1"/>
      <c r="F786" s="1"/>
      <c r="G786" s="1"/>
      <c r="H786" s="32"/>
      <c r="I786" s="1"/>
      <c r="J786" s="1"/>
      <c r="K786" s="1"/>
      <c r="L786" s="1"/>
      <c r="M786" s="1"/>
      <c r="N786" s="1"/>
      <c r="O786" s="1"/>
      <c r="P786" s="1"/>
      <c r="Q786" s="1"/>
      <c r="R786" s="1"/>
      <c r="S786" s="1"/>
      <c r="T786" s="1"/>
      <c r="U786" s="1"/>
      <c r="V786" s="1"/>
      <c r="W786" s="1"/>
      <c r="X786" s="1"/>
      <c r="Y786" s="1"/>
      <c r="Z786" s="1"/>
    </row>
    <row r="787">
      <c r="A787" s="1"/>
      <c r="B787" s="32"/>
      <c r="C787" s="1"/>
      <c r="D787" s="1"/>
      <c r="E787" s="1"/>
      <c r="F787" s="1"/>
      <c r="G787" s="1"/>
      <c r="H787" s="32"/>
      <c r="I787" s="1"/>
      <c r="J787" s="1"/>
      <c r="K787" s="1"/>
      <c r="L787" s="1"/>
      <c r="M787" s="1"/>
      <c r="N787" s="1"/>
      <c r="O787" s="1"/>
      <c r="P787" s="1"/>
      <c r="Q787" s="1"/>
      <c r="R787" s="1"/>
      <c r="S787" s="1"/>
      <c r="T787" s="1"/>
      <c r="U787" s="1"/>
      <c r="V787" s="1"/>
      <c r="W787" s="1"/>
      <c r="X787" s="1"/>
      <c r="Y787" s="1"/>
      <c r="Z787" s="1"/>
    </row>
    <row r="788">
      <c r="A788" s="1"/>
      <c r="B788" s="32"/>
      <c r="C788" s="1"/>
      <c r="D788" s="1"/>
      <c r="E788" s="1"/>
      <c r="F788" s="1"/>
      <c r="G788" s="1"/>
      <c r="H788" s="32"/>
      <c r="I788" s="1"/>
      <c r="J788" s="1"/>
      <c r="K788" s="1"/>
      <c r="L788" s="1"/>
      <c r="M788" s="1"/>
      <c r="N788" s="1"/>
      <c r="O788" s="1"/>
      <c r="P788" s="1"/>
      <c r="Q788" s="1"/>
      <c r="R788" s="1"/>
      <c r="S788" s="1"/>
      <c r="T788" s="1"/>
      <c r="U788" s="1"/>
      <c r="V788" s="1"/>
      <c r="W788" s="1"/>
      <c r="X788" s="1"/>
      <c r="Y788" s="1"/>
      <c r="Z788" s="1"/>
    </row>
    <row r="789">
      <c r="A789" s="1"/>
      <c r="B789" s="32"/>
      <c r="C789" s="1"/>
      <c r="D789" s="1"/>
      <c r="E789" s="1"/>
      <c r="F789" s="1"/>
      <c r="G789" s="1"/>
      <c r="H789" s="32"/>
      <c r="I789" s="1"/>
      <c r="J789" s="1"/>
      <c r="K789" s="1"/>
      <c r="L789" s="1"/>
      <c r="M789" s="1"/>
      <c r="N789" s="1"/>
      <c r="O789" s="1"/>
      <c r="P789" s="1"/>
      <c r="Q789" s="1"/>
      <c r="R789" s="1"/>
      <c r="S789" s="1"/>
      <c r="T789" s="1"/>
      <c r="U789" s="1"/>
      <c r="V789" s="1"/>
      <c r="W789" s="1"/>
      <c r="X789" s="1"/>
      <c r="Y789" s="1"/>
      <c r="Z789" s="1"/>
    </row>
    <row r="790">
      <c r="A790" s="1"/>
      <c r="B790" s="32"/>
      <c r="C790" s="1"/>
      <c r="D790" s="1"/>
      <c r="E790" s="1"/>
      <c r="F790" s="1"/>
      <c r="G790" s="1"/>
      <c r="H790" s="32"/>
      <c r="I790" s="1"/>
      <c r="J790" s="1"/>
      <c r="K790" s="1"/>
      <c r="L790" s="1"/>
      <c r="M790" s="1"/>
      <c r="N790" s="1"/>
      <c r="O790" s="1"/>
      <c r="P790" s="1"/>
      <c r="Q790" s="1"/>
      <c r="R790" s="1"/>
      <c r="S790" s="1"/>
      <c r="T790" s="1"/>
      <c r="U790" s="1"/>
      <c r="V790" s="1"/>
      <c r="W790" s="1"/>
      <c r="X790" s="1"/>
      <c r="Y790" s="1"/>
      <c r="Z790" s="1"/>
    </row>
    <row r="791">
      <c r="A791" s="1"/>
      <c r="B791" s="32"/>
      <c r="C791" s="1"/>
      <c r="D791" s="1"/>
      <c r="E791" s="1"/>
      <c r="F791" s="1"/>
      <c r="G791" s="1"/>
      <c r="H791" s="32"/>
      <c r="I791" s="1"/>
      <c r="J791" s="1"/>
      <c r="K791" s="1"/>
      <c r="L791" s="1"/>
      <c r="M791" s="1"/>
      <c r="N791" s="1"/>
      <c r="O791" s="1"/>
      <c r="P791" s="1"/>
      <c r="Q791" s="1"/>
      <c r="R791" s="1"/>
      <c r="S791" s="1"/>
      <c r="T791" s="1"/>
      <c r="U791" s="1"/>
      <c r="V791" s="1"/>
      <c r="W791" s="1"/>
      <c r="X791" s="1"/>
      <c r="Y791" s="1"/>
      <c r="Z791" s="1"/>
    </row>
    <row r="792">
      <c r="A792" s="1"/>
      <c r="B792" s="32"/>
      <c r="C792" s="1"/>
      <c r="D792" s="1"/>
      <c r="E792" s="1"/>
      <c r="F792" s="1"/>
      <c r="G792" s="1"/>
      <c r="H792" s="32"/>
      <c r="I792" s="1"/>
      <c r="J792" s="1"/>
      <c r="K792" s="1"/>
      <c r="L792" s="1"/>
      <c r="M792" s="1"/>
      <c r="N792" s="1"/>
      <c r="O792" s="1"/>
      <c r="P792" s="1"/>
      <c r="Q792" s="1"/>
      <c r="R792" s="1"/>
      <c r="S792" s="1"/>
      <c r="T792" s="1"/>
      <c r="U792" s="1"/>
      <c r="V792" s="1"/>
      <c r="W792" s="1"/>
      <c r="X792" s="1"/>
      <c r="Y792" s="1"/>
      <c r="Z792" s="1"/>
    </row>
    <row r="793">
      <c r="A793" s="1"/>
      <c r="B793" s="32"/>
      <c r="C793" s="1"/>
      <c r="D793" s="1"/>
      <c r="E793" s="1"/>
      <c r="F793" s="1"/>
      <c r="G793" s="1"/>
      <c r="H793" s="32"/>
      <c r="I793" s="1"/>
      <c r="J793" s="1"/>
      <c r="K793" s="1"/>
      <c r="L793" s="1"/>
      <c r="M793" s="1"/>
      <c r="N793" s="1"/>
      <c r="O793" s="1"/>
      <c r="P793" s="1"/>
      <c r="Q793" s="1"/>
      <c r="R793" s="1"/>
      <c r="S793" s="1"/>
      <c r="T793" s="1"/>
      <c r="U793" s="1"/>
      <c r="V793" s="1"/>
      <c r="W793" s="1"/>
      <c r="X793" s="1"/>
      <c r="Y793" s="1"/>
      <c r="Z793" s="1"/>
    </row>
    <row r="794">
      <c r="A794" s="1"/>
      <c r="B794" s="32"/>
      <c r="C794" s="1"/>
      <c r="D794" s="1"/>
      <c r="E794" s="1"/>
      <c r="F794" s="1"/>
      <c r="G794" s="1"/>
      <c r="H794" s="32"/>
      <c r="I794" s="1"/>
      <c r="J794" s="1"/>
      <c r="K794" s="1"/>
      <c r="L794" s="1"/>
      <c r="M794" s="1"/>
      <c r="N794" s="1"/>
      <c r="O794" s="1"/>
      <c r="P794" s="1"/>
      <c r="Q794" s="1"/>
      <c r="R794" s="1"/>
      <c r="S794" s="1"/>
      <c r="T794" s="1"/>
      <c r="U794" s="1"/>
      <c r="V794" s="1"/>
      <c r="W794" s="1"/>
      <c r="X794" s="1"/>
      <c r="Y794" s="1"/>
      <c r="Z794" s="1"/>
    </row>
    <row r="795">
      <c r="A795" s="1"/>
      <c r="B795" s="32"/>
      <c r="C795" s="1"/>
      <c r="D795" s="1"/>
      <c r="E795" s="1"/>
      <c r="F795" s="1"/>
      <c r="G795" s="1"/>
      <c r="H795" s="32"/>
      <c r="I795" s="1"/>
      <c r="J795" s="1"/>
      <c r="K795" s="1"/>
      <c r="L795" s="1"/>
      <c r="M795" s="1"/>
      <c r="N795" s="1"/>
      <c r="O795" s="1"/>
      <c r="P795" s="1"/>
      <c r="Q795" s="1"/>
      <c r="R795" s="1"/>
      <c r="S795" s="1"/>
      <c r="T795" s="1"/>
      <c r="U795" s="1"/>
      <c r="V795" s="1"/>
      <c r="W795" s="1"/>
      <c r="X795" s="1"/>
      <c r="Y795" s="1"/>
      <c r="Z795" s="1"/>
    </row>
    <row r="796">
      <c r="A796" s="1"/>
      <c r="B796" s="32"/>
      <c r="C796" s="1"/>
      <c r="D796" s="1"/>
      <c r="E796" s="1"/>
      <c r="F796" s="1"/>
      <c r="G796" s="1"/>
      <c r="H796" s="32"/>
      <c r="I796" s="1"/>
      <c r="J796" s="1"/>
      <c r="K796" s="1"/>
      <c r="L796" s="1"/>
      <c r="M796" s="1"/>
      <c r="N796" s="1"/>
      <c r="O796" s="1"/>
      <c r="P796" s="1"/>
      <c r="Q796" s="1"/>
      <c r="R796" s="1"/>
      <c r="S796" s="1"/>
      <c r="T796" s="1"/>
      <c r="U796" s="1"/>
      <c r="V796" s="1"/>
      <c r="W796" s="1"/>
      <c r="X796" s="1"/>
      <c r="Y796" s="1"/>
      <c r="Z796" s="1"/>
    </row>
    <row r="797">
      <c r="A797" s="1"/>
      <c r="B797" s="32"/>
      <c r="C797" s="1"/>
      <c r="D797" s="1"/>
      <c r="E797" s="1"/>
      <c r="F797" s="1"/>
      <c r="G797" s="1"/>
      <c r="H797" s="32"/>
      <c r="I797" s="1"/>
      <c r="J797" s="1"/>
      <c r="K797" s="1"/>
      <c r="L797" s="1"/>
      <c r="M797" s="1"/>
      <c r="N797" s="1"/>
      <c r="O797" s="1"/>
      <c r="P797" s="1"/>
      <c r="Q797" s="1"/>
      <c r="R797" s="1"/>
      <c r="S797" s="1"/>
      <c r="T797" s="1"/>
      <c r="U797" s="1"/>
      <c r="V797" s="1"/>
      <c r="W797" s="1"/>
      <c r="X797" s="1"/>
      <c r="Y797" s="1"/>
      <c r="Z797" s="1"/>
    </row>
    <row r="798">
      <c r="A798" s="1"/>
      <c r="B798" s="32"/>
      <c r="C798" s="1"/>
      <c r="D798" s="1"/>
      <c r="E798" s="1"/>
      <c r="F798" s="1"/>
      <c r="G798" s="1"/>
      <c r="H798" s="32"/>
      <c r="I798" s="1"/>
      <c r="J798" s="1"/>
      <c r="K798" s="1"/>
      <c r="L798" s="1"/>
      <c r="M798" s="1"/>
      <c r="N798" s="1"/>
      <c r="O798" s="1"/>
      <c r="P798" s="1"/>
      <c r="Q798" s="1"/>
      <c r="R798" s="1"/>
      <c r="S798" s="1"/>
      <c r="T798" s="1"/>
      <c r="U798" s="1"/>
      <c r="V798" s="1"/>
      <c r="W798" s="1"/>
      <c r="X798" s="1"/>
      <c r="Y798" s="1"/>
      <c r="Z798" s="1"/>
    </row>
    <row r="799">
      <c r="A799" s="1"/>
      <c r="B799" s="32"/>
      <c r="C799" s="1"/>
      <c r="D799" s="1"/>
      <c r="E799" s="1"/>
      <c r="F799" s="1"/>
      <c r="G799" s="1"/>
      <c r="H799" s="32"/>
      <c r="I799" s="1"/>
      <c r="J799" s="1"/>
      <c r="K799" s="1"/>
      <c r="L799" s="1"/>
      <c r="M799" s="1"/>
      <c r="N799" s="1"/>
      <c r="O799" s="1"/>
      <c r="P799" s="1"/>
      <c r="Q799" s="1"/>
      <c r="R799" s="1"/>
      <c r="S799" s="1"/>
      <c r="T799" s="1"/>
      <c r="U799" s="1"/>
      <c r="V799" s="1"/>
      <c r="W799" s="1"/>
      <c r="X799" s="1"/>
      <c r="Y799" s="1"/>
      <c r="Z799" s="1"/>
    </row>
    <row r="800">
      <c r="A800" s="1"/>
      <c r="B800" s="32"/>
      <c r="C800" s="1"/>
      <c r="D800" s="1"/>
      <c r="E800" s="1"/>
      <c r="F800" s="1"/>
      <c r="G800" s="1"/>
      <c r="H800" s="32"/>
      <c r="I800" s="1"/>
      <c r="J800" s="1"/>
      <c r="K800" s="1"/>
      <c r="L800" s="1"/>
      <c r="M800" s="1"/>
      <c r="N800" s="1"/>
      <c r="O800" s="1"/>
      <c r="P800" s="1"/>
      <c r="Q800" s="1"/>
      <c r="R800" s="1"/>
      <c r="S800" s="1"/>
      <c r="T800" s="1"/>
      <c r="U800" s="1"/>
      <c r="V800" s="1"/>
      <c r="W800" s="1"/>
      <c r="X800" s="1"/>
      <c r="Y800" s="1"/>
      <c r="Z800" s="1"/>
    </row>
    <row r="801">
      <c r="A801" s="1"/>
      <c r="B801" s="32"/>
      <c r="C801" s="1"/>
      <c r="D801" s="1"/>
      <c r="E801" s="1"/>
      <c r="F801" s="1"/>
      <c r="G801" s="1"/>
      <c r="H801" s="32"/>
      <c r="I801" s="1"/>
      <c r="J801" s="1"/>
      <c r="K801" s="1"/>
      <c r="L801" s="1"/>
      <c r="M801" s="1"/>
      <c r="N801" s="1"/>
      <c r="O801" s="1"/>
      <c r="P801" s="1"/>
      <c r="Q801" s="1"/>
      <c r="R801" s="1"/>
      <c r="S801" s="1"/>
      <c r="T801" s="1"/>
      <c r="U801" s="1"/>
      <c r="V801" s="1"/>
      <c r="W801" s="1"/>
      <c r="X801" s="1"/>
      <c r="Y801" s="1"/>
      <c r="Z801" s="1"/>
    </row>
    <row r="802">
      <c r="A802" s="1"/>
      <c r="B802" s="32"/>
      <c r="C802" s="1"/>
      <c r="D802" s="1"/>
      <c r="E802" s="1"/>
      <c r="F802" s="1"/>
      <c r="G802" s="1"/>
      <c r="H802" s="32"/>
      <c r="I802" s="1"/>
      <c r="J802" s="1"/>
      <c r="K802" s="1"/>
      <c r="L802" s="1"/>
      <c r="M802" s="1"/>
      <c r="N802" s="1"/>
      <c r="O802" s="1"/>
      <c r="P802" s="1"/>
      <c r="Q802" s="1"/>
      <c r="R802" s="1"/>
      <c r="S802" s="1"/>
      <c r="T802" s="1"/>
      <c r="U802" s="1"/>
      <c r="V802" s="1"/>
      <c r="W802" s="1"/>
      <c r="X802" s="1"/>
      <c r="Y802" s="1"/>
      <c r="Z802" s="1"/>
    </row>
    <row r="803">
      <c r="A803" s="1"/>
      <c r="B803" s="32"/>
      <c r="C803" s="1"/>
      <c r="D803" s="1"/>
      <c r="E803" s="1"/>
      <c r="F803" s="1"/>
      <c r="G803" s="1"/>
      <c r="H803" s="32"/>
      <c r="I803" s="1"/>
      <c r="J803" s="1"/>
      <c r="K803" s="1"/>
      <c r="L803" s="1"/>
      <c r="M803" s="1"/>
      <c r="N803" s="1"/>
      <c r="O803" s="1"/>
      <c r="P803" s="1"/>
      <c r="Q803" s="1"/>
      <c r="R803" s="1"/>
      <c r="S803" s="1"/>
      <c r="T803" s="1"/>
      <c r="U803" s="1"/>
      <c r="V803" s="1"/>
      <c r="W803" s="1"/>
      <c r="X803" s="1"/>
      <c r="Y803" s="1"/>
      <c r="Z803" s="1"/>
    </row>
    <row r="804">
      <c r="A804" s="1"/>
      <c r="B804" s="32"/>
      <c r="C804" s="1"/>
      <c r="D804" s="1"/>
      <c r="E804" s="1"/>
      <c r="F804" s="1"/>
      <c r="G804" s="1"/>
      <c r="H804" s="32"/>
      <c r="I804" s="1"/>
      <c r="J804" s="1"/>
      <c r="K804" s="1"/>
      <c r="L804" s="1"/>
      <c r="M804" s="1"/>
      <c r="N804" s="1"/>
      <c r="O804" s="1"/>
      <c r="P804" s="1"/>
      <c r="Q804" s="1"/>
      <c r="R804" s="1"/>
      <c r="S804" s="1"/>
      <c r="T804" s="1"/>
      <c r="U804" s="1"/>
      <c r="V804" s="1"/>
      <c r="W804" s="1"/>
      <c r="X804" s="1"/>
      <c r="Y804" s="1"/>
      <c r="Z804" s="1"/>
    </row>
    <row r="805">
      <c r="A805" s="1"/>
      <c r="B805" s="32"/>
      <c r="C805" s="1"/>
      <c r="D805" s="1"/>
      <c r="E805" s="1"/>
      <c r="F805" s="1"/>
      <c r="G805" s="1"/>
      <c r="H805" s="32"/>
      <c r="I805" s="1"/>
      <c r="J805" s="1"/>
      <c r="K805" s="1"/>
      <c r="L805" s="1"/>
      <c r="M805" s="1"/>
      <c r="N805" s="1"/>
      <c r="O805" s="1"/>
      <c r="P805" s="1"/>
      <c r="Q805" s="1"/>
      <c r="R805" s="1"/>
      <c r="S805" s="1"/>
      <c r="T805" s="1"/>
      <c r="U805" s="1"/>
      <c r="V805" s="1"/>
      <c r="W805" s="1"/>
      <c r="X805" s="1"/>
      <c r="Y805" s="1"/>
      <c r="Z805" s="1"/>
    </row>
    <row r="806">
      <c r="A806" s="1"/>
      <c r="B806" s="32"/>
      <c r="C806" s="1"/>
      <c r="D806" s="1"/>
      <c r="E806" s="1"/>
      <c r="F806" s="1"/>
      <c r="G806" s="1"/>
      <c r="H806" s="32"/>
      <c r="I806" s="1"/>
      <c r="J806" s="1"/>
      <c r="K806" s="1"/>
      <c r="L806" s="1"/>
      <c r="M806" s="1"/>
      <c r="N806" s="1"/>
      <c r="O806" s="1"/>
      <c r="P806" s="1"/>
      <c r="Q806" s="1"/>
      <c r="R806" s="1"/>
      <c r="S806" s="1"/>
      <c r="T806" s="1"/>
      <c r="U806" s="1"/>
      <c r="V806" s="1"/>
      <c r="W806" s="1"/>
      <c r="X806" s="1"/>
      <c r="Y806" s="1"/>
      <c r="Z806" s="1"/>
    </row>
    <row r="807">
      <c r="A807" s="1"/>
      <c r="B807" s="32"/>
      <c r="C807" s="1"/>
      <c r="D807" s="1"/>
      <c r="E807" s="1"/>
      <c r="F807" s="1"/>
      <c r="G807" s="1"/>
      <c r="H807" s="32"/>
      <c r="I807" s="1"/>
      <c r="J807" s="1"/>
      <c r="K807" s="1"/>
      <c r="L807" s="1"/>
      <c r="M807" s="1"/>
      <c r="N807" s="1"/>
      <c r="O807" s="1"/>
      <c r="P807" s="1"/>
      <c r="Q807" s="1"/>
      <c r="R807" s="1"/>
      <c r="S807" s="1"/>
      <c r="T807" s="1"/>
      <c r="U807" s="1"/>
      <c r="V807" s="1"/>
      <c r="W807" s="1"/>
      <c r="X807" s="1"/>
      <c r="Y807" s="1"/>
      <c r="Z807" s="1"/>
    </row>
    <row r="808">
      <c r="A808" s="1"/>
      <c r="B808" s="32"/>
      <c r="C808" s="1"/>
      <c r="D808" s="1"/>
      <c r="E808" s="1"/>
      <c r="F808" s="1"/>
      <c r="G808" s="1"/>
      <c r="H808" s="32"/>
      <c r="I808" s="1"/>
      <c r="J808" s="1"/>
      <c r="K808" s="1"/>
      <c r="L808" s="1"/>
      <c r="M808" s="1"/>
      <c r="N808" s="1"/>
      <c r="O808" s="1"/>
      <c r="P808" s="1"/>
      <c r="Q808" s="1"/>
      <c r="R808" s="1"/>
      <c r="S808" s="1"/>
      <c r="T808" s="1"/>
      <c r="U808" s="1"/>
      <c r="V808" s="1"/>
      <c r="W808" s="1"/>
      <c r="X808" s="1"/>
      <c r="Y808" s="1"/>
      <c r="Z808" s="1"/>
    </row>
    <row r="809">
      <c r="A809" s="1"/>
      <c r="B809" s="32"/>
      <c r="C809" s="1"/>
      <c r="D809" s="1"/>
      <c r="E809" s="1"/>
      <c r="F809" s="1"/>
      <c r="G809" s="1"/>
      <c r="H809" s="32"/>
      <c r="I809" s="1"/>
      <c r="J809" s="1"/>
      <c r="K809" s="1"/>
      <c r="L809" s="1"/>
      <c r="M809" s="1"/>
      <c r="N809" s="1"/>
      <c r="O809" s="1"/>
      <c r="P809" s="1"/>
      <c r="Q809" s="1"/>
      <c r="R809" s="1"/>
      <c r="S809" s="1"/>
      <c r="T809" s="1"/>
      <c r="U809" s="1"/>
      <c r="V809" s="1"/>
      <c r="W809" s="1"/>
      <c r="X809" s="1"/>
      <c r="Y809" s="1"/>
      <c r="Z809" s="1"/>
    </row>
    <row r="810">
      <c r="A810" s="1"/>
      <c r="B810" s="32"/>
      <c r="C810" s="1"/>
      <c r="D810" s="1"/>
      <c r="E810" s="1"/>
      <c r="F810" s="1"/>
      <c r="G810" s="1"/>
      <c r="H810" s="32"/>
      <c r="I810" s="1"/>
      <c r="J810" s="1"/>
      <c r="K810" s="1"/>
      <c r="L810" s="1"/>
      <c r="M810" s="1"/>
      <c r="N810" s="1"/>
      <c r="O810" s="1"/>
      <c r="P810" s="1"/>
      <c r="Q810" s="1"/>
      <c r="R810" s="1"/>
      <c r="S810" s="1"/>
      <c r="T810" s="1"/>
      <c r="U810" s="1"/>
      <c r="V810" s="1"/>
      <c r="W810" s="1"/>
      <c r="X810" s="1"/>
      <c r="Y810" s="1"/>
      <c r="Z810" s="1"/>
    </row>
    <row r="811">
      <c r="A811" s="1"/>
      <c r="B811" s="32"/>
      <c r="C811" s="1"/>
      <c r="D811" s="1"/>
      <c r="E811" s="1"/>
      <c r="F811" s="1"/>
      <c r="G811" s="1"/>
      <c r="H811" s="32"/>
      <c r="I811" s="1"/>
      <c r="J811" s="1"/>
      <c r="K811" s="1"/>
      <c r="L811" s="1"/>
      <c r="M811" s="1"/>
      <c r="N811" s="1"/>
      <c r="O811" s="1"/>
      <c r="P811" s="1"/>
      <c r="Q811" s="1"/>
      <c r="R811" s="1"/>
      <c r="S811" s="1"/>
      <c r="T811" s="1"/>
      <c r="U811" s="1"/>
      <c r="V811" s="1"/>
      <c r="W811" s="1"/>
      <c r="X811" s="1"/>
      <c r="Y811" s="1"/>
      <c r="Z811" s="1"/>
    </row>
    <row r="812">
      <c r="A812" s="1"/>
      <c r="B812" s="32"/>
      <c r="C812" s="1"/>
      <c r="D812" s="1"/>
      <c r="E812" s="1"/>
      <c r="F812" s="1"/>
      <c r="G812" s="1"/>
      <c r="H812" s="32"/>
      <c r="I812" s="1"/>
      <c r="J812" s="1"/>
      <c r="K812" s="1"/>
      <c r="L812" s="1"/>
      <c r="M812" s="1"/>
      <c r="N812" s="1"/>
      <c r="O812" s="1"/>
      <c r="P812" s="1"/>
      <c r="Q812" s="1"/>
      <c r="R812" s="1"/>
      <c r="S812" s="1"/>
      <c r="T812" s="1"/>
      <c r="U812" s="1"/>
      <c r="V812" s="1"/>
      <c r="W812" s="1"/>
      <c r="X812" s="1"/>
      <c r="Y812" s="1"/>
      <c r="Z812" s="1"/>
    </row>
    <row r="813">
      <c r="A813" s="1"/>
      <c r="B813" s="32"/>
      <c r="C813" s="1"/>
      <c r="D813" s="1"/>
      <c r="E813" s="1"/>
      <c r="F813" s="1"/>
      <c r="G813" s="1"/>
      <c r="H813" s="32"/>
      <c r="I813" s="1"/>
      <c r="J813" s="1"/>
      <c r="K813" s="1"/>
      <c r="L813" s="1"/>
      <c r="M813" s="1"/>
      <c r="N813" s="1"/>
      <c r="O813" s="1"/>
      <c r="P813" s="1"/>
      <c r="Q813" s="1"/>
      <c r="R813" s="1"/>
      <c r="S813" s="1"/>
      <c r="T813" s="1"/>
      <c r="U813" s="1"/>
      <c r="V813" s="1"/>
      <c r="W813" s="1"/>
      <c r="X813" s="1"/>
      <c r="Y813" s="1"/>
      <c r="Z813" s="1"/>
    </row>
    <row r="814">
      <c r="A814" s="1"/>
      <c r="B814" s="32"/>
      <c r="C814" s="1"/>
      <c r="D814" s="1"/>
      <c r="E814" s="1"/>
      <c r="F814" s="1"/>
      <c r="G814" s="1"/>
      <c r="H814" s="32"/>
      <c r="I814" s="1"/>
      <c r="J814" s="1"/>
      <c r="K814" s="1"/>
      <c r="L814" s="1"/>
      <c r="M814" s="1"/>
      <c r="N814" s="1"/>
      <c r="O814" s="1"/>
      <c r="P814" s="1"/>
      <c r="Q814" s="1"/>
      <c r="R814" s="1"/>
      <c r="S814" s="1"/>
      <c r="T814" s="1"/>
      <c r="U814" s="1"/>
      <c r="V814" s="1"/>
      <c r="W814" s="1"/>
      <c r="X814" s="1"/>
      <c r="Y814" s="1"/>
      <c r="Z814" s="1"/>
    </row>
    <row r="815">
      <c r="A815" s="1"/>
      <c r="B815" s="32"/>
      <c r="C815" s="1"/>
      <c r="D815" s="1"/>
      <c r="E815" s="1"/>
      <c r="F815" s="1"/>
      <c r="G815" s="1"/>
      <c r="H815" s="32"/>
      <c r="I815" s="1"/>
      <c r="J815" s="1"/>
      <c r="K815" s="1"/>
      <c r="L815" s="1"/>
      <c r="M815" s="1"/>
      <c r="N815" s="1"/>
      <c r="O815" s="1"/>
      <c r="P815" s="1"/>
      <c r="Q815" s="1"/>
      <c r="R815" s="1"/>
      <c r="S815" s="1"/>
      <c r="T815" s="1"/>
      <c r="U815" s="1"/>
      <c r="V815" s="1"/>
      <c r="W815" s="1"/>
      <c r="X815" s="1"/>
      <c r="Y815" s="1"/>
      <c r="Z815" s="1"/>
    </row>
    <row r="816">
      <c r="A816" s="1"/>
      <c r="B816" s="32"/>
      <c r="C816" s="1"/>
      <c r="D816" s="1"/>
      <c r="E816" s="1"/>
      <c r="F816" s="1"/>
      <c r="G816" s="1"/>
      <c r="H816" s="32"/>
      <c r="I816" s="1"/>
      <c r="J816" s="1"/>
      <c r="K816" s="1"/>
      <c r="L816" s="1"/>
      <c r="M816" s="1"/>
      <c r="N816" s="1"/>
      <c r="O816" s="1"/>
      <c r="P816" s="1"/>
      <c r="Q816" s="1"/>
      <c r="R816" s="1"/>
      <c r="S816" s="1"/>
      <c r="T816" s="1"/>
      <c r="U816" s="1"/>
      <c r="V816" s="1"/>
      <c r="W816" s="1"/>
      <c r="X816" s="1"/>
      <c r="Y816" s="1"/>
      <c r="Z816" s="1"/>
    </row>
    <row r="817">
      <c r="A817" s="1"/>
      <c r="B817" s="32"/>
      <c r="C817" s="1"/>
      <c r="D817" s="1"/>
      <c r="E817" s="1"/>
      <c r="F817" s="1"/>
      <c r="G817" s="1"/>
      <c r="H817" s="32"/>
      <c r="I817" s="1"/>
      <c r="J817" s="1"/>
      <c r="K817" s="1"/>
      <c r="L817" s="1"/>
      <c r="M817" s="1"/>
      <c r="N817" s="1"/>
      <c r="O817" s="1"/>
      <c r="P817" s="1"/>
      <c r="Q817" s="1"/>
      <c r="R817" s="1"/>
      <c r="S817" s="1"/>
      <c r="T817" s="1"/>
      <c r="U817" s="1"/>
      <c r="V817" s="1"/>
      <c r="W817" s="1"/>
      <c r="X817" s="1"/>
      <c r="Y817" s="1"/>
      <c r="Z817" s="1"/>
    </row>
    <row r="818">
      <c r="A818" s="1"/>
      <c r="B818" s="32"/>
      <c r="C818" s="1"/>
      <c r="D818" s="1"/>
      <c r="E818" s="1"/>
      <c r="F818" s="1"/>
      <c r="G818" s="1"/>
      <c r="H818" s="32"/>
      <c r="I818" s="1"/>
      <c r="J818" s="1"/>
      <c r="K818" s="1"/>
      <c r="L818" s="1"/>
      <c r="M818" s="1"/>
      <c r="N818" s="1"/>
      <c r="O818" s="1"/>
      <c r="P818" s="1"/>
      <c r="Q818" s="1"/>
      <c r="R818" s="1"/>
      <c r="S818" s="1"/>
      <c r="T818" s="1"/>
      <c r="U818" s="1"/>
      <c r="V818" s="1"/>
      <c r="W818" s="1"/>
      <c r="X818" s="1"/>
      <c r="Y818" s="1"/>
      <c r="Z818" s="1"/>
    </row>
    <row r="819">
      <c r="A819" s="1"/>
      <c r="B819" s="32"/>
      <c r="C819" s="1"/>
      <c r="D819" s="1"/>
      <c r="E819" s="1"/>
      <c r="F819" s="1"/>
      <c r="G819" s="1"/>
      <c r="H819" s="32"/>
      <c r="I819" s="1"/>
      <c r="J819" s="1"/>
      <c r="K819" s="1"/>
      <c r="L819" s="1"/>
      <c r="M819" s="1"/>
      <c r="N819" s="1"/>
      <c r="O819" s="1"/>
      <c r="P819" s="1"/>
      <c r="Q819" s="1"/>
      <c r="R819" s="1"/>
      <c r="S819" s="1"/>
      <c r="T819" s="1"/>
      <c r="U819" s="1"/>
      <c r="V819" s="1"/>
      <c r="W819" s="1"/>
      <c r="X819" s="1"/>
      <c r="Y819" s="1"/>
      <c r="Z819" s="1"/>
    </row>
    <row r="820">
      <c r="A820" s="1"/>
      <c r="B820" s="32"/>
      <c r="C820" s="1"/>
      <c r="D820" s="1"/>
      <c r="E820" s="1"/>
      <c r="F820" s="1"/>
      <c r="G820" s="1"/>
      <c r="H820" s="32"/>
      <c r="I820" s="1"/>
      <c r="J820" s="1"/>
      <c r="K820" s="1"/>
      <c r="L820" s="1"/>
      <c r="M820" s="1"/>
      <c r="N820" s="1"/>
      <c r="O820" s="1"/>
      <c r="P820" s="1"/>
      <c r="Q820" s="1"/>
      <c r="R820" s="1"/>
      <c r="S820" s="1"/>
      <c r="T820" s="1"/>
      <c r="U820" s="1"/>
      <c r="V820" s="1"/>
      <c r="W820" s="1"/>
      <c r="X820" s="1"/>
      <c r="Y820" s="1"/>
      <c r="Z820" s="1"/>
    </row>
    <row r="821">
      <c r="A821" s="1"/>
      <c r="B821" s="32"/>
      <c r="C821" s="1"/>
      <c r="D821" s="1"/>
      <c r="E821" s="1"/>
      <c r="F821" s="1"/>
      <c r="G821" s="1"/>
      <c r="H821" s="32"/>
      <c r="I821" s="1"/>
      <c r="J821" s="1"/>
      <c r="K821" s="1"/>
      <c r="L821" s="1"/>
      <c r="M821" s="1"/>
      <c r="N821" s="1"/>
      <c r="O821" s="1"/>
      <c r="P821" s="1"/>
      <c r="Q821" s="1"/>
      <c r="R821" s="1"/>
      <c r="S821" s="1"/>
      <c r="T821" s="1"/>
      <c r="U821" s="1"/>
      <c r="V821" s="1"/>
      <c r="W821" s="1"/>
      <c r="X821" s="1"/>
      <c r="Y821" s="1"/>
      <c r="Z821" s="1"/>
    </row>
    <row r="822">
      <c r="A822" s="1"/>
      <c r="B822" s="32"/>
      <c r="C822" s="1"/>
      <c r="D822" s="1"/>
      <c r="E822" s="1"/>
      <c r="F822" s="1"/>
      <c r="G822" s="1"/>
      <c r="H822" s="32"/>
      <c r="I822" s="1"/>
      <c r="J822" s="1"/>
      <c r="K822" s="1"/>
      <c r="L822" s="1"/>
      <c r="M822" s="1"/>
      <c r="N822" s="1"/>
      <c r="O822" s="1"/>
      <c r="P822" s="1"/>
      <c r="Q822" s="1"/>
      <c r="R822" s="1"/>
      <c r="S822" s="1"/>
      <c r="T822" s="1"/>
      <c r="U822" s="1"/>
      <c r="V822" s="1"/>
      <c r="W822" s="1"/>
      <c r="X822" s="1"/>
      <c r="Y822" s="1"/>
      <c r="Z822" s="1"/>
    </row>
    <row r="823">
      <c r="A823" s="1"/>
      <c r="B823" s="32"/>
      <c r="C823" s="1"/>
      <c r="D823" s="1"/>
      <c r="E823" s="1"/>
      <c r="F823" s="1"/>
      <c r="G823" s="1"/>
      <c r="H823" s="32"/>
      <c r="I823" s="1"/>
      <c r="J823" s="1"/>
      <c r="K823" s="1"/>
      <c r="L823" s="1"/>
      <c r="M823" s="1"/>
      <c r="N823" s="1"/>
      <c r="O823" s="1"/>
      <c r="P823" s="1"/>
      <c r="Q823" s="1"/>
      <c r="R823" s="1"/>
      <c r="S823" s="1"/>
      <c r="T823" s="1"/>
      <c r="U823" s="1"/>
      <c r="V823" s="1"/>
      <c r="W823" s="1"/>
      <c r="X823" s="1"/>
      <c r="Y823" s="1"/>
      <c r="Z823" s="1"/>
    </row>
    <row r="824">
      <c r="A824" s="1"/>
      <c r="B824" s="32"/>
      <c r="C824" s="1"/>
      <c r="D824" s="1"/>
      <c r="E824" s="1"/>
      <c r="F824" s="1"/>
      <c r="G824" s="1"/>
      <c r="H824" s="32"/>
      <c r="I824" s="1"/>
      <c r="J824" s="1"/>
      <c r="K824" s="1"/>
      <c r="L824" s="1"/>
      <c r="M824" s="1"/>
      <c r="N824" s="1"/>
      <c r="O824" s="1"/>
      <c r="P824" s="1"/>
      <c r="Q824" s="1"/>
      <c r="R824" s="1"/>
      <c r="S824" s="1"/>
      <c r="T824" s="1"/>
      <c r="U824" s="1"/>
      <c r="V824" s="1"/>
      <c r="W824" s="1"/>
      <c r="X824" s="1"/>
      <c r="Y824" s="1"/>
      <c r="Z824" s="1"/>
    </row>
    <row r="825">
      <c r="A825" s="1"/>
      <c r="B825" s="32"/>
      <c r="C825" s="1"/>
      <c r="D825" s="1"/>
      <c r="E825" s="1"/>
      <c r="F825" s="1"/>
      <c r="G825" s="1"/>
      <c r="H825" s="32"/>
      <c r="I825" s="1"/>
      <c r="J825" s="1"/>
      <c r="K825" s="1"/>
      <c r="L825" s="1"/>
      <c r="M825" s="1"/>
      <c r="N825" s="1"/>
      <c r="O825" s="1"/>
      <c r="P825" s="1"/>
      <c r="Q825" s="1"/>
      <c r="R825" s="1"/>
      <c r="S825" s="1"/>
      <c r="T825" s="1"/>
      <c r="U825" s="1"/>
      <c r="V825" s="1"/>
      <c r="W825" s="1"/>
      <c r="X825" s="1"/>
      <c r="Y825" s="1"/>
      <c r="Z825" s="1"/>
    </row>
    <row r="826">
      <c r="A826" s="1"/>
      <c r="B826" s="32"/>
      <c r="C826" s="1"/>
      <c r="D826" s="1"/>
      <c r="E826" s="1"/>
      <c r="F826" s="1"/>
      <c r="G826" s="1"/>
      <c r="H826" s="32"/>
      <c r="I826" s="1"/>
      <c r="J826" s="1"/>
      <c r="K826" s="1"/>
      <c r="L826" s="1"/>
      <c r="M826" s="1"/>
      <c r="N826" s="1"/>
      <c r="O826" s="1"/>
      <c r="P826" s="1"/>
      <c r="Q826" s="1"/>
      <c r="R826" s="1"/>
      <c r="S826" s="1"/>
      <c r="T826" s="1"/>
      <c r="U826" s="1"/>
      <c r="V826" s="1"/>
      <c r="W826" s="1"/>
      <c r="X826" s="1"/>
      <c r="Y826" s="1"/>
      <c r="Z826" s="1"/>
    </row>
    <row r="827">
      <c r="A827" s="1"/>
      <c r="B827" s="32"/>
      <c r="C827" s="1"/>
      <c r="D827" s="1"/>
      <c r="E827" s="1"/>
      <c r="F827" s="1"/>
      <c r="G827" s="1"/>
      <c r="H827" s="32"/>
      <c r="I827" s="1"/>
      <c r="J827" s="1"/>
      <c r="K827" s="1"/>
      <c r="L827" s="1"/>
      <c r="M827" s="1"/>
      <c r="N827" s="1"/>
      <c r="O827" s="1"/>
      <c r="P827" s="1"/>
      <c r="Q827" s="1"/>
      <c r="R827" s="1"/>
      <c r="S827" s="1"/>
      <c r="T827" s="1"/>
      <c r="U827" s="1"/>
      <c r="V827" s="1"/>
      <c r="W827" s="1"/>
      <c r="X827" s="1"/>
      <c r="Y827" s="1"/>
      <c r="Z827" s="1"/>
    </row>
    <row r="828">
      <c r="A828" s="1"/>
      <c r="B828" s="32"/>
      <c r="C828" s="1"/>
      <c r="D828" s="1"/>
      <c r="E828" s="1"/>
      <c r="F828" s="1"/>
      <c r="G828" s="1"/>
      <c r="H828" s="32"/>
      <c r="I828" s="1"/>
      <c r="J828" s="1"/>
      <c r="K828" s="1"/>
      <c r="L828" s="1"/>
      <c r="M828" s="1"/>
      <c r="N828" s="1"/>
      <c r="O828" s="1"/>
      <c r="P828" s="1"/>
      <c r="Q828" s="1"/>
      <c r="R828" s="1"/>
      <c r="S828" s="1"/>
      <c r="T828" s="1"/>
      <c r="U828" s="1"/>
      <c r="V828" s="1"/>
      <c r="W828" s="1"/>
      <c r="X828" s="1"/>
      <c r="Y828" s="1"/>
      <c r="Z828" s="1"/>
    </row>
    <row r="829">
      <c r="A829" s="1"/>
      <c r="B829" s="32"/>
      <c r="C829" s="1"/>
      <c r="D829" s="1"/>
      <c r="E829" s="1"/>
      <c r="F829" s="1"/>
      <c r="G829" s="1"/>
      <c r="H829" s="32"/>
      <c r="I829" s="1"/>
      <c r="J829" s="1"/>
      <c r="K829" s="1"/>
      <c r="L829" s="1"/>
      <c r="M829" s="1"/>
      <c r="N829" s="1"/>
      <c r="O829" s="1"/>
      <c r="P829" s="1"/>
      <c r="Q829" s="1"/>
      <c r="R829" s="1"/>
      <c r="S829" s="1"/>
      <c r="T829" s="1"/>
      <c r="U829" s="1"/>
      <c r="V829" s="1"/>
      <c r="W829" s="1"/>
      <c r="X829" s="1"/>
      <c r="Y829" s="1"/>
      <c r="Z829" s="1"/>
    </row>
    <row r="830">
      <c r="A830" s="1"/>
      <c r="B830" s="32"/>
      <c r="C830" s="1"/>
      <c r="D830" s="1"/>
      <c r="E830" s="1"/>
      <c r="F830" s="1"/>
      <c r="G830" s="1"/>
      <c r="H830" s="32"/>
      <c r="I830" s="1"/>
      <c r="J830" s="1"/>
      <c r="K830" s="1"/>
      <c r="L830" s="1"/>
      <c r="M830" s="1"/>
      <c r="N830" s="1"/>
      <c r="O830" s="1"/>
      <c r="P830" s="1"/>
      <c r="Q830" s="1"/>
      <c r="R830" s="1"/>
      <c r="S830" s="1"/>
      <c r="T830" s="1"/>
      <c r="U830" s="1"/>
      <c r="V830" s="1"/>
      <c r="W830" s="1"/>
      <c r="X830" s="1"/>
      <c r="Y830" s="1"/>
      <c r="Z830" s="1"/>
    </row>
    <row r="831">
      <c r="A831" s="1"/>
      <c r="B831" s="32"/>
      <c r="C831" s="1"/>
      <c r="D831" s="1"/>
      <c r="E831" s="1"/>
      <c r="F831" s="1"/>
      <c r="G831" s="1"/>
      <c r="H831" s="32"/>
      <c r="I831" s="1"/>
      <c r="J831" s="1"/>
      <c r="K831" s="1"/>
      <c r="L831" s="1"/>
      <c r="M831" s="1"/>
      <c r="N831" s="1"/>
      <c r="O831" s="1"/>
      <c r="P831" s="1"/>
      <c r="Q831" s="1"/>
      <c r="R831" s="1"/>
      <c r="S831" s="1"/>
      <c r="T831" s="1"/>
      <c r="U831" s="1"/>
      <c r="V831" s="1"/>
      <c r="W831" s="1"/>
      <c r="X831" s="1"/>
      <c r="Y831" s="1"/>
      <c r="Z831" s="1"/>
    </row>
    <row r="832">
      <c r="A832" s="1"/>
      <c r="B832" s="32"/>
      <c r="C832" s="1"/>
      <c r="D832" s="1"/>
      <c r="E832" s="1"/>
      <c r="F832" s="1"/>
      <c r="G832" s="1"/>
      <c r="H832" s="32"/>
      <c r="I832" s="1"/>
      <c r="J832" s="1"/>
      <c r="K832" s="1"/>
      <c r="L832" s="1"/>
      <c r="M832" s="1"/>
      <c r="N832" s="1"/>
      <c r="O832" s="1"/>
      <c r="P832" s="1"/>
      <c r="Q832" s="1"/>
      <c r="R832" s="1"/>
      <c r="S832" s="1"/>
      <c r="T832" s="1"/>
      <c r="U832" s="1"/>
      <c r="V832" s="1"/>
      <c r="W832" s="1"/>
      <c r="X832" s="1"/>
      <c r="Y832" s="1"/>
      <c r="Z832" s="1"/>
    </row>
    <row r="833">
      <c r="A833" s="1"/>
      <c r="B833" s="32"/>
      <c r="C833" s="1"/>
      <c r="D833" s="1"/>
      <c r="E833" s="1"/>
      <c r="F833" s="1"/>
      <c r="G833" s="1"/>
      <c r="H833" s="32"/>
      <c r="I833" s="1"/>
      <c r="J833" s="1"/>
      <c r="K833" s="1"/>
      <c r="L833" s="1"/>
      <c r="M833" s="1"/>
      <c r="N833" s="1"/>
      <c r="O833" s="1"/>
      <c r="P833" s="1"/>
      <c r="Q833" s="1"/>
      <c r="R833" s="1"/>
      <c r="S833" s="1"/>
      <c r="T833" s="1"/>
      <c r="U833" s="1"/>
      <c r="V833" s="1"/>
      <c r="W833" s="1"/>
      <c r="X833" s="1"/>
      <c r="Y833" s="1"/>
      <c r="Z833" s="1"/>
    </row>
    <row r="834">
      <c r="A834" s="1"/>
      <c r="B834" s="32"/>
      <c r="C834" s="1"/>
      <c r="D834" s="1"/>
      <c r="E834" s="1"/>
      <c r="F834" s="1"/>
      <c r="G834" s="1"/>
      <c r="H834" s="32"/>
      <c r="I834" s="1"/>
      <c r="J834" s="1"/>
      <c r="K834" s="1"/>
      <c r="L834" s="1"/>
      <c r="M834" s="1"/>
      <c r="N834" s="1"/>
      <c r="O834" s="1"/>
      <c r="P834" s="1"/>
      <c r="Q834" s="1"/>
      <c r="R834" s="1"/>
      <c r="S834" s="1"/>
      <c r="T834" s="1"/>
      <c r="U834" s="1"/>
      <c r="V834" s="1"/>
      <c r="W834" s="1"/>
      <c r="X834" s="1"/>
      <c r="Y834" s="1"/>
      <c r="Z834" s="1"/>
    </row>
    <row r="835">
      <c r="A835" s="1"/>
      <c r="B835" s="32"/>
      <c r="C835" s="1"/>
      <c r="D835" s="1"/>
      <c r="E835" s="1"/>
      <c r="F835" s="1"/>
      <c r="G835" s="1"/>
      <c r="H835" s="32"/>
      <c r="I835" s="1"/>
      <c r="J835" s="1"/>
      <c r="K835" s="1"/>
      <c r="L835" s="1"/>
      <c r="M835" s="1"/>
      <c r="N835" s="1"/>
      <c r="O835" s="1"/>
      <c r="P835" s="1"/>
      <c r="Q835" s="1"/>
      <c r="R835" s="1"/>
      <c r="S835" s="1"/>
      <c r="T835" s="1"/>
      <c r="U835" s="1"/>
      <c r="V835" s="1"/>
      <c r="W835" s="1"/>
      <c r="X835" s="1"/>
      <c r="Y835" s="1"/>
      <c r="Z835" s="1"/>
    </row>
    <row r="836">
      <c r="A836" s="1"/>
      <c r="B836" s="32"/>
      <c r="C836" s="1"/>
      <c r="D836" s="1"/>
      <c r="E836" s="1"/>
      <c r="F836" s="1"/>
      <c r="G836" s="1"/>
      <c r="H836" s="32"/>
      <c r="I836" s="1"/>
      <c r="J836" s="1"/>
      <c r="K836" s="1"/>
      <c r="L836" s="1"/>
      <c r="M836" s="1"/>
      <c r="N836" s="1"/>
      <c r="O836" s="1"/>
      <c r="P836" s="1"/>
      <c r="Q836" s="1"/>
      <c r="R836" s="1"/>
      <c r="S836" s="1"/>
      <c r="T836" s="1"/>
      <c r="U836" s="1"/>
      <c r="V836" s="1"/>
      <c r="W836" s="1"/>
      <c r="X836" s="1"/>
      <c r="Y836" s="1"/>
      <c r="Z836" s="1"/>
    </row>
    <row r="837">
      <c r="A837" s="1"/>
      <c r="B837" s="32"/>
      <c r="C837" s="1"/>
      <c r="D837" s="1"/>
      <c r="E837" s="1"/>
      <c r="F837" s="1"/>
      <c r="G837" s="1"/>
      <c r="H837" s="32"/>
      <c r="I837" s="1"/>
      <c r="J837" s="1"/>
      <c r="K837" s="1"/>
      <c r="L837" s="1"/>
      <c r="M837" s="1"/>
      <c r="N837" s="1"/>
      <c r="O837" s="1"/>
      <c r="P837" s="1"/>
      <c r="Q837" s="1"/>
      <c r="R837" s="1"/>
      <c r="S837" s="1"/>
      <c r="T837" s="1"/>
      <c r="U837" s="1"/>
      <c r="V837" s="1"/>
      <c r="W837" s="1"/>
      <c r="X837" s="1"/>
      <c r="Y837" s="1"/>
      <c r="Z837" s="1"/>
    </row>
    <row r="838">
      <c r="A838" s="1"/>
      <c r="B838" s="32"/>
      <c r="C838" s="1"/>
      <c r="D838" s="1"/>
      <c r="E838" s="1"/>
      <c r="F838" s="1"/>
      <c r="G838" s="1"/>
      <c r="H838" s="32"/>
      <c r="I838" s="1"/>
      <c r="J838" s="1"/>
      <c r="K838" s="1"/>
      <c r="L838" s="1"/>
      <c r="M838" s="1"/>
      <c r="N838" s="1"/>
      <c r="O838" s="1"/>
      <c r="P838" s="1"/>
      <c r="Q838" s="1"/>
      <c r="R838" s="1"/>
      <c r="S838" s="1"/>
      <c r="T838" s="1"/>
      <c r="U838" s="1"/>
      <c r="V838" s="1"/>
      <c r="W838" s="1"/>
      <c r="X838" s="1"/>
      <c r="Y838" s="1"/>
      <c r="Z838" s="1"/>
    </row>
    <row r="839">
      <c r="A839" s="1"/>
      <c r="B839" s="32"/>
      <c r="C839" s="1"/>
      <c r="D839" s="1"/>
      <c r="E839" s="1"/>
      <c r="F839" s="1"/>
      <c r="G839" s="1"/>
      <c r="H839" s="32"/>
      <c r="I839" s="1"/>
      <c r="J839" s="1"/>
      <c r="K839" s="1"/>
      <c r="L839" s="1"/>
      <c r="M839" s="1"/>
      <c r="N839" s="1"/>
      <c r="O839" s="1"/>
      <c r="P839" s="1"/>
      <c r="Q839" s="1"/>
      <c r="R839" s="1"/>
      <c r="S839" s="1"/>
      <c r="T839" s="1"/>
      <c r="U839" s="1"/>
      <c r="V839" s="1"/>
      <c r="W839" s="1"/>
      <c r="X839" s="1"/>
      <c r="Y839" s="1"/>
      <c r="Z839" s="1"/>
    </row>
    <row r="840">
      <c r="A840" s="1"/>
      <c r="B840" s="32"/>
      <c r="C840" s="1"/>
      <c r="D840" s="1"/>
      <c r="E840" s="1"/>
      <c r="F840" s="1"/>
      <c r="G840" s="1"/>
      <c r="H840" s="32"/>
      <c r="I840" s="1"/>
      <c r="J840" s="1"/>
      <c r="K840" s="1"/>
      <c r="L840" s="1"/>
      <c r="M840" s="1"/>
      <c r="N840" s="1"/>
      <c r="O840" s="1"/>
      <c r="P840" s="1"/>
      <c r="Q840" s="1"/>
      <c r="R840" s="1"/>
      <c r="S840" s="1"/>
      <c r="T840" s="1"/>
      <c r="U840" s="1"/>
      <c r="V840" s="1"/>
      <c r="W840" s="1"/>
      <c r="X840" s="1"/>
      <c r="Y840" s="1"/>
      <c r="Z840" s="1"/>
    </row>
    <row r="841">
      <c r="A841" s="1"/>
      <c r="B841" s="32"/>
      <c r="C841" s="1"/>
      <c r="D841" s="1"/>
      <c r="E841" s="1"/>
      <c r="F841" s="1"/>
      <c r="G841" s="1"/>
      <c r="H841" s="32"/>
      <c r="I841" s="1"/>
      <c r="J841" s="1"/>
      <c r="K841" s="1"/>
      <c r="L841" s="1"/>
      <c r="M841" s="1"/>
      <c r="N841" s="1"/>
      <c r="O841" s="1"/>
      <c r="P841" s="1"/>
      <c r="Q841" s="1"/>
      <c r="R841" s="1"/>
      <c r="S841" s="1"/>
      <c r="T841" s="1"/>
      <c r="U841" s="1"/>
      <c r="V841" s="1"/>
      <c r="W841" s="1"/>
      <c r="X841" s="1"/>
      <c r="Y841" s="1"/>
      <c r="Z841" s="1"/>
    </row>
    <row r="842">
      <c r="A842" s="1"/>
      <c r="B842" s="32"/>
      <c r="C842" s="1"/>
      <c r="D842" s="1"/>
      <c r="E842" s="1"/>
      <c r="F842" s="1"/>
      <c r="G842" s="1"/>
      <c r="H842" s="32"/>
      <c r="I842" s="1"/>
      <c r="J842" s="1"/>
      <c r="K842" s="1"/>
      <c r="L842" s="1"/>
      <c r="M842" s="1"/>
      <c r="N842" s="1"/>
      <c r="O842" s="1"/>
      <c r="P842" s="1"/>
      <c r="Q842" s="1"/>
      <c r="R842" s="1"/>
      <c r="S842" s="1"/>
      <c r="T842" s="1"/>
      <c r="U842" s="1"/>
      <c r="V842" s="1"/>
      <c r="W842" s="1"/>
      <c r="X842" s="1"/>
      <c r="Y842" s="1"/>
      <c r="Z842" s="1"/>
    </row>
    <row r="843">
      <c r="A843" s="1"/>
      <c r="B843" s="32"/>
      <c r="C843" s="1"/>
      <c r="D843" s="1"/>
      <c r="E843" s="1"/>
      <c r="F843" s="1"/>
      <c r="G843" s="1"/>
      <c r="H843" s="32"/>
      <c r="I843" s="1"/>
      <c r="J843" s="1"/>
      <c r="K843" s="1"/>
      <c r="L843" s="1"/>
      <c r="M843" s="1"/>
      <c r="N843" s="1"/>
      <c r="O843" s="1"/>
      <c r="P843" s="1"/>
      <c r="Q843" s="1"/>
      <c r="R843" s="1"/>
      <c r="S843" s="1"/>
      <c r="T843" s="1"/>
      <c r="U843" s="1"/>
      <c r="V843" s="1"/>
      <c r="W843" s="1"/>
      <c r="X843" s="1"/>
      <c r="Y843" s="1"/>
      <c r="Z843" s="1"/>
    </row>
    <row r="844">
      <c r="A844" s="1"/>
      <c r="B844" s="32"/>
      <c r="C844" s="1"/>
      <c r="D844" s="1"/>
      <c r="E844" s="1"/>
      <c r="F844" s="1"/>
      <c r="G844" s="1"/>
      <c r="H844" s="32"/>
      <c r="I844" s="1"/>
      <c r="J844" s="1"/>
      <c r="K844" s="1"/>
      <c r="L844" s="1"/>
      <c r="M844" s="1"/>
      <c r="N844" s="1"/>
      <c r="O844" s="1"/>
      <c r="P844" s="1"/>
      <c r="Q844" s="1"/>
      <c r="R844" s="1"/>
      <c r="S844" s="1"/>
      <c r="T844" s="1"/>
      <c r="U844" s="1"/>
      <c r="V844" s="1"/>
      <c r="W844" s="1"/>
      <c r="X844" s="1"/>
      <c r="Y844" s="1"/>
      <c r="Z844" s="1"/>
    </row>
    <row r="845">
      <c r="A845" s="1"/>
      <c r="B845" s="32"/>
      <c r="C845" s="1"/>
      <c r="D845" s="1"/>
      <c r="E845" s="1"/>
      <c r="F845" s="1"/>
      <c r="G845" s="1"/>
      <c r="H845" s="32"/>
      <c r="I845" s="1"/>
      <c r="J845" s="1"/>
      <c r="K845" s="1"/>
      <c r="L845" s="1"/>
      <c r="M845" s="1"/>
      <c r="N845" s="1"/>
      <c r="O845" s="1"/>
      <c r="P845" s="1"/>
      <c r="Q845" s="1"/>
      <c r="R845" s="1"/>
      <c r="S845" s="1"/>
      <c r="T845" s="1"/>
      <c r="U845" s="1"/>
      <c r="V845" s="1"/>
      <c r="W845" s="1"/>
      <c r="X845" s="1"/>
      <c r="Y845" s="1"/>
      <c r="Z845" s="1"/>
    </row>
    <row r="846">
      <c r="A846" s="1"/>
      <c r="B846" s="32"/>
      <c r="C846" s="1"/>
      <c r="D846" s="1"/>
      <c r="E846" s="1"/>
      <c r="F846" s="1"/>
      <c r="G846" s="1"/>
      <c r="H846" s="32"/>
      <c r="I846" s="1"/>
      <c r="J846" s="1"/>
      <c r="K846" s="1"/>
      <c r="L846" s="1"/>
      <c r="M846" s="1"/>
      <c r="N846" s="1"/>
      <c r="O846" s="1"/>
      <c r="P846" s="1"/>
      <c r="Q846" s="1"/>
      <c r="R846" s="1"/>
      <c r="S846" s="1"/>
      <c r="T846" s="1"/>
      <c r="U846" s="1"/>
      <c r="V846" s="1"/>
      <c r="W846" s="1"/>
      <c r="X846" s="1"/>
      <c r="Y846" s="1"/>
      <c r="Z846" s="1"/>
    </row>
    <row r="847">
      <c r="A847" s="1"/>
      <c r="B847" s="32"/>
      <c r="C847" s="1"/>
      <c r="D847" s="1"/>
      <c r="E847" s="1"/>
      <c r="F847" s="1"/>
      <c r="G847" s="1"/>
      <c r="H847" s="32"/>
      <c r="I847" s="1"/>
      <c r="J847" s="1"/>
      <c r="K847" s="1"/>
      <c r="L847" s="1"/>
      <c r="M847" s="1"/>
      <c r="N847" s="1"/>
      <c r="O847" s="1"/>
      <c r="P847" s="1"/>
      <c r="Q847" s="1"/>
      <c r="R847" s="1"/>
      <c r="S847" s="1"/>
      <c r="T847" s="1"/>
      <c r="U847" s="1"/>
      <c r="V847" s="1"/>
      <c r="W847" s="1"/>
      <c r="X847" s="1"/>
      <c r="Y847" s="1"/>
      <c r="Z847" s="1"/>
    </row>
    <row r="848">
      <c r="A848" s="1"/>
      <c r="B848" s="32"/>
      <c r="C848" s="1"/>
      <c r="D848" s="1"/>
      <c r="E848" s="1"/>
      <c r="F848" s="1"/>
      <c r="G848" s="1"/>
      <c r="H848" s="32"/>
      <c r="I848" s="1"/>
      <c r="J848" s="1"/>
      <c r="K848" s="1"/>
      <c r="L848" s="1"/>
      <c r="M848" s="1"/>
      <c r="N848" s="1"/>
      <c r="O848" s="1"/>
      <c r="P848" s="1"/>
      <c r="Q848" s="1"/>
      <c r="R848" s="1"/>
      <c r="S848" s="1"/>
      <c r="T848" s="1"/>
      <c r="U848" s="1"/>
      <c r="V848" s="1"/>
      <c r="W848" s="1"/>
      <c r="X848" s="1"/>
      <c r="Y848" s="1"/>
      <c r="Z848" s="1"/>
    </row>
    <row r="849">
      <c r="A849" s="1"/>
      <c r="B849" s="32"/>
      <c r="C849" s="1"/>
      <c r="D849" s="1"/>
      <c r="E849" s="1"/>
      <c r="F849" s="1"/>
      <c r="G849" s="1"/>
      <c r="H849" s="32"/>
      <c r="I849" s="1"/>
      <c r="J849" s="1"/>
      <c r="K849" s="1"/>
      <c r="L849" s="1"/>
      <c r="M849" s="1"/>
      <c r="N849" s="1"/>
      <c r="O849" s="1"/>
      <c r="P849" s="1"/>
      <c r="Q849" s="1"/>
      <c r="R849" s="1"/>
      <c r="S849" s="1"/>
      <c r="T849" s="1"/>
      <c r="U849" s="1"/>
      <c r="V849" s="1"/>
      <c r="W849" s="1"/>
      <c r="X849" s="1"/>
      <c r="Y849" s="1"/>
      <c r="Z849" s="1"/>
    </row>
    <row r="850">
      <c r="A850" s="1"/>
      <c r="B850" s="32"/>
      <c r="C850" s="1"/>
      <c r="D850" s="1"/>
      <c r="E850" s="1"/>
      <c r="F850" s="1"/>
      <c r="G850" s="1"/>
      <c r="H850" s="32"/>
      <c r="I850" s="1"/>
      <c r="J850" s="1"/>
      <c r="K850" s="1"/>
      <c r="L850" s="1"/>
      <c r="M850" s="1"/>
      <c r="N850" s="1"/>
      <c r="O850" s="1"/>
      <c r="P850" s="1"/>
      <c r="Q850" s="1"/>
      <c r="R850" s="1"/>
      <c r="S850" s="1"/>
      <c r="T850" s="1"/>
      <c r="U850" s="1"/>
      <c r="V850" s="1"/>
      <c r="W850" s="1"/>
      <c r="X850" s="1"/>
      <c r="Y850" s="1"/>
      <c r="Z850" s="1"/>
    </row>
    <row r="851">
      <c r="A851" s="1"/>
      <c r="B851" s="32"/>
      <c r="C851" s="1"/>
      <c r="D851" s="1"/>
      <c r="E851" s="1"/>
      <c r="F851" s="1"/>
      <c r="G851" s="1"/>
      <c r="H851" s="32"/>
      <c r="I851" s="1"/>
      <c r="J851" s="1"/>
      <c r="K851" s="1"/>
      <c r="L851" s="1"/>
      <c r="M851" s="1"/>
      <c r="N851" s="1"/>
      <c r="O851" s="1"/>
      <c r="P851" s="1"/>
      <c r="Q851" s="1"/>
      <c r="R851" s="1"/>
      <c r="S851" s="1"/>
      <c r="T851" s="1"/>
      <c r="U851" s="1"/>
      <c r="V851" s="1"/>
      <c r="W851" s="1"/>
      <c r="X851" s="1"/>
      <c r="Y851" s="1"/>
      <c r="Z851" s="1"/>
    </row>
    <row r="852">
      <c r="A852" s="1"/>
      <c r="B852" s="32"/>
      <c r="C852" s="1"/>
      <c r="D852" s="1"/>
      <c r="E852" s="1"/>
      <c r="F852" s="1"/>
      <c r="G852" s="1"/>
      <c r="H852" s="32"/>
      <c r="I852" s="1"/>
      <c r="J852" s="1"/>
      <c r="K852" s="1"/>
      <c r="L852" s="1"/>
      <c r="M852" s="1"/>
      <c r="N852" s="1"/>
      <c r="O852" s="1"/>
      <c r="P852" s="1"/>
      <c r="Q852" s="1"/>
      <c r="R852" s="1"/>
      <c r="S852" s="1"/>
      <c r="T852" s="1"/>
      <c r="U852" s="1"/>
      <c r="V852" s="1"/>
      <c r="W852" s="1"/>
      <c r="X852" s="1"/>
      <c r="Y852" s="1"/>
      <c r="Z852" s="1"/>
    </row>
    <row r="853">
      <c r="A853" s="1"/>
      <c r="B853" s="32"/>
      <c r="C853" s="1"/>
      <c r="D853" s="1"/>
      <c r="E853" s="1"/>
      <c r="F853" s="1"/>
      <c r="G853" s="1"/>
      <c r="H853" s="32"/>
      <c r="I853" s="1"/>
      <c r="J853" s="1"/>
      <c r="K853" s="1"/>
      <c r="L853" s="1"/>
      <c r="M853" s="1"/>
      <c r="N853" s="1"/>
      <c r="O853" s="1"/>
      <c r="P853" s="1"/>
      <c r="Q853" s="1"/>
      <c r="R853" s="1"/>
      <c r="S853" s="1"/>
      <c r="T853" s="1"/>
      <c r="U853" s="1"/>
      <c r="V853" s="1"/>
      <c r="W853" s="1"/>
      <c r="X853" s="1"/>
      <c r="Y853" s="1"/>
      <c r="Z853" s="1"/>
    </row>
    <row r="854">
      <c r="A854" s="1"/>
      <c r="B854" s="32"/>
      <c r="C854" s="1"/>
      <c r="D854" s="1"/>
      <c r="E854" s="1"/>
      <c r="F854" s="1"/>
      <c r="G854" s="1"/>
      <c r="H854" s="32"/>
      <c r="I854" s="1"/>
      <c r="J854" s="1"/>
      <c r="K854" s="1"/>
      <c r="L854" s="1"/>
      <c r="M854" s="1"/>
      <c r="N854" s="1"/>
      <c r="O854" s="1"/>
      <c r="P854" s="1"/>
      <c r="Q854" s="1"/>
      <c r="R854" s="1"/>
      <c r="S854" s="1"/>
      <c r="T854" s="1"/>
      <c r="U854" s="1"/>
      <c r="V854" s="1"/>
      <c r="W854" s="1"/>
      <c r="X854" s="1"/>
      <c r="Y854" s="1"/>
      <c r="Z854" s="1"/>
    </row>
    <row r="855">
      <c r="A855" s="1"/>
      <c r="B855" s="32"/>
      <c r="C855" s="1"/>
      <c r="D855" s="1"/>
      <c r="E855" s="1"/>
      <c r="F855" s="1"/>
      <c r="G855" s="1"/>
      <c r="H855" s="32"/>
      <c r="I855" s="1"/>
      <c r="J855" s="1"/>
      <c r="K855" s="1"/>
      <c r="L855" s="1"/>
      <c r="M855" s="1"/>
      <c r="N855" s="1"/>
      <c r="O855" s="1"/>
      <c r="P855" s="1"/>
      <c r="Q855" s="1"/>
      <c r="R855" s="1"/>
      <c r="S855" s="1"/>
      <c r="T855" s="1"/>
      <c r="U855" s="1"/>
      <c r="V855" s="1"/>
      <c r="W855" s="1"/>
      <c r="X855" s="1"/>
      <c r="Y855" s="1"/>
      <c r="Z855" s="1"/>
    </row>
    <row r="856">
      <c r="A856" s="1"/>
      <c r="B856" s="32"/>
      <c r="C856" s="1"/>
      <c r="D856" s="1"/>
      <c r="E856" s="1"/>
      <c r="F856" s="1"/>
      <c r="G856" s="1"/>
      <c r="H856" s="32"/>
      <c r="I856" s="1"/>
      <c r="J856" s="1"/>
      <c r="K856" s="1"/>
      <c r="L856" s="1"/>
      <c r="M856" s="1"/>
      <c r="N856" s="1"/>
      <c r="O856" s="1"/>
      <c r="P856" s="1"/>
      <c r="Q856" s="1"/>
      <c r="R856" s="1"/>
      <c r="S856" s="1"/>
      <c r="T856" s="1"/>
      <c r="U856" s="1"/>
      <c r="V856" s="1"/>
      <c r="W856" s="1"/>
      <c r="X856" s="1"/>
      <c r="Y856" s="1"/>
      <c r="Z856" s="1"/>
    </row>
    <row r="857">
      <c r="A857" s="1"/>
      <c r="B857" s="32"/>
      <c r="C857" s="1"/>
      <c r="D857" s="1"/>
      <c r="E857" s="1"/>
      <c r="F857" s="1"/>
      <c r="G857" s="1"/>
      <c r="H857" s="32"/>
      <c r="I857" s="1"/>
      <c r="J857" s="1"/>
      <c r="K857" s="1"/>
      <c r="L857" s="1"/>
      <c r="M857" s="1"/>
      <c r="N857" s="1"/>
      <c r="O857" s="1"/>
      <c r="P857" s="1"/>
      <c r="Q857" s="1"/>
      <c r="R857" s="1"/>
      <c r="S857" s="1"/>
      <c r="T857" s="1"/>
      <c r="U857" s="1"/>
      <c r="V857" s="1"/>
      <c r="W857" s="1"/>
      <c r="X857" s="1"/>
      <c r="Y857" s="1"/>
      <c r="Z857" s="1"/>
    </row>
    <row r="858">
      <c r="A858" s="1"/>
      <c r="B858" s="32"/>
      <c r="C858" s="1"/>
      <c r="D858" s="1"/>
      <c r="E858" s="1"/>
      <c r="F858" s="1"/>
      <c r="G858" s="1"/>
      <c r="H858" s="32"/>
      <c r="I858" s="1"/>
      <c r="J858" s="1"/>
      <c r="K858" s="1"/>
      <c r="L858" s="1"/>
      <c r="M858" s="1"/>
      <c r="N858" s="1"/>
      <c r="O858" s="1"/>
      <c r="P858" s="1"/>
      <c r="Q858" s="1"/>
      <c r="R858" s="1"/>
      <c r="S858" s="1"/>
      <c r="T858" s="1"/>
      <c r="U858" s="1"/>
      <c r="V858" s="1"/>
      <c r="W858" s="1"/>
      <c r="X858" s="1"/>
      <c r="Y858" s="1"/>
      <c r="Z858" s="1"/>
    </row>
    <row r="859">
      <c r="A859" s="1"/>
      <c r="B859" s="32"/>
      <c r="C859" s="1"/>
      <c r="D859" s="1"/>
      <c r="E859" s="1"/>
      <c r="F859" s="1"/>
      <c r="G859" s="1"/>
      <c r="H859" s="32"/>
      <c r="I859" s="1"/>
      <c r="J859" s="1"/>
      <c r="K859" s="1"/>
      <c r="L859" s="1"/>
      <c r="M859" s="1"/>
      <c r="N859" s="1"/>
      <c r="O859" s="1"/>
      <c r="P859" s="1"/>
      <c r="Q859" s="1"/>
      <c r="R859" s="1"/>
      <c r="S859" s="1"/>
      <c r="T859" s="1"/>
      <c r="U859" s="1"/>
      <c r="V859" s="1"/>
      <c r="W859" s="1"/>
      <c r="X859" s="1"/>
      <c r="Y859" s="1"/>
      <c r="Z859" s="1"/>
    </row>
    <row r="860">
      <c r="A860" s="1"/>
      <c r="B860" s="32"/>
      <c r="C860" s="1"/>
      <c r="D860" s="1"/>
      <c r="E860" s="1"/>
      <c r="F860" s="1"/>
      <c r="G860" s="1"/>
      <c r="H860" s="32"/>
      <c r="I860" s="1"/>
      <c r="J860" s="1"/>
      <c r="K860" s="1"/>
      <c r="L860" s="1"/>
      <c r="M860" s="1"/>
      <c r="N860" s="1"/>
      <c r="O860" s="1"/>
      <c r="P860" s="1"/>
      <c r="Q860" s="1"/>
      <c r="R860" s="1"/>
      <c r="S860" s="1"/>
      <c r="T860" s="1"/>
      <c r="U860" s="1"/>
      <c r="V860" s="1"/>
      <c r="W860" s="1"/>
      <c r="X860" s="1"/>
      <c r="Y860" s="1"/>
      <c r="Z860" s="1"/>
    </row>
    <row r="861">
      <c r="A861" s="1"/>
      <c r="B861" s="32"/>
      <c r="C861" s="1"/>
      <c r="D861" s="1"/>
      <c r="E861" s="1"/>
      <c r="F861" s="1"/>
      <c r="G861" s="1"/>
      <c r="H861" s="32"/>
      <c r="I861" s="1"/>
      <c r="J861" s="1"/>
      <c r="K861" s="1"/>
      <c r="L861" s="1"/>
      <c r="M861" s="1"/>
      <c r="N861" s="1"/>
      <c r="O861" s="1"/>
      <c r="P861" s="1"/>
      <c r="Q861" s="1"/>
      <c r="R861" s="1"/>
      <c r="S861" s="1"/>
      <c r="T861" s="1"/>
      <c r="U861" s="1"/>
      <c r="V861" s="1"/>
      <c r="W861" s="1"/>
      <c r="X861" s="1"/>
      <c r="Y861" s="1"/>
      <c r="Z861" s="1"/>
    </row>
    <row r="862">
      <c r="A862" s="1"/>
      <c r="B862" s="32"/>
      <c r="C862" s="1"/>
      <c r="D862" s="1"/>
      <c r="E862" s="1"/>
      <c r="F862" s="1"/>
      <c r="G862" s="1"/>
      <c r="H862" s="32"/>
      <c r="I862" s="1"/>
      <c r="J862" s="1"/>
      <c r="K862" s="1"/>
      <c r="L862" s="1"/>
      <c r="M862" s="1"/>
      <c r="N862" s="1"/>
      <c r="O862" s="1"/>
      <c r="P862" s="1"/>
      <c r="Q862" s="1"/>
      <c r="R862" s="1"/>
      <c r="S862" s="1"/>
      <c r="T862" s="1"/>
      <c r="U862" s="1"/>
      <c r="V862" s="1"/>
      <c r="W862" s="1"/>
      <c r="X862" s="1"/>
      <c r="Y862" s="1"/>
      <c r="Z862" s="1"/>
    </row>
    <row r="863">
      <c r="A863" s="1"/>
      <c r="B863" s="32"/>
      <c r="C863" s="1"/>
      <c r="D863" s="1"/>
      <c r="E863" s="1"/>
      <c r="F863" s="1"/>
      <c r="G863" s="1"/>
      <c r="H863" s="32"/>
      <c r="I863" s="1"/>
      <c r="J863" s="1"/>
      <c r="K863" s="1"/>
      <c r="L863" s="1"/>
      <c r="M863" s="1"/>
      <c r="N863" s="1"/>
      <c r="O863" s="1"/>
      <c r="P863" s="1"/>
      <c r="Q863" s="1"/>
      <c r="R863" s="1"/>
      <c r="S863" s="1"/>
      <c r="T863" s="1"/>
      <c r="U863" s="1"/>
      <c r="V863" s="1"/>
      <c r="W863" s="1"/>
      <c r="X863" s="1"/>
      <c r="Y863" s="1"/>
      <c r="Z863" s="1"/>
    </row>
    <row r="864">
      <c r="A864" s="1"/>
      <c r="B864" s="32"/>
      <c r="C864" s="1"/>
      <c r="D864" s="1"/>
      <c r="E864" s="1"/>
      <c r="F864" s="1"/>
      <c r="G864" s="1"/>
      <c r="H864" s="32"/>
      <c r="I864" s="1"/>
      <c r="J864" s="1"/>
      <c r="K864" s="1"/>
      <c r="L864" s="1"/>
      <c r="M864" s="1"/>
      <c r="N864" s="1"/>
      <c r="O864" s="1"/>
      <c r="P864" s="1"/>
      <c r="Q864" s="1"/>
      <c r="R864" s="1"/>
      <c r="S864" s="1"/>
      <c r="T864" s="1"/>
      <c r="U864" s="1"/>
      <c r="V864" s="1"/>
      <c r="W864" s="1"/>
      <c r="X864" s="1"/>
      <c r="Y864" s="1"/>
      <c r="Z864" s="1"/>
    </row>
    <row r="865">
      <c r="A865" s="1"/>
      <c r="B865" s="32"/>
      <c r="C865" s="1"/>
      <c r="D865" s="1"/>
      <c r="E865" s="1"/>
      <c r="F865" s="1"/>
      <c r="G865" s="1"/>
      <c r="H865" s="32"/>
      <c r="I865" s="1"/>
      <c r="J865" s="1"/>
      <c r="K865" s="1"/>
      <c r="L865" s="1"/>
      <c r="M865" s="1"/>
      <c r="N865" s="1"/>
      <c r="O865" s="1"/>
      <c r="P865" s="1"/>
      <c r="Q865" s="1"/>
      <c r="R865" s="1"/>
      <c r="S865" s="1"/>
      <c r="T865" s="1"/>
      <c r="U865" s="1"/>
      <c r="V865" s="1"/>
      <c r="W865" s="1"/>
      <c r="X865" s="1"/>
      <c r="Y865" s="1"/>
      <c r="Z865" s="1"/>
    </row>
    <row r="866">
      <c r="A866" s="1"/>
      <c r="B866" s="32"/>
      <c r="C866" s="1"/>
      <c r="D866" s="1"/>
      <c r="E866" s="1"/>
      <c r="F866" s="1"/>
      <c r="G866" s="1"/>
      <c r="H866" s="32"/>
      <c r="I866" s="1"/>
      <c r="J866" s="1"/>
      <c r="K866" s="1"/>
      <c r="L866" s="1"/>
      <c r="M866" s="1"/>
      <c r="N866" s="1"/>
      <c r="O866" s="1"/>
      <c r="P866" s="1"/>
      <c r="Q866" s="1"/>
      <c r="R866" s="1"/>
      <c r="S866" s="1"/>
      <c r="T866" s="1"/>
      <c r="U866" s="1"/>
      <c r="V866" s="1"/>
      <c r="W866" s="1"/>
      <c r="X866" s="1"/>
      <c r="Y866" s="1"/>
      <c r="Z866" s="1"/>
    </row>
    <row r="867">
      <c r="A867" s="1"/>
      <c r="B867" s="32"/>
      <c r="C867" s="1"/>
      <c r="D867" s="1"/>
      <c r="E867" s="1"/>
      <c r="F867" s="1"/>
      <c r="G867" s="1"/>
      <c r="H867" s="32"/>
      <c r="I867" s="1"/>
      <c r="J867" s="1"/>
      <c r="K867" s="1"/>
      <c r="L867" s="1"/>
      <c r="M867" s="1"/>
      <c r="N867" s="1"/>
      <c r="O867" s="1"/>
      <c r="P867" s="1"/>
      <c r="Q867" s="1"/>
      <c r="R867" s="1"/>
      <c r="S867" s="1"/>
      <c r="T867" s="1"/>
      <c r="U867" s="1"/>
      <c r="V867" s="1"/>
      <c r="W867" s="1"/>
      <c r="X867" s="1"/>
      <c r="Y867" s="1"/>
      <c r="Z867" s="1"/>
    </row>
    <row r="868">
      <c r="A868" s="1"/>
      <c r="B868" s="32"/>
      <c r="C868" s="1"/>
      <c r="D868" s="1"/>
      <c r="E868" s="1"/>
      <c r="F868" s="1"/>
      <c r="G868" s="1"/>
      <c r="H868" s="32"/>
      <c r="I868" s="1"/>
      <c r="J868" s="1"/>
      <c r="K868" s="1"/>
      <c r="L868" s="1"/>
      <c r="M868" s="1"/>
      <c r="N868" s="1"/>
      <c r="O868" s="1"/>
      <c r="P868" s="1"/>
      <c r="Q868" s="1"/>
      <c r="R868" s="1"/>
      <c r="S868" s="1"/>
      <c r="T868" s="1"/>
      <c r="U868" s="1"/>
      <c r="V868" s="1"/>
      <c r="W868" s="1"/>
      <c r="X868" s="1"/>
      <c r="Y868" s="1"/>
      <c r="Z868" s="1"/>
    </row>
    <row r="869">
      <c r="A869" s="1"/>
      <c r="B869" s="32"/>
      <c r="C869" s="1"/>
      <c r="D869" s="1"/>
      <c r="E869" s="1"/>
      <c r="F869" s="1"/>
      <c r="G869" s="1"/>
      <c r="H869" s="32"/>
      <c r="I869" s="1"/>
      <c r="J869" s="1"/>
      <c r="K869" s="1"/>
      <c r="L869" s="1"/>
      <c r="M869" s="1"/>
      <c r="N869" s="1"/>
      <c r="O869" s="1"/>
      <c r="P869" s="1"/>
      <c r="Q869" s="1"/>
      <c r="R869" s="1"/>
      <c r="S869" s="1"/>
      <c r="T869" s="1"/>
      <c r="U869" s="1"/>
      <c r="V869" s="1"/>
      <c r="W869" s="1"/>
      <c r="X869" s="1"/>
      <c r="Y869" s="1"/>
      <c r="Z869" s="1"/>
    </row>
    <row r="870">
      <c r="A870" s="1"/>
      <c r="B870" s="32"/>
      <c r="C870" s="1"/>
      <c r="D870" s="1"/>
      <c r="E870" s="1"/>
      <c r="F870" s="1"/>
      <c r="G870" s="1"/>
      <c r="H870" s="32"/>
      <c r="I870" s="1"/>
      <c r="J870" s="1"/>
      <c r="K870" s="1"/>
      <c r="L870" s="1"/>
      <c r="M870" s="1"/>
      <c r="N870" s="1"/>
      <c r="O870" s="1"/>
      <c r="P870" s="1"/>
      <c r="Q870" s="1"/>
      <c r="R870" s="1"/>
      <c r="S870" s="1"/>
      <c r="T870" s="1"/>
      <c r="U870" s="1"/>
      <c r="V870" s="1"/>
      <c r="W870" s="1"/>
      <c r="X870" s="1"/>
      <c r="Y870" s="1"/>
      <c r="Z870" s="1"/>
    </row>
    <row r="871">
      <c r="A871" s="1"/>
      <c r="B871" s="32"/>
      <c r="C871" s="1"/>
      <c r="D871" s="1"/>
      <c r="E871" s="1"/>
      <c r="F871" s="1"/>
      <c r="G871" s="1"/>
      <c r="H871" s="32"/>
      <c r="I871" s="1"/>
      <c r="J871" s="1"/>
      <c r="K871" s="1"/>
      <c r="L871" s="1"/>
      <c r="M871" s="1"/>
      <c r="N871" s="1"/>
      <c r="O871" s="1"/>
      <c r="P871" s="1"/>
      <c r="Q871" s="1"/>
      <c r="R871" s="1"/>
      <c r="S871" s="1"/>
      <c r="T871" s="1"/>
      <c r="U871" s="1"/>
      <c r="V871" s="1"/>
      <c r="W871" s="1"/>
      <c r="X871" s="1"/>
      <c r="Y871" s="1"/>
      <c r="Z871" s="1"/>
    </row>
    <row r="872">
      <c r="A872" s="1"/>
      <c r="B872" s="32"/>
      <c r="C872" s="1"/>
      <c r="D872" s="1"/>
      <c r="E872" s="1"/>
      <c r="F872" s="1"/>
      <c r="G872" s="1"/>
      <c r="H872" s="32"/>
      <c r="I872" s="1"/>
      <c r="J872" s="1"/>
      <c r="K872" s="1"/>
      <c r="L872" s="1"/>
      <c r="M872" s="1"/>
      <c r="N872" s="1"/>
      <c r="O872" s="1"/>
      <c r="P872" s="1"/>
      <c r="Q872" s="1"/>
      <c r="R872" s="1"/>
      <c r="S872" s="1"/>
      <c r="T872" s="1"/>
      <c r="U872" s="1"/>
      <c r="V872" s="1"/>
      <c r="W872" s="1"/>
      <c r="X872" s="1"/>
      <c r="Y872" s="1"/>
      <c r="Z872" s="1"/>
    </row>
    <row r="873">
      <c r="A873" s="1"/>
      <c r="B873" s="32"/>
      <c r="C873" s="1"/>
      <c r="D873" s="1"/>
      <c r="E873" s="1"/>
      <c r="F873" s="1"/>
      <c r="G873" s="1"/>
      <c r="H873" s="32"/>
      <c r="I873" s="1"/>
      <c r="J873" s="1"/>
      <c r="K873" s="1"/>
      <c r="L873" s="1"/>
      <c r="M873" s="1"/>
      <c r="N873" s="1"/>
      <c r="O873" s="1"/>
      <c r="P873" s="1"/>
      <c r="Q873" s="1"/>
      <c r="R873" s="1"/>
      <c r="S873" s="1"/>
      <c r="T873" s="1"/>
      <c r="U873" s="1"/>
      <c r="V873" s="1"/>
      <c r="W873" s="1"/>
      <c r="X873" s="1"/>
      <c r="Y873" s="1"/>
      <c r="Z873" s="1"/>
    </row>
    <row r="874">
      <c r="A874" s="1"/>
      <c r="B874" s="32"/>
      <c r="C874" s="1"/>
      <c r="D874" s="1"/>
      <c r="E874" s="1"/>
      <c r="F874" s="1"/>
      <c r="G874" s="1"/>
      <c r="H874" s="32"/>
      <c r="I874" s="1"/>
      <c r="J874" s="1"/>
      <c r="K874" s="1"/>
      <c r="L874" s="1"/>
      <c r="M874" s="1"/>
      <c r="N874" s="1"/>
      <c r="O874" s="1"/>
      <c r="P874" s="1"/>
      <c r="Q874" s="1"/>
      <c r="R874" s="1"/>
      <c r="S874" s="1"/>
      <c r="T874" s="1"/>
      <c r="U874" s="1"/>
      <c r="V874" s="1"/>
      <c r="W874" s="1"/>
      <c r="X874" s="1"/>
      <c r="Y874" s="1"/>
      <c r="Z874" s="1"/>
    </row>
    <row r="875">
      <c r="A875" s="1"/>
      <c r="B875" s="32"/>
      <c r="C875" s="1"/>
      <c r="D875" s="1"/>
      <c r="E875" s="1"/>
      <c r="F875" s="1"/>
      <c r="G875" s="1"/>
      <c r="H875" s="32"/>
      <c r="I875" s="1"/>
      <c r="J875" s="1"/>
      <c r="K875" s="1"/>
      <c r="L875" s="1"/>
      <c r="M875" s="1"/>
      <c r="N875" s="1"/>
      <c r="O875" s="1"/>
      <c r="P875" s="1"/>
      <c r="Q875" s="1"/>
      <c r="R875" s="1"/>
      <c r="S875" s="1"/>
      <c r="T875" s="1"/>
      <c r="U875" s="1"/>
      <c r="V875" s="1"/>
      <c r="W875" s="1"/>
      <c r="X875" s="1"/>
      <c r="Y875" s="1"/>
      <c r="Z875" s="1"/>
    </row>
    <row r="876">
      <c r="A876" s="1"/>
      <c r="B876" s="32"/>
      <c r="C876" s="1"/>
      <c r="D876" s="1"/>
      <c r="E876" s="1"/>
      <c r="F876" s="1"/>
      <c r="G876" s="1"/>
      <c r="H876" s="32"/>
      <c r="I876" s="1"/>
      <c r="J876" s="1"/>
      <c r="K876" s="1"/>
      <c r="L876" s="1"/>
      <c r="M876" s="1"/>
      <c r="N876" s="1"/>
      <c r="O876" s="1"/>
      <c r="P876" s="1"/>
      <c r="Q876" s="1"/>
      <c r="R876" s="1"/>
      <c r="S876" s="1"/>
      <c r="T876" s="1"/>
      <c r="U876" s="1"/>
      <c r="V876" s="1"/>
      <c r="W876" s="1"/>
      <c r="X876" s="1"/>
      <c r="Y876" s="1"/>
      <c r="Z876" s="1"/>
    </row>
    <row r="877">
      <c r="A877" s="1"/>
      <c r="B877" s="32"/>
      <c r="C877" s="1"/>
      <c r="D877" s="1"/>
      <c r="E877" s="1"/>
      <c r="F877" s="1"/>
      <c r="G877" s="1"/>
      <c r="H877" s="32"/>
      <c r="I877" s="1"/>
      <c r="J877" s="1"/>
      <c r="K877" s="1"/>
      <c r="L877" s="1"/>
      <c r="M877" s="1"/>
      <c r="N877" s="1"/>
      <c r="O877" s="1"/>
      <c r="P877" s="1"/>
      <c r="Q877" s="1"/>
      <c r="R877" s="1"/>
      <c r="S877" s="1"/>
      <c r="T877" s="1"/>
      <c r="U877" s="1"/>
      <c r="V877" s="1"/>
      <c r="W877" s="1"/>
      <c r="X877" s="1"/>
      <c r="Y877" s="1"/>
      <c r="Z877" s="1"/>
    </row>
    <row r="878">
      <c r="A878" s="1"/>
      <c r="B878" s="32"/>
      <c r="C878" s="1"/>
      <c r="D878" s="1"/>
      <c r="E878" s="1"/>
      <c r="F878" s="1"/>
      <c r="G878" s="1"/>
      <c r="H878" s="32"/>
      <c r="I878" s="1"/>
      <c r="J878" s="1"/>
      <c r="K878" s="1"/>
      <c r="L878" s="1"/>
      <c r="M878" s="1"/>
      <c r="N878" s="1"/>
      <c r="O878" s="1"/>
      <c r="P878" s="1"/>
      <c r="Q878" s="1"/>
      <c r="R878" s="1"/>
      <c r="S878" s="1"/>
      <c r="T878" s="1"/>
      <c r="U878" s="1"/>
      <c r="V878" s="1"/>
      <c r="W878" s="1"/>
      <c r="X878" s="1"/>
      <c r="Y878" s="1"/>
      <c r="Z878" s="1"/>
    </row>
    <row r="879">
      <c r="A879" s="1"/>
      <c r="B879" s="32"/>
      <c r="C879" s="1"/>
      <c r="D879" s="1"/>
      <c r="E879" s="1"/>
      <c r="F879" s="1"/>
      <c r="G879" s="1"/>
      <c r="H879" s="32"/>
      <c r="I879" s="1"/>
      <c r="J879" s="1"/>
      <c r="K879" s="1"/>
      <c r="L879" s="1"/>
      <c r="M879" s="1"/>
      <c r="N879" s="1"/>
      <c r="O879" s="1"/>
      <c r="P879" s="1"/>
      <c r="Q879" s="1"/>
      <c r="R879" s="1"/>
      <c r="S879" s="1"/>
      <c r="T879" s="1"/>
      <c r="U879" s="1"/>
      <c r="V879" s="1"/>
      <c r="W879" s="1"/>
      <c r="X879" s="1"/>
      <c r="Y879" s="1"/>
      <c r="Z879" s="1"/>
    </row>
    <row r="880">
      <c r="A880" s="1"/>
      <c r="B880" s="32"/>
      <c r="C880" s="1"/>
      <c r="D880" s="1"/>
      <c r="E880" s="1"/>
      <c r="F880" s="1"/>
      <c r="G880" s="1"/>
      <c r="H880" s="32"/>
      <c r="I880" s="1"/>
      <c r="J880" s="1"/>
      <c r="K880" s="1"/>
      <c r="L880" s="1"/>
      <c r="M880" s="1"/>
      <c r="N880" s="1"/>
      <c r="O880" s="1"/>
      <c r="P880" s="1"/>
      <c r="Q880" s="1"/>
      <c r="R880" s="1"/>
      <c r="S880" s="1"/>
      <c r="T880" s="1"/>
      <c r="U880" s="1"/>
      <c r="V880" s="1"/>
      <c r="W880" s="1"/>
      <c r="X880" s="1"/>
      <c r="Y880" s="1"/>
      <c r="Z880" s="1"/>
    </row>
    <row r="881">
      <c r="A881" s="1"/>
      <c r="B881" s="32"/>
      <c r="C881" s="1"/>
      <c r="D881" s="1"/>
      <c r="E881" s="1"/>
      <c r="F881" s="1"/>
      <c r="G881" s="1"/>
      <c r="H881" s="32"/>
      <c r="I881" s="1"/>
      <c r="J881" s="1"/>
      <c r="K881" s="1"/>
      <c r="L881" s="1"/>
      <c r="M881" s="1"/>
      <c r="N881" s="1"/>
      <c r="O881" s="1"/>
      <c r="P881" s="1"/>
      <c r="Q881" s="1"/>
      <c r="R881" s="1"/>
      <c r="S881" s="1"/>
      <c r="T881" s="1"/>
      <c r="U881" s="1"/>
      <c r="V881" s="1"/>
      <c r="W881" s="1"/>
      <c r="X881" s="1"/>
      <c r="Y881" s="1"/>
      <c r="Z881" s="1"/>
    </row>
    <row r="882">
      <c r="A882" s="1"/>
      <c r="B882" s="32"/>
      <c r="C882" s="1"/>
      <c r="D882" s="1"/>
      <c r="E882" s="1"/>
      <c r="F882" s="1"/>
      <c r="G882" s="1"/>
      <c r="H882" s="32"/>
      <c r="I882" s="1"/>
      <c r="J882" s="1"/>
      <c r="K882" s="1"/>
      <c r="L882" s="1"/>
      <c r="M882" s="1"/>
      <c r="N882" s="1"/>
      <c r="O882" s="1"/>
      <c r="P882" s="1"/>
      <c r="Q882" s="1"/>
      <c r="R882" s="1"/>
      <c r="S882" s="1"/>
      <c r="T882" s="1"/>
      <c r="U882" s="1"/>
      <c r="V882" s="1"/>
      <c r="W882" s="1"/>
      <c r="X882" s="1"/>
      <c r="Y882" s="1"/>
      <c r="Z882" s="1"/>
    </row>
    <row r="883">
      <c r="A883" s="1"/>
      <c r="B883" s="32"/>
      <c r="C883" s="1"/>
      <c r="D883" s="1"/>
      <c r="E883" s="1"/>
      <c r="F883" s="1"/>
      <c r="G883" s="1"/>
      <c r="H883" s="32"/>
      <c r="I883" s="1"/>
      <c r="J883" s="1"/>
      <c r="K883" s="1"/>
      <c r="L883" s="1"/>
      <c r="M883" s="1"/>
      <c r="N883" s="1"/>
      <c r="O883" s="1"/>
      <c r="P883" s="1"/>
      <c r="Q883" s="1"/>
      <c r="R883" s="1"/>
      <c r="S883" s="1"/>
      <c r="T883" s="1"/>
      <c r="U883" s="1"/>
      <c r="V883" s="1"/>
      <c r="W883" s="1"/>
      <c r="X883" s="1"/>
      <c r="Y883" s="1"/>
      <c r="Z883" s="1"/>
    </row>
    <row r="884">
      <c r="A884" s="1"/>
      <c r="B884" s="32"/>
      <c r="C884" s="1"/>
      <c r="D884" s="1"/>
      <c r="E884" s="1"/>
      <c r="F884" s="1"/>
      <c r="G884" s="1"/>
      <c r="H884" s="32"/>
      <c r="I884" s="1"/>
      <c r="J884" s="1"/>
      <c r="K884" s="1"/>
      <c r="L884" s="1"/>
      <c r="M884" s="1"/>
      <c r="N884" s="1"/>
      <c r="O884" s="1"/>
      <c r="P884" s="1"/>
      <c r="Q884" s="1"/>
      <c r="R884" s="1"/>
      <c r="S884" s="1"/>
      <c r="T884" s="1"/>
      <c r="U884" s="1"/>
      <c r="V884" s="1"/>
      <c r="W884" s="1"/>
      <c r="X884" s="1"/>
      <c r="Y884" s="1"/>
      <c r="Z884" s="1"/>
    </row>
    <row r="885">
      <c r="A885" s="1"/>
      <c r="B885" s="32"/>
      <c r="C885" s="1"/>
      <c r="D885" s="1"/>
      <c r="E885" s="1"/>
      <c r="F885" s="1"/>
      <c r="G885" s="1"/>
      <c r="H885" s="32"/>
      <c r="I885" s="1"/>
      <c r="J885" s="1"/>
      <c r="K885" s="1"/>
      <c r="L885" s="1"/>
      <c r="M885" s="1"/>
      <c r="N885" s="1"/>
      <c r="O885" s="1"/>
      <c r="P885" s="1"/>
      <c r="Q885" s="1"/>
      <c r="R885" s="1"/>
      <c r="S885" s="1"/>
      <c r="T885" s="1"/>
      <c r="U885" s="1"/>
      <c r="V885" s="1"/>
      <c r="W885" s="1"/>
      <c r="X885" s="1"/>
      <c r="Y885" s="1"/>
      <c r="Z885" s="1"/>
    </row>
    <row r="886">
      <c r="A886" s="1"/>
      <c r="B886" s="32"/>
      <c r="C886" s="1"/>
      <c r="D886" s="1"/>
      <c r="E886" s="1"/>
      <c r="F886" s="1"/>
      <c r="G886" s="1"/>
      <c r="H886" s="32"/>
      <c r="I886" s="1"/>
      <c r="J886" s="1"/>
      <c r="K886" s="1"/>
      <c r="L886" s="1"/>
      <c r="M886" s="1"/>
      <c r="N886" s="1"/>
      <c r="O886" s="1"/>
      <c r="P886" s="1"/>
      <c r="Q886" s="1"/>
      <c r="R886" s="1"/>
      <c r="S886" s="1"/>
      <c r="T886" s="1"/>
      <c r="U886" s="1"/>
      <c r="V886" s="1"/>
      <c r="W886" s="1"/>
      <c r="X886" s="1"/>
      <c r="Y886" s="1"/>
      <c r="Z886" s="1"/>
    </row>
    <row r="887">
      <c r="A887" s="1"/>
      <c r="B887" s="32"/>
      <c r="C887" s="1"/>
      <c r="D887" s="1"/>
      <c r="E887" s="1"/>
      <c r="F887" s="1"/>
      <c r="G887" s="1"/>
      <c r="H887" s="32"/>
      <c r="I887" s="1"/>
      <c r="J887" s="1"/>
      <c r="K887" s="1"/>
      <c r="L887" s="1"/>
      <c r="M887" s="1"/>
      <c r="N887" s="1"/>
      <c r="O887" s="1"/>
      <c r="P887" s="1"/>
      <c r="Q887" s="1"/>
      <c r="R887" s="1"/>
      <c r="S887" s="1"/>
      <c r="T887" s="1"/>
      <c r="U887" s="1"/>
      <c r="V887" s="1"/>
      <c r="W887" s="1"/>
      <c r="X887" s="1"/>
      <c r="Y887" s="1"/>
      <c r="Z887" s="1"/>
    </row>
    <row r="888">
      <c r="A888" s="1"/>
      <c r="B888" s="32"/>
      <c r="C888" s="1"/>
      <c r="D888" s="1"/>
      <c r="E888" s="1"/>
      <c r="F888" s="1"/>
      <c r="G888" s="1"/>
      <c r="H888" s="32"/>
      <c r="I888" s="1"/>
      <c r="J888" s="1"/>
      <c r="K888" s="1"/>
      <c r="L888" s="1"/>
      <c r="M888" s="1"/>
      <c r="N888" s="1"/>
      <c r="O888" s="1"/>
      <c r="P888" s="1"/>
      <c r="Q888" s="1"/>
      <c r="R888" s="1"/>
      <c r="S888" s="1"/>
      <c r="T888" s="1"/>
      <c r="U888" s="1"/>
      <c r="V888" s="1"/>
      <c r="W888" s="1"/>
      <c r="X888" s="1"/>
      <c r="Y888" s="1"/>
      <c r="Z888" s="1"/>
    </row>
    <row r="889">
      <c r="A889" s="1"/>
      <c r="B889" s="32"/>
      <c r="C889" s="1"/>
      <c r="D889" s="1"/>
      <c r="E889" s="1"/>
      <c r="F889" s="1"/>
      <c r="G889" s="1"/>
      <c r="H889" s="32"/>
      <c r="I889" s="1"/>
      <c r="J889" s="1"/>
      <c r="K889" s="1"/>
      <c r="L889" s="1"/>
      <c r="M889" s="1"/>
      <c r="N889" s="1"/>
      <c r="O889" s="1"/>
      <c r="P889" s="1"/>
      <c r="Q889" s="1"/>
      <c r="R889" s="1"/>
      <c r="S889" s="1"/>
      <c r="T889" s="1"/>
      <c r="U889" s="1"/>
      <c r="V889" s="1"/>
      <c r="W889" s="1"/>
      <c r="X889" s="1"/>
      <c r="Y889" s="1"/>
      <c r="Z889" s="1"/>
    </row>
    <row r="890">
      <c r="A890" s="1"/>
      <c r="B890" s="32"/>
      <c r="C890" s="1"/>
      <c r="D890" s="1"/>
      <c r="E890" s="1"/>
      <c r="F890" s="1"/>
      <c r="G890" s="1"/>
      <c r="H890" s="32"/>
      <c r="I890" s="1"/>
      <c r="J890" s="1"/>
      <c r="K890" s="1"/>
      <c r="L890" s="1"/>
      <c r="M890" s="1"/>
      <c r="N890" s="1"/>
      <c r="O890" s="1"/>
      <c r="P890" s="1"/>
      <c r="Q890" s="1"/>
      <c r="R890" s="1"/>
      <c r="S890" s="1"/>
      <c r="T890" s="1"/>
      <c r="U890" s="1"/>
      <c r="V890" s="1"/>
      <c r="W890" s="1"/>
      <c r="X890" s="1"/>
      <c r="Y890" s="1"/>
      <c r="Z890" s="1"/>
    </row>
    <row r="891">
      <c r="A891" s="1"/>
      <c r="B891" s="32"/>
      <c r="C891" s="1"/>
      <c r="D891" s="1"/>
      <c r="E891" s="1"/>
      <c r="F891" s="1"/>
      <c r="G891" s="1"/>
      <c r="H891" s="32"/>
      <c r="I891" s="1"/>
      <c r="J891" s="1"/>
      <c r="K891" s="1"/>
      <c r="L891" s="1"/>
      <c r="M891" s="1"/>
      <c r="N891" s="1"/>
      <c r="O891" s="1"/>
      <c r="P891" s="1"/>
      <c r="Q891" s="1"/>
      <c r="R891" s="1"/>
      <c r="S891" s="1"/>
      <c r="T891" s="1"/>
      <c r="U891" s="1"/>
      <c r="V891" s="1"/>
      <c r="W891" s="1"/>
      <c r="X891" s="1"/>
      <c r="Y891" s="1"/>
      <c r="Z891" s="1"/>
    </row>
    <row r="892">
      <c r="A892" s="1"/>
      <c r="B892" s="32"/>
      <c r="C892" s="1"/>
      <c r="D892" s="1"/>
      <c r="E892" s="1"/>
      <c r="F892" s="1"/>
      <c r="G892" s="1"/>
      <c r="H892" s="32"/>
      <c r="I892" s="1"/>
      <c r="J892" s="1"/>
      <c r="K892" s="1"/>
      <c r="L892" s="1"/>
      <c r="M892" s="1"/>
      <c r="N892" s="1"/>
      <c r="O892" s="1"/>
      <c r="P892" s="1"/>
      <c r="Q892" s="1"/>
      <c r="R892" s="1"/>
      <c r="S892" s="1"/>
      <c r="T892" s="1"/>
      <c r="U892" s="1"/>
      <c r="V892" s="1"/>
      <c r="W892" s="1"/>
      <c r="X892" s="1"/>
      <c r="Y892" s="1"/>
      <c r="Z892" s="1"/>
    </row>
    <row r="893">
      <c r="A893" s="1"/>
      <c r="B893" s="32"/>
      <c r="C893" s="1"/>
      <c r="D893" s="1"/>
      <c r="E893" s="1"/>
      <c r="F893" s="1"/>
      <c r="G893" s="1"/>
      <c r="H893" s="32"/>
      <c r="I893" s="1"/>
      <c r="J893" s="1"/>
      <c r="K893" s="1"/>
      <c r="L893" s="1"/>
      <c r="M893" s="1"/>
      <c r="N893" s="1"/>
      <c r="O893" s="1"/>
      <c r="P893" s="1"/>
      <c r="Q893" s="1"/>
      <c r="R893" s="1"/>
      <c r="S893" s="1"/>
      <c r="T893" s="1"/>
      <c r="U893" s="1"/>
      <c r="V893" s="1"/>
      <c r="W893" s="1"/>
      <c r="X893" s="1"/>
      <c r="Y893" s="1"/>
      <c r="Z893" s="1"/>
    </row>
    <row r="894">
      <c r="A894" s="1"/>
      <c r="B894" s="32"/>
      <c r="C894" s="1"/>
      <c r="D894" s="1"/>
      <c r="E894" s="1"/>
      <c r="F894" s="1"/>
      <c r="G894" s="1"/>
      <c r="H894" s="32"/>
      <c r="I894" s="1"/>
      <c r="J894" s="1"/>
      <c r="K894" s="1"/>
      <c r="L894" s="1"/>
      <c r="M894" s="1"/>
      <c r="N894" s="1"/>
      <c r="O894" s="1"/>
      <c r="P894" s="1"/>
      <c r="Q894" s="1"/>
      <c r="R894" s="1"/>
      <c r="S894" s="1"/>
      <c r="T894" s="1"/>
      <c r="U894" s="1"/>
      <c r="V894" s="1"/>
      <c r="W894" s="1"/>
      <c r="X894" s="1"/>
      <c r="Y894" s="1"/>
      <c r="Z894" s="1"/>
    </row>
    <row r="895">
      <c r="A895" s="1"/>
      <c r="B895" s="32"/>
      <c r="C895" s="1"/>
      <c r="D895" s="1"/>
      <c r="E895" s="1"/>
      <c r="F895" s="1"/>
      <c r="G895" s="1"/>
      <c r="H895" s="32"/>
      <c r="I895" s="1"/>
      <c r="J895" s="1"/>
      <c r="K895" s="1"/>
      <c r="L895" s="1"/>
      <c r="M895" s="1"/>
      <c r="N895" s="1"/>
      <c r="O895" s="1"/>
      <c r="P895" s="1"/>
      <c r="Q895" s="1"/>
      <c r="R895" s="1"/>
      <c r="S895" s="1"/>
      <c r="T895" s="1"/>
      <c r="U895" s="1"/>
      <c r="V895" s="1"/>
      <c r="W895" s="1"/>
      <c r="X895" s="1"/>
      <c r="Y895" s="1"/>
      <c r="Z895" s="1"/>
    </row>
    <row r="896">
      <c r="A896" s="1"/>
      <c r="B896" s="32"/>
      <c r="C896" s="1"/>
      <c r="D896" s="1"/>
      <c r="E896" s="1"/>
      <c r="F896" s="1"/>
      <c r="G896" s="1"/>
      <c r="H896" s="32"/>
      <c r="I896" s="1"/>
      <c r="J896" s="1"/>
      <c r="K896" s="1"/>
      <c r="L896" s="1"/>
      <c r="M896" s="1"/>
      <c r="N896" s="1"/>
      <c r="O896" s="1"/>
      <c r="P896" s="1"/>
      <c r="Q896" s="1"/>
      <c r="R896" s="1"/>
      <c r="S896" s="1"/>
      <c r="T896" s="1"/>
      <c r="U896" s="1"/>
      <c r="V896" s="1"/>
      <c r="W896" s="1"/>
      <c r="X896" s="1"/>
      <c r="Y896" s="1"/>
      <c r="Z896" s="1"/>
    </row>
    <row r="897">
      <c r="A897" s="1"/>
      <c r="B897" s="32"/>
      <c r="C897" s="1"/>
      <c r="D897" s="1"/>
      <c r="E897" s="1"/>
      <c r="F897" s="1"/>
      <c r="G897" s="1"/>
      <c r="H897" s="32"/>
      <c r="I897" s="1"/>
      <c r="J897" s="1"/>
      <c r="K897" s="1"/>
      <c r="L897" s="1"/>
      <c r="M897" s="1"/>
      <c r="N897" s="1"/>
      <c r="O897" s="1"/>
      <c r="P897" s="1"/>
      <c r="Q897" s="1"/>
      <c r="R897" s="1"/>
      <c r="S897" s="1"/>
      <c r="T897" s="1"/>
      <c r="U897" s="1"/>
      <c r="V897" s="1"/>
      <c r="W897" s="1"/>
      <c r="X897" s="1"/>
      <c r="Y897" s="1"/>
      <c r="Z897" s="1"/>
    </row>
    <row r="898">
      <c r="A898" s="1"/>
      <c r="B898" s="32"/>
      <c r="C898" s="1"/>
      <c r="D898" s="1"/>
      <c r="E898" s="1"/>
      <c r="F898" s="1"/>
      <c r="G898" s="1"/>
      <c r="H898" s="32"/>
      <c r="I898" s="1"/>
      <c r="J898" s="1"/>
      <c r="K898" s="1"/>
      <c r="L898" s="1"/>
      <c r="M898" s="1"/>
      <c r="N898" s="1"/>
      <c r="O898" s="1"/>
      <c r="P898" s="1"/>
      <c r="Q898" s="1"/>
      <c r="R898" s="1"/>
      <c r="S898" s="1"/>
      <c r="T898" s="1"/>
      <c r="U898" s="1"/>
      <c r="V898" s="1"/>
      <c r="W898" s="1"/>
      <c r="X898" s="1"/>
      <c r="Y898" s="1"/>
      <c r="Z898" s="1"/>
    </row>
    <row r="899">
      <c r="A899" s="1"/>
      <c r="B899" s="32"/>
      <c r="C899" s="1"/>
      <c r="D899" s="1"/>
      <c r="E899" s="1"/>
      <c r="F899" s="1"/>
      <c r="G899" s="1"/>
      <c r="H899" s="32"/>
      <c r="I899" s="1"/>
      <c r="J899" s="1"/>
      <c r="K899" s="1"/>
      <c r="L899" s="1"/>
      <c r="M899" s="1"/>
      <c r="N899" s="1"/>
      <c r="O899" s="1"/>
      <c r="P899" s="1"/>
      <c r="Q899" s="1"/>
      <c r="R899" s="1"/>
      <c r="S899" s="1"/>
      <c r="T899" s="1"/>
      <c r="U899" s="1"/>
      <c r="V899" s="1"/>
      <c r="W899" s="1"/>
      <c r="X899" s="1"/>
      <c r="Y899" s="1"/>
      <c r="Z899" s="1"/>
    </row>
    <row r="900">
      <c r="A900" s="1"/>
      <c r="B900" s="32"/>
      <c r="C900" s="1"/>
      <c r="D900" s="1"/>
      <c r="E900" s="1"/>
      <c r="F900" s="1"/>
      <c r="G900" s="1"/>
      <c r="H900" s="32"/>
      <c r="I900" s="1"/>
      <c r="J900" s="1"/>
      <c r="K900" s="1"/>
      <c r="L900" s="1"/>
      <c r="M900" s="1"/>
      <c r="N900" s="1"/>
      <c r="O900" s="1"/>
      <c r="P900" s="1"/>
      <c r="Q900" s="1"/>
      <c r="R900" s="1"/>
      <c r="S900" s="1"/>
      <c r="T900" s="1"/>
      <c r="U900" s="1"/>
      <c r="V900" s="1"/>
      <c r="W900" s="1"/>
      <c r="X900" s="1"/>
      <c r="Y900" s="1"/>
      <c r="Z900" s="1"/>
    </row>
    <row r="901">
      <c r="A901" s="1"/>
      <c r="B901" s="32"/>
      <c r="C901" s="1"/>
      <c r="D901" s="1"/>
      <c r="E901" s="1"/>
      <c r="F901" s="1"/>
      <c r="G901" s="1"/>
      <c r="H901" s="32"/>
      <c r="I901" s="1"/>
      <c r="J901" s="1"/>
      <c r="K901" s="1"/>
      <c r="L901" s="1"/>
      <c r="M901" s="1"/>
      <c r="N901" s="1"/>
      <c r="O901" s="1"/>
      <c r="P901" s="1"/>
      <c r="Q901" s="1"/>
      <c r="R901" s="1"/>
      <c r="S901" s="1"/>
      <c r="T901" s="1"/>
      <c r="U901" s="1"/>
      <c r="V901" s="1"/>
      <c r="W901" s="1"/>
      <c r="X901" s="1"/>
      <c r="Y901" s="1"/>
      <c r="Z901" s="1"/>
    </row>
    <row r="902">
      <c r="A902" s="1"/>
      <c r="B902" s="32"/>
      <c r="C902" s="1"/>
      <c r="D902" s="1"/>
      <c r="E902" s="1"/>
      <c r="F902" s="1"/>
      <c r="G902" s="1"/>
      <c r="H902" s="32"/>
      <c r="I902" s="1"/>
      <c r="J902" s="1"/>
      <c r="K902" s="1"/>
      <c r="L902" s="1"/>
      <c r="M902" s="1"/>
      <c r="N902" s="1"/>
      <c r="O902" s="1"/>
      <c r="P902" s="1"/>
      <c r="Q902" s="1"/>
      <c r="R902" s="1"/>
      <c r="S902" s="1"/>
      <c r="T902" s="1"/>
      <c r="U902" s="1"/>
      <c r="V902" s="1"/>
      <c r="W902" s="1"/>
      <c r="X902" s="1"/>
      <c r="Y902" s="1"/>
      <c r="Z902" s="1"/>
    </row>
    <row r="903">
      <c r="A903" s="1"/>
      <c r="B903" s="32"/>
      <c r="C903" s="1"/>
      <c r="D903" s="1"/>
      <c r="E903" s="1"/>
      <c r="F903" s="1"/>
      <c r="G903" s="1"/>
      <c r="H903" s="32"/>
      <c r="I903" s="1"/>
      <c r="J903" s="1"/>
      <c r="K903" s="1"/>
      <c r="L903" s="1"/>
      <c r="M903" s="1"/>
      <c r="N903" s="1"/>
      <c r="O903" s="1"/>
      <c r="P903" s="1"/>
      <c r="Q903" s="1"/>
      <c r="R903" s="1"/>
      <c r="S903" s="1"/>
      <c r="T903" s="1"/>
      <c r="U903" s="1"/>
      <c r="V903" s="1"/>
      <c r="W903" s="1"/>
      <c r="X903" s="1"/>
      <c r="Y903" s="1"/>
      <c r="Z903" s="1"/>
    </row>
    <row r="904">
      <c r="A904" s="1"/>
      <c r="B904" s="32"/>
      <c r="C904" s="1"/>
      <c r="D904" s="1"/>
      <c r="E904" s="1"/>
      <c r="F904" s="1"/>
      <c r="G904" s="1"/>
      <c r="H904" s="32"/>
      <c r="I904" s="1"/>
      <c r="J904" s="1"/>
      <c r="K904" s="1"/>
      <c r="L904" s="1"/>
      <c r="M904" s="1"/>
      <c r="N904" s="1"/>
      <c r="O904" s="1"/>
      <c r="P904" s="1"/>
      <c r="Q904" s="1"/>
      <c r="R904" s="1"/>
      <c r="S904" s="1"/>
      <c r="T904" s="1"/>
      <c r="U904" s="1"/>
      <c r="V904" s="1"/>
      <c r="W904" s="1"/>
      <c r="X904" s="1"/>
      <c r="Y904" s="1"/>
      <c r="Z904" s="1"/>
    </row>
    <row r="905">
      <c r="A905" s="1"/>
      <c r="B905" s="32"/>
      <c r="C905" s="1"/>
      <c r="D905" s="1"/>
      <c r="E905" s="1"/>
      <c r="F905" s="1"/>
      <c r="G905" s="1"/>
      <c r="H905" s="32"/>
      <c r="I905" s="1"/>
      <c r="J905" s="1"/>
      <c r="K905" s="1"/>
      <c r="L905" s="1"/>
      <c r="M905" s="1"/>
      <c r="N905" s="1"/>
      <c r="O905" s="1"/>
      <c r="P905" s="1"/>
      <c r="Q905" s="1"/>
      <c r="R905" s="1"/>
      <c r="S905" s="1"/>
      <c r="T905" s="1"/>
      <c r="U905" s="1"/>
      <c r="V905" s="1"/>
      <c r="W905" s="1"/>
      <c r="X905" s="1"/>
      <c r="Y905" s="1"/>
      <c r="Z905" s="1"/>
    </row>
    <row r="906">
      <c r="A906" s="1"/>
      <c r="B906" s="32"/>
      <c r="C906" s="1"/>
      <c r="D906" s="1"/>
      <c r="E906" s="1"/>
      <c r="F906" s="1"/>
      <c r="G906" s="1"/>
      <c r="H906" s="32"/>
      <c r="I906" s="1"/>
      <c r="J906" s="1"/>
      <c r="K906" s="1"/>
      <c r="L906" s="1"/>
      <c r="M906" s="1"/>
      <c r="N906" s="1"/>
      <c r="O906" s="1"/>
      <c r="P906" s="1"/>
      <c r="Q906" s="1"/>
      <c r="R906" s="1"/>
      <c r="S906" s="1"/>
      <c r="T906" s="1"/>
      <c r="U906" s="1"/>
      <c r="V906" s="1"/>
      <c r="W906" s="1"/>
      <c r="X906" s="1"/>
      <c r="Y906" s="1"/>
      <c r="Z906" s="1"/>
    </row>
    <row r="907">
      <c r="A907" s="1"/>
      <c r="B907" s="32"/>
      <c r="C907" s="1"/>
      <c r="D907" s="1"/>
      <c r="E907" s="1"/>
      <c r="F907" s="1"/>
      <c r="G907" s="1"/>
      <c r="H907" s="32"/>
      <c r="I907" s="1"/>
      <c r="J907" s="1"/>
      <c r="K907" s="1"/>
      <c r="L907" s="1"/>
      <c r="M907" s="1"/>
      <c r="N907" s="1"/>
      <c r="O907" s="1"/>
      <c r="P907" s="1"/>
      <c r="Q907" s="1"/>
      <c r="R907" s="1"/>
      <c r="S907" s="1"/>
      <c r="T907" s="1"/>
      <c r="U907" s="1"/>
      <c r="V907" s="1"/>
      <c r="W907" s="1"/>
      <c r="X907" s="1"/>
      <c r="Y907" s="1"/>
      <c r="Z907" s="1"/>
    </row>
    <row r="908">
      <c r="A908" s="1"/>
      <c r="B908" s="32"/>
      <c r="C908" s="1"/>
      <c r="D908" s="1"/>
      <c r="E908" s="1"/>
      <c r="F908" s="1"/>
      <c r="G908" s="1"/>
      <c r="H908" s="32"/>
      <c r="I908" s="1"/>
      <c r="J908" s="1"/>
      <c r="K908" s="1"/>
      <c r="L908" s="1"/>
      <c r="M908" s="1"/>
      <c r="N908" s="1"/>
      <c r="O908" s="1"/>
      <c r="P908" s="1"/>
      <c r="Q908" s="1"/>
      <c r="R908" s="1"/>
      <c r="S908" s="1"/>
      <c r="T908" s="1"/>
      <c r="U908" s="1"/>
      <c r="V908" s="1"/>
      <c r="W908" s="1"/>
      <c r="X908" s="1"/>
      <c r="Y908" s="1"/>
      <c r="Z908" s="1"/>
    </row>
    <row r="909">
      <c r="A909" s="1"/>
      <c r="B909" s="32"/>
      <c r="C909" s="1"/>
      <c r="D909" s="1"/>
      <c r="E909" s="1"/>
      <c r="F909" s="1"/>
      <c r="G909" s="1"/>
      <c r="H909" s="32"/>
      <c r="I909" s="1"/>
      <c r="J909" s="1"/>
      <c r="K909" s="1"/>
      <c r="L909" s="1"/>
      <c r="M909" s="1"/>
      <c r="N909" s="1"/>
      <c r="O909" s="1"/>
      <c r="P909" s="1"/>
      <c r="Q909" s="1"/>
      <c r="R909" s="1"/>
      <c r="S909" s="1"/>
      <c r="T909" s="1"/>
      <c r="U909" s="1"/>
      <c r="V909" s="1"/>
      <c r="W909" s="1"/>
      <c r="X909" s="1"/>
      <c r="Y909" s="1"/>
      <c r="Z909" s="1"/>
    </row>
    <row r="910">
      <c r="A910" s="1"/>
      <c r="B910" s="32"/>
      <c r="C910" s="1"/>
      <c r="D910" s="1"/>
      <c r="E910" s="1"/>
      <c r="F910" s="1"/>
      <c r="G910" s="1"/>
      <c r="H910" s="32"/>
      <c r="I910" s="1"/>
      <c r="J910" s="1"/>
      <c r="K910" s="1"/>
      <c r="L910" s="1"/>
      <c r="M910" s="1"/>
      <c r="N910" s="1"/>
      <c r="O910" s="1"/>
      <c r="P910" s="1"/>
      <c r="Q910" s="1"/>
      <c r="R910" s="1"/>
      <c r="S910" s="1"/>
      <c r="T910" s="1"/>
      <c r="U910" s="1"/>
      <c r="V910" s="1"/>
      <c r="W910" s="1"/>
      <c r="X910" s="1"/>
      <c r="Y910" s="1"/>
      <c r="Z910" s="1"/>
    </row>
    <row r="911">
      <c r="A911" s="1"/>
      <c r="B911" s="32"/>
      <c r="C911" s="1"/>
      <c r="D911" s="1"/>
      <c r="E911" s="1"/>
      <c r="F911" s="1"/>
      <c r="G911" s="1"/>
      <c r="H911" s="32"/>
      <c r="I911" s="1"/>
      <c r="J911" s="1"/>
      <c r="K911" s="1"/>
      <c r="L911" s="1"/>
      <c r="M911" s="1"/>
      <c r="N911" s="1"/>
      <c r="O911" s="1"/>
      <c r="P911" s="1"/>
      <c r="Q911" s="1"/>
      <c r="R911" s="1"/>
      <c r="S911" s="1"/>
      <c r="T911" s="1"/>
      <c r="U911" s="1"/>
      <c r="V911" s="1"/>
      <c r="W911" s="1"/>
      <c r="X911" s="1"/>
      <c r="Y911" s="1"/>
      <c r="Z911" s="1"/>
    </row>
    <row r="912">
      <c r="A912" s="1"/>
      <c r="B912" s="32"/>
      <c r="C912" s="1"/>
      <c r="D912" s="1"/>
      <c r="E912" s="1"/>
      <c r="F912" s="1"/>
      <c r="G912" s="1"/>
      <c r="H912" s="32"/>
      <c r="I912" s="1"/>
      <c r="J912" s="1"/>
      <c r="K912" s="1"/>
      <c r="L912" s="1"/>
      <c r="M912" s="1"/>
      <c r="N912" s="1"/>
      <c r="O912" s="1"/>
      <c r="P912" s="1"/>
      <c r="Q912" s="1"/>
      <c r="R912" s="1"/>
      <c r="S912" s="1"/>
      <c r="T912" s="1"/>
      <c r="U912" s="1"/>
      <c r="V912" s="1"/>
      <c r="W912" s="1"/>
      <c r="X912" s="1"/>
      <c r="Y912" s="1"/>
      <c r="Z912" s="1"/>
    </row>
    <row r="913">
      <c r="A913" s="1"/>
      <c r="B913" s="32"/>
      <c r="C913" s="1"/>
      <c r="D913" s="1"/>
      <c r="E913" s="1"/>
      <c r="F913" s="1"/>
      <c r="G913" s="1"/>
      <c r="H913" s="32"/>
      <c r="I913" s="1"/>
      <c r="J913" s="1"/>
      <c r="K913" s="1"/>
      <c r="L913" s="1"/>
      <c r="M913" s="1"/>
      <c r="N913" s="1"/>
      <c r="O913" s="1"/>
      <c r="P913" s="1"/>
      <c r="Q913" s="1"/>
      <c r="R913" s="1"/>
      <c r="S913" s="1"/>
      <c r="T913" s="1"/>
      <c r="U913" s="1"/>
      <c r="V913" s="1"/>
      <c r="W913" s="1"/>
      <c r="X913" s="1"/>
      <c r="Y913" s="1"/>
      <c r="Z913" s="1"/>
    </row>
    <row r="914">
      <c r="A914" s="1"/>
      <c r="B914" s="32"/>
      <c r="C914" s="1"/>
      <c r="D914" s="1"/>
      <c r="E914" s="1"/>
      <c r="F914" s="1"/>
      <c r="G914" s="1"/>
      <c r="H914" s="32"/>
      <c r="I914" s="1"/>
      <c r="J914" s="1"/>
      <c r="K914" s="1"/>
      <c r="L914" s="1"/>
      <c r="M914" s="1"/>
      <c r="N914" s="1"/>
      <c r="O914" s="1"/>
      <c r="P914" s="1"/>
      <c r="Q914" s="1"/>
      <c r="R914" s="1"/>
      <c r="S914" s="1"/>
      <c r="T914" s="1"/>
      <c r="U914" s="1"/>
      <c r="V914" s="1"/>
      <c r="W914" s="1"/>
      <c r="X914" s="1"/>
      <c r="Y914" s="1"/>
      <c r="Z914" s="1"/>
    </row>
    <row r="915">
      <c r="A915" s="1"/>
      <c r="B915" s="32"/>
      <c r="C915" s="1"/>
      <c r="D915" s="1"/>
      <c r="E915" s="1"/>
      <c r="F915" s="1"/>
      <c r="G915" s="1"/>
      <c r="H915" s="32"/>
      <c r="I915" s="1"/>
      <c r="J915" s="1"/>
      <c r="K915" s="1"/>
      <c r="L915" s="1"/>
      <c r="M915" s="1"/>
      <c r="N915" s="1"/>
      <c r="O915" s="1"/>
      <c r="P915" s="1"/>
      <c r="Q915" s="1"/>
      <c r="R915" s="1"/>
      <c r="S915" s="1"/>
      <c r="T915" s="1"/>
      <c r="U915" s="1"/>
      <c r="V915" s="1"/>
      <c r="W915" s="1"/>
      <c r="X915" s="1"/>
      <c r="Y915" s="1"/>
      <c r="Z915" s="1"/>
    </row>
    <row r="916">
      <c r="A916" s="1"/>
      <c r="B916" s="32"/>
      <c r="C916" s="1"/>
      <c r="D916" s="1"/>
      <c r="E916" s="1"/>
      <c r="F916" s="1"/>
      <c r="G916" s="1"/>
      <c r="H916" s="32"/>
      <c r="I916" s="1"/>
      <c r="J916" s="1"/>
      <c r="K916" s="1"/>
      <c r="L916" s="1"/>
      <c r="M916" s="1"/>
      <c r="N916" s="1"/>
      <c r="O916" s="1"/>
      <c r="P916" s="1"/>
      <c r="Q916" s="1"/>
      <c r="R916" s="1"/>
      <c r="S916" s="1"/>
      <c r="T916" s="1"/>
      <c r="U916" s="1"/>
      <c r="V916" s="1"/>
      <c r="W916" s="1"/>
      <c r="X916" s="1"/>
      <c r="Y916" s="1"/>
      <c r="Z916" s="1"/>
    </row>
    <row r="917">
      <c r="A917" s="1"/>
      <c r="B917" s="32"/>
      <c r="C917" s="1"/>
      <c r="D917" s="1"/>
      <c r="E917" s="1"/>
      <c r="F917" s="1"/>
      <c r="G917" s="1"/>
      <c r="H917" s="32"/>
      <c r="I917" s="1"/>
      <c r="J917" s="1"/>
      <c r="K917" s="1"/>
      <c r="L917" s="1"/>
      <c r="M917" s="1"/>
      <c r="N917" s="1"/>
      <c r="O917" s="1"/>
      <c r="P917" s="1"/>
      <c r="Q917" s="1"/>
      <c r="R917" s="1"/>
      <c r="S917" s="1"/>
      <c r="T917" s="1"/>
      <c r="U917" s="1"/>
      <c r="V917" s="1"/>
      <c r="W917" s="1"/>
      <c r="X917" s="1"/>
      <c r="Y917" s="1"/>
      <c r="Z917" s="1"/>
    </row>
    <row r="918">
      <c r="A918" s="1"/>
      <c r="B918" s="32"/>
      <c r="C918" s="1"/>
      <c r="D918" s="1"/>
      <c r="E918" s="1"/>
      <c r="F918" s="1"/>
      <c r="G918" s="1"/>
      <c r="H918" s="32"/>
      <c r="I918" s="1"/>
      <c r="J918" s="1"/>
      <c r="K918" s="1"/>
      <c r="L918" s="1"/>
      <c r="M918" s="1"/>
      <c r="N918" s="1"/>
      <c r="O918" s="1"/>
      <c r="P918" s="1"/>
      <c r="Q918" s="1"/>
      <c r="R918" s="1"/>
      <c r="S918" s="1"/>
      <c r="T918" s="1"/>
      <c r="U918" s="1"/>
      <c r="V918" s="1"/>
      <c r="W918" s="1"/>
      <c r="X918" s="1"/>
      <c r="Y918" s="1"/>
      <c r="Z918" s="1"/>
    </row>
    <row r="919">
      <c r="A919" s="1"/>
      <c r="B919" s="32"/>
      <c r="C919" s="1"/>
      <c r="D919" s="1"/>
      <c r="E919" s="1"/>
      <c r="F919" s="1"/>
      <c r="G919" s="1"/>
      <c r="H919" s="32"/>
      <c r="I919" s="1"/>
      <c r="J919" s="1"/>
      <c r="K919" s="1"/>
      <c r="L919" s="1"/>
      <c r="M919" s="1"/>
      <c r="N919" s="1"/>
      <c r="O919" s="1"/>
      <c r="P919" s="1"/>
      <c r="Q919" s="1"/>
      <c r="R919" s="1"/>
      <c r="S919" s="1"/>
      <c r="T919" s="1"/>
      <c r="U919" s="1"/>
      <c r="V919" s="1"/>
      <c r="W919" s="1"/>
      <c r="X919" s="1"/>
      <c r="Y919" s="1"/>
      <c r="Z919" s="1"/>
    </row>
    <row r="920">
      <c r="A920" s="1"/>
      <c r="B920" s="32"/>
      <c r="C920" s="1"/>
      <c r="D920" s="1"/>
      <c r="E920" s="1"/>
      <c r="F920" s="1"/>
      <c r="G920" s="1"/>
      <c r="H920" s="32"/>
      <c r="I920" s="1"/>
      <c r="J920" s="1"/>
      <c r="K920" s="1"/>
      <c r="L920" s="1"/>
      <c r="M920" s="1"/>
      <c r="N920" s="1"/>
      <c r="O920" s="1"/>
      <c r="P920" s="1"/>
      <c r="Q920" s="1"/>
      <c r="R920" s="1"/>
      <c r="S920" s="1"/>
      <c r="T920" s="1"/>
      <c r="U920" s="1"/>
      <c r="V920" s="1"/>
      <c r="W920" s="1"/>
      <c r="X920" s="1"/>
      <c r="Y920" s="1"/>
      <c r="Z920" s="1"/>
    </row>
    <row r="921">
      <c r="A921" s="1"/>
      <c r="B921" s="32"/>
      <c r="C921" s="1"/>
      <c r="D921" s="1"/>
      <c r="E921" s="1"/>
      <c r="F921" s="1"/>
      <c r="G921" s="1"/>
      <c r="H921" s="32"/>
      <c r="I921" s="1"/>
      <c r="J921" s="1"/>
      <c r="K921" s="1"/>
      <c r="L921" s="1"/>
      <c r="M921" s="1"/>
      <c r="N921" s="1"/>
      <c r="O921" s="1"/>
      <c r="P921" s="1"/>
      <c r="Q921" s="1"/>
      <c r="R921" s="1"/>
      <c r="S921" s="1"/>
      <c r="T921" s="1"/>
      <c r="U921" s="1"/>
      <c r="V921" s="1"/>
      <c r="W921" s="1"/>
      <c r="X921" s="1"/>
      <c r="Y921" s="1"/>
      <c r="Z921" s="1"/>
    </row>
    <row r="922">
      <c r="A922" s="1"/>
      <c r="B922" s="32"/>
      <c r="C922" s="1"/>
      <c r="D922" s="1"/>
      <c r="E922" s="1"/>
      <c r="F922" s="1"/>
      <c r="G922" s="1"/>
      <c r="H922" s="32"/>
      <c r="I922" s="1"/>
      <c r="J922" s="1"/>
      <c r="K922" s="1"/>
      <c r="L922" s="1"/>
      <c r="M922" s="1"/>
      <c r="N922" s="1"/>
      <c r="O922" s="1"/>
      <c r="P922" s="1"/>
      <c r="Q922" s="1"/>
      <c r="R922" s="1"/>
      <c r="S922" s="1"/>
      <c r="T922" s="1"/>
      <c r="U922" s="1"/>
      <c r="V922" s="1"/>
      <c r="W922" s="1"/>
      <c r="X922" s="1"/>
      <c r="Y922" s="1"/>
      <c r="Z922" s="1"/>
    </row>
    <row r="923">
      <c r="A923" s="1"/>
      <c r="B923" s="32"/>
      <c r="C923" s="1"/>
      <c r="D923" s="1"/>
      <c r="E923" s="1"/>
      <c r="F923" s="1"/>
      <c r="G923" s="1"/>
      <c r="H923" s="32"/>
      <c r="I923" s="1"/>
      <c r="J923" s="1"/>
      <c r="K923" s="1"/>
      <c r="L923" s="1"/>
      <c r="M923" s="1"/>
      <c r="N923" s="1"/>
      <c r="O923" s="1"/>
      <c r="P923" s="1"/>
      <c r="Q923" s="1"/>
      <c r="R923" s="1"/>
      <c r="S923" s="1"/>
      <c r="T923" s="1"/>
      <c r="U923" s="1"/>
      <c r="V923" s="1"/>
      <c r="W923" s="1"/>
      <c r="X923" s="1"/>
      <c r="Y923" s="1"/>
      <c r="Z923" s="1"/>
    </row>
    <row r="924">
      <c r="A924" s="1"/>
      <c r="B924" s="32"/>
      <c r="C924" s="1"/>
      <c r="D924" s="1"/>
      <c r="E924" s="1"/>
      <c r="F924" s="1"/>
      <c r="G924" s="1"/>
      <c r="H924" s="32"/>
      <c r="I924" s="1"/>
      <c r="J924" s="1"/>
      <c r="K924" s="1"/>
      <c r="L924" s="1"/>
      <c r="M924" s="1"/>
      <c r="N924" s="1"/>
      <c r="O924" s="1"/>
      <c r="P924" s="1"/>
      <c r="Q924" s="1"/>
      <c r="R924" s="1"/>
      <c r="S924" s="1"/>
      <c r="T924" s="1"/>
      <c r="U924" s="1"/>
      <c r="V924" s="1"/>
      <c r="W924" s="1"/>
      <c r="X924" s="1"/>
      <c r="Y924" s="1"/>
      <c r="Z924" s="1"/>
    </row>
    <row r="925">
      <c r="A925" s="1"/>
      <c r="B925" s="32"/>
      <c r="C925" s="1"/>
      <c r="D925" s="1"/>
      <c r="E925" s="1"/>
      <c r="F925" s="1"/>
      <c r="G925" s="1"/>
      <c r="H925" s="32"/>
      <c r="I925" s="1"/>
      <c r="J925" s="1"/>
      <c r="K925" s="1"/>
      <c r="L925" s="1"/>
      <c r="M925" s="1"/>
      <c r="N925" s="1"/>
      <c r="O925" s="1"/>
      <c r="P925" s="1"/>
      <c r="Q925" s="1"/>
      <c r="R925" s="1"/>
      <c r="S925" s="1"/>
      <c r="T925" s="1"/>
      <c r="U925" s="1"/>
      <c r="V925" s="1"/>
      <c r="W925" s="1"/>
      <c r="X925" s="1"/>
      <c r="Y925" s="1"/>
      <c r="Z925" s="1"/>
    </row>
    <row r="926">
      <c r="A926" s="1"/>
      <c r="B926" s="32"/>
      <c r="C926" s="1"/>
      <c r="D926" s="1"/>
      <c r="E926" s="1"/>
      <c r="F926" s="1"/>
      <c r="G926" s="1"/>
      <c r="H926" s="32"/>
      <c r="I926" s="1"/>
      <c r="J926" s="1"/>
      <c r="K926" s="1"/>
      <c r="L926" s="1"/>
      <c r="M926" s="1"/>
      <c r="N926" s="1"/>
      <c r="O926" s="1"/>
      <c r="P926" s="1"/>
      <c r="Q926" s="1"/>
      <c r="R926" s="1"/>
      <c r="S926" s="1"/>
      <c r="T926" s="1"/>
      <c r="U926" s="1"/>
      <c r="V926" s="1"/>
      <c r="W926" s="1"/>
      <c r="X926" s="1"/>
      <c r="Y926" s="1"/>
      <c r="Z926" s="1"/>
    </row>
    <row r="927">
      <c r="A927" s="1"/>
      <c r="B927" s="32"/>
      <c r="C927" s="1"/>
      <c r="D927" s="1"/>
      <c r="E927" s="1"/>
      <c r="F927" s="1"/>
      <c r="G927" s="1"/>
      <c r="H927" s="32"/>
      <c r="I927" s="1"/>
      <c r="J927" s="1"/>
      <c r="K927" s="1"/>
      <c r="L927" s="1"/>
      <c r="M927" s="1"/>
      <c r="N927" s="1"/>
      <c r="O927" s="1"/>
      <c r="P927" s="1"/>
      <c r="Q927" s="1"/>
      <c r="R927" s="1"/>
      <c r="S927" s="1"/>
      <c r="T927" s="1"/>
      <c r="U927" s="1"/>
      <c r="V927" s="1"/>
      <c r="W927" s="1"/>
      <c r="X927" s="1"/>
      <c r="Y927" s="1"/>
      <c r="Z927" s="1"/>
    </row>
    <row r="928">
      <c r="A928" s="1"/>
      <c r="B928" s="32"/>
      <c r="C928" s="1"/>
      <c r="D928" s="1"/>
      <c r="E928" s="1"/>
      <c r="F928" s="1"/>
      <c r="G928" s="1"/>
      <c r="H928" s="32"/>
      <c r="I928" s="1"/>
      <c r="J928" s="1"/>
      <c r="K928" s="1"/>
      <c r="L928" s="1"/>
      <c r="M928" s="1"/>
      <c r="N928" s="1"/>
      <c r="O928" s="1"/>
      <c r="P928" s="1"/>
      <c r="Q928" s="1"/>
      <c r="R928" s="1"/>
      <c r="S928" s="1"/>
      <c r="T928" s="1"/>
      <c r="U928" s="1"/>
      <c r="V928" s="1"/>
      <c r="W928" s="1"/>
      <c r="X928" s="1"/>
      <c r="Y928" s="1"/>
      <c r="Z928" s="1"/>
    </row>
    <row r="929">
      <c r="A929" s="1"/>
      <c r="B929" s="32"/>
      <c r="C929" s="1"/>
      <c r="D929" s="1"/>
      <c r="E929" s="1"/>
      <c r="F929" s="1"/>
      <c r="G929" s="1"/>
      <c r="H929" s="32"/>
      <c r="I929" s="1"/>
      <c r="J929" s="1"/>
      <c r="K929" s="1"/>
      <c r="L929" s="1"/>
      <c r="M929" s="1"/>
      <c r="N929" s="1"/>
      <c r="O929" s="1"/>
      <c r="P929" s="1"/>
      <c r="Q929" s="1"/>
      <c r="R929" s="1"/>
      <c r="S929" s="1"/>
      <c r="T929" s="1"/>
      <c r="U929" s="1"/>
      <c r="V929" s="1"/>
      <c r="W929" s="1"/>
      <c r="X929" s="1"/>
      <c r="Y929" s="1"/>
      <c r="Z929" s="1"/>
    </row>
    <row r="930">
      <c r="A930" s="1"/>
      <c r="B930" s="32"/>
      <c r="C930" s="1"/>
      <c r="D930" s="1"/>
      <c r="E930" s="1"/>
      <c r="F930" s="1"/>
      <c r="G930" s="1"/>
      <c r="H930" s="32"/>
      <c r="I930" s="1"/>
      <c r="J930" s="1"/>
      <c r="K930" s="1"/>
      <c r="L930" s="1"/>
      <c r="M930" s="1"/>
      <c r="N930" s="1"/>
      <c r="O930" s="1"/>
      <c r="P930" s="1"/>
      <c r="Q930" s="1"/>
      <c r="R930" s="1"/>
      <c r="S930" s="1"/>
      <c r="T930" s="1"/>
      <c r="U930" s="1"/>
      <c r="V930" s="1"/>
      <c r="W930" s="1"/>
      <c r="X930" s="1"/>
      <c r="Y930" s="1"/>
      <c r="Z930" s="1"/>
    </row>
    <row r="931">
      <c r="A931" s="1"/>
      <c r="B931" s="32"/>
      <c r="C931" s="1"/>
      <c r="D931" s="1"/>
      <c r="E931" s="1"/>
      <c r="F931" s="1"/>
      <c r="G931" s="1"/>
      <c r="H931" s="32"/>
      <c r="I931" s="1"/>
      <c r="J931" s="1"/>
      <c r="K931" s="1"/>
      <c r="L931" s="1"/>
      <c r="M931" s="1"/>
      <c r="N931" s="1"/>
      <c r="O931" s="1"/>
      <c r="P931" s="1"/>
      <c r="Q931" s="1"/>
      <c r="R931" s="1"/>
      <c r="S931" s="1"/>
      <c r="T931" s="1"/>
      <c r="U931" s="1"/>
      <c r="V931" s="1"/>
      <c r="W931" s="1"/>
      <c r="X931" s="1"/>
      <c r="Y931" s="1"/>
      <c r="Z931" s="1"/>
    </row>
    <row r="932">
      <c r="A932" s="1"/>
      <c r="B932" s="32"/>
      <c r="C932" s="1"/>
      <c r="D932" s="1"/>
      <c r="E932" s="1"/>
      <c r="F932" s="1"/>
      <c r="G932" s="1"/>
      <c r="H932" s="32"/>
      <c r="I932" s="1"/>
      <c r="J932" s="1"/>
      <c r="K932" s="1"/>
      <c r="L932" s="1"/>
      <c r="M932" s="1"/>
      <c r="N932" s="1"/>
      <c r="O932" s="1"/>
      <c r="P932" s="1"/>
      <c r="Q932" s="1"/>
      <c r="R932" s="1"/>
      <c r="S932" s="1"/>
      <c r="T932" s="1"/>
      <c r="U932" s="1"/>
      <c r="V932" s="1"/>
      <c r="W932" s="1"/>
      <c r="X932" s="1"/>
      <c r="Y932" s="1"/>
      <c r="Z932" s="1"/>
    </row>
    <row r="933">
      <c r="A933" s="1"/>
      <c r="B933" s="32"/>
      <c r="C933" s="1"/>
      <c r="D933" s="1"/>
      <c r="E933" s="1"/>
      <c r="F933" s="1"/>
      <c r="G933" s="1"/>
      <c r="H933" s="32"/>
      <c r="I933" s="1"/>
      <c r="J933" s="1"/>
      <c r="K933" s="1"/>
      <c r="L933" s="1"/>
      <c r="M933" s="1"/>
      <c r="N933" s="1"/>
      <c r="O933" s="1"/>
      <c r="P933" s="1"/>
      <c r="Q933" s="1"/>
      <c r="R933" s="1"/>
      <c r="S933" s="1"/>
      <c r="T933" s="1"/>
      <c r="U933" s="1"/>
      <c r="V933" s="1"/>
      <c r="W933" s="1"/>
      <c r="X933" s="1"/>
      <c r="Y933" s="1"/>
      <c r="Z933" s="1"/>
    </row>
    <row r="934">
      <c r="A934" s="1"/>
      <c r="B934" s="32"/>
      <c r="C934" s="1"/>
      <c r="D934" s="1"/>
      <c r="E934" s="1"/>
      <c r="F934" s="1"/>
      <c r="G934" s="1"/>
      <c r="H934" s="32"/>
      <c r="I934" s="1"/>
      <c r="J934" s="1"/>
      <c r="K934" s="1"/>
      <c r="L934" s="1"/>
      <c r="M934" s="1"/>
      <c r="N934" s="1"/>
      <c r="O934" s="1"/>
      <c r="P934" s="1"/>
      <c r="Q934" s="1"/>
      <c r="R934" s="1"/>
      <c r="S934" s="1"/>
      <c r="T934" s="1"/>
      <c r="U934" s="1"/>
      <c r="V934" s="1"/>
      <c r="W934" s="1"/>
      <c r="X934" s="1"/>
      <c r="Y934" s="1"/>
      <c r="Z934" s="1"/>
    </row>
    <row r="935">
      <c r="A935" s="1"/>
      <c r="B935" s="32"/>
      <c r="C935" s="1"/>
      <c r="D935" s="1"/>
      <c r="E935" s="1"/>
      <c r="F935" s="1"/>
      <c r="G935" s="1"/>
      <c r="H935" s="32"/>
      <c r="I935" s="1"/>
      <c r="J935" s="1"/>
      <c r="K935" s="1"/>
      <c r="L935" s="1"/>
      <c r="M935" s="1"/>
      <c r="N935" s="1"/>
      <c r="O935" s="1"/>
      <c r="P935" s="1"/>
      <c r="Q935" s="1"/>
      <c r="R935" s="1"/>
      <c r="S935" s="1"/>
      <c r="T935" s="1"/>
      <c r="U935" s="1"/>
      <c r="V935" s="1"/>
      <c r="W935" s="1"/>
      <c r="X935" s="1"/>
      <c r="Y935" s="1"/>
      <c r="Z935" s="1"/>
    </row>
    <row r="936">
      <c r="A936" s="1"/>
      <c r="B936" s="32"/>
      <c r="C936" s="1"/>
      <c r="D936" s="1"/>
      <c r="E936" s="1"/>
      <c r="F936" s="1"/>
      <c r="G936" s="1"/>
      <c r="H936" s="32"/>
      <c r="I936" s="1"/>
      <c r="J936" s="1"/>
      <c r="K936" s="1"/>
      <c r="L936" s="1"/>
      <c r="M936" s="1"/>
      <c r="N936" s="1"/>
      <c r="O936" s="1"/>
      <c r="P936" s="1"/>
      <c r="Q936" s="1"/>
      <c r="R936" s="1"/>
      <c r="S936" s="1"/>
      <c r="T936" s="1"/>
      <c r="U936" s="1"/>
      <c r="V936" s="1"/>
      <c r="W936" s="1"/>
      <c r="X936" s="1"/>
      <c r="Y936" s="1"/>
      <c r="Z936" s="1"/>
    </row>
    <row r="937">
      <c r="A937" s="1"/>
      <c r="B937" s="32"/>
      <c r="C937" s="1"/>
      <c r="D937" s="1"/>
      <c r="E937" s="1"/>
      <c r="F937" s="1"/>
      <c r="G937" s="1"/>
      <c r="H937" s="32"/>
      <c r="I937" s="1"/>
      <c r="J937" s="1"/>
      <c r="K937" s="1"/>
      <c r="L937" s="1"/>
      <c r="M937" s="1"/>
      <c r="N937" s="1"/>
      <c r="O937" s="1"/>
      <c r="P937" s="1"/>
      <c r="Q937" s="1"/>
      <c r="R937" s="1"/>
      <c r="S937" s="1"/>
      <c r="T937" s="1"/>
      <c r="U937" s="1"/>
      <c r="V937" s="1"/>
      <c r="W937" s="1"/>
      <c r="X937" s="1"/>
      <c r="Y937" s="1"/>
      <c r="Z937" s="1"/>
    </row>
    <row r="938">
      <c r="A938" s="1"/>
      <c r="B938" s="32"/>
      <c r="C938" s="1"/>
      <c r="D938" s="1"/>
      <c r="E938" s="1"/>
      <c r="F938" s="1"/>
      <c r="G938" s="1"/>
      <c r="H938" s="32"/>
      <c r="I938" s="1"/>
      <c r="J938" s="1"/>
      <c r="K938" s="1"/>
      <c r="L938" s="1"/>
      <c r="M938" s="1"/>
      <c r="N938" s="1"/>
      <c r="O938" s="1"/>
      <c r="P938" s="1"/>
      <c r="Q938" s="1"/>
      <c r="R938" s="1"/>
      <c r="S938" s="1"/>
      <c r="T938" s="1"/>
      <c r="U938" s="1"/>
      <c r="V938" s="1"/>
      <c r="W938" s="1"/>
      <c r="X938" s="1"/>
      <c r="Y938" s="1"/>
      <c r="Z938" s="1"/>
    </row>
    <row r="939">
      <c r="A939" s="1"/>
      <c r="B939" s="32"/>
      <c r="C939" s="1"/>
      <c r="D939" s="1"/>
      <c r="E939" s="1"/>
      <c r="F939" s="1"/>
      <c r="G939" s="1"/>
      <c r="H939" s="32"/>
      <c r="I939" s="1"/>
      <c r="J939" s="1"/>
      <c r="K939" s="1"/>
      <c r="L939" s="1"/>
      <c r="M939" s="1"/>
      <c r="N939" s="1"/>
      <c r="O939" s="1"/>
      <c r="P939" s="1"/>
      <c r="Q939" s="1"/>
      <c r="R939" s="1"/>
      <c r="S939" s="1"/>
      <c r="T939" s="1"/>
      <c r="U939" s="1"/>
      <c r="V939" s="1"/>
      <c r="W939" s="1"/>
      <c r="X939" s="1"/>
      <c r="Y939" s="1"/>
      <c r="Z939" s="1"/>
    </row>
    <row r="940">
      <c r="A940" s="1"/>
      <c r="B940" s="32"/>
      <c r="C940" s="1"/>
      <c r="D940" s="1"/>
      <c r="E940" s="1"/>
      <c r="F940" s="1"/>
      <c r="G940" s="1"/>
      <c r="H940" s="32"/>
      <c r="I940" s="1"/>
      <c r="J940" s="1"/>
      <c r="K940" s="1"/>
      <c r="L940" s="1"/>
      <c r="M940" s="1"/>
      <c r="N940" s="1"/>
      <c r="O940" s="1"/>
      <c r="P940" s="1"/>
      <c r="Q940" s="1"/>
      <c r="R940" s="1"/>
      <c r="S940" s="1"/>
      <c r="T940" s="1"/>
      <c r="U940" s="1"/>
      <c r="V940" s="1"/>
      <c r="W940" s="1"/>
      <c r="X940" s="1"/>
      <c r="Y940" s="1"/>
      <c r="Z940" s="1"/>
    </row>
    <row r="941">
      <c r="A941" s="1"/>
      <c r="B941" s="32"/>
      <c r="C941" s="1"/>
      <c r="D941" s="1"/>
      <c r="E941" s="1"/>
      <c r="F941" s="1"/>
      <c r="G941" s="1"/>
      <c r="H941" s="32"/>
      <c r="I941" s="1"/>
      <c r="J941" s="1"/>
      <c r="K941" s="1"/>
      <c r="L941" s="1"/>
      <c r="M941" s="1"/>
      <c r="N941" s="1"/>
      <c r="O941" s="1"/>
      <c r="P941" s="1"/>
      <c r="Q941" s="1"/>
      <c r="R941" s="1"/>
      <c r="S941" s="1"/>
      <c r="T941" s="1"/>
      <c r="U941" s="1"/>
      <c r="V941" s="1"/>
      <c r="W941" s="1"/>
      <c r="X941" s="1"/>
      <c r="Y941" s="1"/>
      <c r="Z941" s="1"/>
    </row>
    <row r="942">
      <c r="A942" s="1"/>
      <c r="B942" s="32"/>
      <c r="C942" s="1"/>
      <c r="D942" s="1"/>
      <c r="E942" s="1"/>
      <c r="F942" s="1"/>
      <c r="G942" s="1"/>
      <c r="H942" s="32"/>
      <c r="I942" s="1"/>
      <c r="J942" s="1"/>
      <c r="K942" s="1"/>
      <c r="L942" s="1"/>
      <c r="M942" s="1"/>
      <c r="N942" s="1"/>
      <c r="O942" s="1"/>
      <c r="P942" s="1"/>
      <c r="Q942" s="1"/>
      <c r="R942" s="1"/>
      <c r="S942" s="1"/>
      <c r="T942" s="1"/>
      <c r="U942" s="1"/>
      <c r="V942" s="1"/>
      <c r="W942" s="1"/>
      <c r="X942" s="1"/>
      <c r="Y942" s="1"/>
      <c r="Z942" s="1"/>
    </row>
    <row r="943">
      <c r="A943" s="1"/>
      <c r="B943" s="32"/>
      <c r="C943" s="1"/>
      <c r="D943" s="1"/>
      <c r="E943" s="1"/>
      <c r="F943" s="1"/>
      <c r="G943" s="1"/>
      <c r="H943" s="32"/>
      <c r="I943" s="1"/>
      <c r="J943" s="1"/>
      <c r="K943" s="1"/>
      <c r="L943" s="1"/>
      <c r="M943" s="1"/>
      <c r="N943" s="1"/>
      <c r="O943" s="1"/>
      <c r="P943" s="1"/>
      <c r="Q943" s="1"/>
      <c r="R943" s="1"/>
      <c r="S943" s="1"/>
      <c r="T943" s="1"/>
      <c r="U943" s="1"/>
      <c r="V943" s="1"/>
      <c r="W943" s="1"/>
      <c r="X943" s="1"/>
      <c r="Y943" s="1"/>
      <c r="Z943" s="1"/>
    </row>
    <row r="944">
      <c r="A944" s="1"/>
      <c r="B944" s="32"/>
      <c r="C944" s="1"/>
      <c r="D944" s="1"/>
      <c r="E944" s="1"/>
      <c r="F944" s="1"/>
      <c r="G944" s="1"/>
      <c r="H944" s="32"/>
      <c r="I944" s="1"/>
      <c r="J944" s="1"/>
      <c r="K944" s="1"/>
      <c r="L944" s="1"/>
      <c r="M944" s="1"/>
      <c r="N944" s="1"/>
      <c r="O944" s="1"/>
      <c r="P944" s="1"/>
      <c r="Q944" s="1"/>
      <c r="R944" s="1"/>
      <c r="S944" s="1"/>
      <c r="T944" s="1"/>
      <c r="U944" s="1"/>
      <c r="V944" s="1"/>
      <c r="W944" s="1"/>
      <c r="X944" s="1"/>
      <c r="Y944" s="1"/>
      <c r="Z944" s="1"/>
    </row>
    <row r="945">
      <c r="A945" s="1"/>
      <c r="B945" s="32"/>
      <c r="C945" s="1"/>
      <c r="D945" s="1"/>
      <c r="E945" s="1"/>
      <c r="F945" s="1"/>
      <c r="G945" s="1"/>
      <c r="H945" s="32"/>
      <c r="I945" s="1"/>
      <c r="J945" s="1"/>
      <c r="K945" s="1"/>
      <c r="L945" s="1"/>
      <c r="M945" s="1"/>
      <c r="N945" s="1"/>
      <c r="O945" s="1"/>
      <c r="P945" s="1"/>
      <c r="Q945" s="1"/>
      <c r="R945" s="1"/>
      <c r="S945" s="1"/>
      <c r="T945" s="1"/>
      <c r="U945" s="1"/>
      <c r="V945" s="1"/>
      <c r="W945" s="1"/>
      <c r="X945" s="1"/>
      <c r="Y945" s="1"/>
      <c r="Z945" s="1"/>
    </row>
    <row r="946">
      <c r="A946" s="1"/>
      <c r="B946" s="32"/>
      <c r="C946" s="1"/>
      <c r="D946" s="1"/>
      <c r="E946" s="1"/>
      <c r="F946" s="1"/>
      <c r="G946" s="1"/>
      <c r="H946" s="32"/>
      <c r="I946" s="1"/>
      <c r="J946" s="1"/>
      <c r="K946" s="1"/>
      <c r="L946" s="1"/>
      <c r="M946" s="1"/>
      <c r="N946" s="1"/>
      <c r="O946" s="1"/>
      <c r="P946" s="1"/>
      <c r="Q946" s="1"/>
      <c r="R946" s="1"/>
      <c r="S946" s="1"/>
      <c r="T946" s="1"/>
      <c r="U946" s="1"/>
      <c r="V946" s="1"/>
      <c r="W946" s="1"/>
      <c r="X946" s="1"/>
      <c r="Y946" s="1"/>
      <c r="Z946" s="1"/>
    </row>
    <row r="947">
      <c r="A947" s="1"/>
      <c r="B947" s="32"/>
      <c r="C947" s="1"/>
      <c r="D947" s="1"/>
      <c r="E947" s="1"/>
      <c r="F947" s="1"/>
      <c r="G947" s="1"/>
      <c r="H947" s="32"/>
      <c r="I947" s="1"/>
      <c r="J947" s="1"/>
      <c r="K947" s="1"/>
      <c r="L947" s="1"/>
      <c r="M947" s="1"/>
      <c r="N947" s="1"/>
      <c r="O947" s="1"/>
      <c r="P947" s="1"/>
      <c r="Q947" s="1"/>
      <c r="R947" s="1"/>
      <c r="S947" s="1"/>
      <c r="T947" s="1"/>
      <c r="U947" s="1"/>
      <c r="V947" s="1"/>
      <c r="W947" s="1"/>
      <c r="X947" s="1"/>
      <c r="Y947" s="1"/>
      <c r="Z947" s="1"/>
    </row>
    <row r="948">
      <c r="A948" s="1"/>
      <c r="B948" s="32"/>
      <c r="C948" s="1"/>
      <c r="D948" s="1"/>
      <c r="E948" s="1"/>
      <c r="F948" s="1"/>
      <c r="G948" s="1"/>
      <c r="H948" s="32"/>
      <c r="I948" s="1"/>
      <c r="J948" s="1"/>
      <c r="K948" s="1"/>
      <c r="L948" s="1"/>
      <c r="M948" s="1"/>
      <c r="N948" s="1"/>
      <c r="O948" s="1"/>
      <c r="P948" s="1"/>
      <c r="Q948" s="1"/>
      <c r="R948" s="1"/>
      <c r="S948" s="1"/>
      <c r="T948" s="1"/>
      <c r="U948" s="1"/>
      <c r="V948" s="1"/>
      <c r="W948" s="1"/>
      <c r="X948" s="1"/>
      <c r="Y948" s="1"/>
      <c r="Z948" s="1"/>
    </row>
    <row r="949">
      <c r="A949" s="1"/>
      <c r="B949" s="32"/>
      <c r="C949" s="1"/>
      <c r="D949" s="1"/>
      <c r="E949" s="1"/>
      <c r="F949" s="1"/>
      <c r="G949" s="1"/>
      <c r="H949" s="32"/>
      <c r="I949" s="1"/>
      <c r="J949" s="1"/>
      <c r="K949" s="1"/>
      <c r="L949" s="1"/>
      <c r="M949" s="1"/>
      <c r="N949" s="1"/>
      <c r="O949" s="1"/>
      <c r="P949" s="1"/>
      <c r="Q949" s="1"/>
      <c r="R949" s="1"/>
      <c r="S949" s="1"/>
      <c r="T949" s="1"/>
      <c r="U949" s="1"/>
      <c r="V949" s="1"/>
      <c r="W949" s="1"/>
      <c r="X949" s="1"/>
      <c r="Y949" s="1"/>
      <c r="Z949" s="1"/>
    </row>
    <row r="950">
      <c r="A950" s="1"/>
      <c r="B950" s="32"/>
      <c r="C950" s="1"/>
      <c r="D950" s="1"/>
      <c r="E950" s="1"/>
      <c r="F950" s="1"/>
      <c r="G950" s="1"/>
      <c r="H950" s="32"/>
      <c r="I950" s="1"/>
      <c r="J950" s="1"/>
      <c r="K950" s="1"/>
      <c r="L950" s="1"/>
      <c r="M950" s="1"/>
      <c r="N950" s="1"/>
      <c r="O950" s="1"/>
      <c r="P950" s="1"/>
      <c r="Q950" s="1"/>
      <c r="R950" s="1"/>
      <c r="S950" s="1"/>
      <c r="T950" s="1"/>
      <c r="U950" s="1"/>
      <c r="V950" s="1"/>
      <c r="W950" s="1"/>
      <c r="X950" s="1"/>
      <c r="Y950" s="1"/>
      <c r="Z950" s="1"/>
    </row>
    <row r="951">
      <c r="A951" s="1"/>
      <c r="B951" s="32"/>
      <c r="C951" s="1"/>
      <c r="D951" s="1"/>
      <c r="E951" s="1"/>
      <c r="F951" s="1"/>
      <c r="G951" s="1"/>
      <c r="H951" s="32"/>
      <c r="I951" s="1"/>
      <c r="J951" s="1"/>
      <c r="K951" s="1"/>
      <c r="L951" s="1"/>
      <c r="M951" s="1"/>
      <c r="N951" s="1"/>
      <c r="O951" s="1"/>
      <c r="P951" s="1"/>
      <c r="Q951" s="1"/>
      <c r="R951" s="1"/>
      <c r="S951" s="1"/>
      <c r="T951" s="1"/>
      <c r="U951" s="1"/>
      <c r="V951" s="1"/>
      <c r="W951" s="1"/>
      <c r="X951" s="1"/>
      <c r="Y951" s="1"/>
      <c r="Z951" s="1"/>
    </row>
    <row r="952">
      <c r="A952" s="1"/>
      <c r="B952" s="32"/>
      <c r="C952" s="1"/>
      <c r="D952" s="1"/>
      <c r="E952" s="1"/>
      <c r="F952" s="1"/>
      <c r="G952" s="1"/>
      <c r="H952" s="32"/>
      <c r="I952" s="1"/>
      <c r="J952" s="1"/>
      <c r="K952" s="1"/>
      <c r="L952" s="1"/>
      <c r="M952" s="1"/>
      <c r="N952" s="1"/>
      <c r="O952" s="1"/>
      <c r="P952" s="1"/>
      <c r="Q952" s="1"/>
      <c r="R952" s="1"/>
      <c r="S952" s="1"/>
      <c r="T952" s="1"/>
      <c r="U952" s="1"/>
      <c r="V952" s="1"/>
      <c r="W952" s="1"/>
      <c r="X952" s="1"/>
      <c r="Y952" s="1"/>
      <c r="Z952" s="1"/>
    </row>
    <row r="953">
      <c r="A953" s="1"/>
      <c r="B953" s="32"/>
      <c r="C953" s="1"/>
      <c r="D953" s="1"/>
      <c r="E953" s="1"/>
      <c r="F953" s="1"/>
      <c r="G953" s="1"/>
      <c r="H953" s="32"/>
      <c r="I953" s="1"/>
      <c r="J953" s="1"/>
      <c r="K953" s="1"/>
      <c r="L953" s="1"/>
      <c r="M953" s="1"/>
      <c r="N953" s="1"/>
      <c r="O953" s="1"/>
      <c r="P953" s="1"/>
      <c r="Q953" s="1"/>
      <c r="R953" s="1"/>
      <c r="S953" s="1"/>
      <c r="T953" s="1"/>
      <c r="U953" s="1"/>
      <c r="V953" s="1"/>
      <c r="W953" s="1"/>
      <c r="X953" s="1"/>
      <c r="Y953" s="1"/>
      <c r="Z953" s="1"/>
    </row>
    <row r="954">
      <c r="A954" s="1"/>
      <c r="B954" s="32"/>
      <c r="C954" s="1"/>
      <c r="D954" s="1"/>
      <c r="E954" s="1"/>
      <c r="F954" s="1"/>
      <c r="G954" s="1"/>
      <c r="H954" s="32"/>
      <c r="I954" s="1"/>
      <c r="J954" s="1"/>
      <c r="K954" s="1"/>
      <c r="L954" s="1"/>
      <c r="M954" s="1"/>
      <c r="N954" s="1"/>
      <c r="O954" s="1"/>
      <c r="P954" s="1"/>
      <c r="Q954" s="1"/>
      <c r="R954" s="1"/>
      <c r="S954" s="1"/>
      <c r="T954" s="1"/>
      <c r="U954" s="1"/>
      <c r="V954" s="1"/>
      <c r="W954" s="1"/>
      <c r="X954" s="1"/>
      <c r="Y954" s="1"/>
      <c r="Z954" s="1"/>
    </row>
    <row r="955">
      <c r="A955" s="1"/>
      <c r="B955" s="32"/>
      <c r="C955" s="1"/>
      <c r="D955" s="1"/>
      <c r="E955" s="1"/>
      <c r="F955" s="1"/>
      <c r="G955" s="1"/>
      <c r="H955" s="32"/>
      <c r="I955" s="1"/>
      <c r="J955" s="1"/>
      <c r="K955" s="1"/>
      <c r="L955" s="1"/>
      <c r="M955" s="1"/>
      <c r="N955" s="1"/>
      <c r="O955" s="1"/>
      <c r="P955" s="1"/>
      <c r="Q955" s="1"/>
      <c r="R955" s="1"/>
      <c r="S955" s="1"/>
      <c r="T955" s="1"/>
      <c r="U955" s="1"/>
      <c r="V955" s="1"/>
      <c r="W955" s="1"/>
      <c r="X955" s="1"/>
      <c r="Y955" s="1"/>
      <c r="Z955" s="1"/>
    </row>
    <row r="956">
      <c r="A956" s="1"/>
      <c r="B956" s="32"/>
      <c r="C956" s="1"/>
      <c r="D956" s="1"/>
      <c r="E956" s="1"/>
      <c r="F956" s="1"/>
      <c r="G956" s="1"/>
      <c r="H956" s="32"/>
      <c r="I956" s="1"/>
      <c r="J956" s="1"/>
      <c r="K956" s="1"/>
      <c r="L956" s="1"/>
      <c r="M956" s="1"/>
      <c r="N956" s="1"/>
      <c r="O956" s="1"/>
      <c r="P956" s="1"/>
      <c r="Q956" s="1"/>
      <c r="R956" s="1"/>
      <c r="S956" s="1"/>
      <c r="T956" s="1"/>
      <c r="U956" s="1"/>
      <c r="V956" s="1"/>
      <c r="W956" s="1"/>
      <c r="X956" s="1"/>
      <c r="Y956" s="1"/>
      <c r="Z956" s="1"/>
    </row>
    <row r="957">
      <c r="A957" s="1"/>
      <c r="B957" s="32"/>
      <c r="C957" s="1"/>
      <c r="D957" s="1"/>
      <c r="E957" s="1"/>
      <c r="F957" s="1"/>
      <c r="G957" s="1"/>
      <c r="H957" s="32"/>
      <c r="I957" s="1"/>
      <c r="J957" s="1"/>
      <c r="K957" s="1"/>
      <c r="L957" s="1"/>
      <c r="M957" s="1"/>
      <c r="N957" s="1"/>
      <c r="O957" s="1"/>
      <c r="P957" s="1"/>
      <c r="Q957" s="1"/>
      <c r="R957" s="1"/>
      <c r="S957" s="1"/>
      <c r="T957" s="1"/>
      <c r="U957" s="1"/>
      <c r="V957" s="1"/>
      <c r="W957" s="1"/>
      <c r="X957" s="1"/>
      <c r="Y957" s="1"/>
      <c r="Z957" s="1"/>
    </row>
    <row r="958">
      <c r="A958" s="1"/>
      <c r="B958" s="32"/>
      <c r="C958" s="1"/>
      <c r="D958" s="1"/>
      <c r="E958" s="1"/>
      <c r="F958" s="1"/>
      <c r="G958" s="1"/>
      <c r="H958" s="32"/>
      <c r="I958" s="1"/>
      <c r="J958" s="1"/>
      <c r="K958" s="1"/>
      <c r="L958" s="1"/>
      <c r="M958" s="1"/>
      <c r="N958" s="1"/>
      <c r="O958" s="1"/>
      <c r="P958" s="1"/>
      <c r="Q958" s="1"/>
      <c r="R958" s="1"/>
      <c r="S958" s="1"/>
      <c r="T958" s="1"/>
      <c r="U958" s="1"/>
      <c r="V958" s="1"/>
      <c r="W958" s="1"/>
      <c r="X958" s="1"/>
      <c r="Y958" s="1"/>
      <c r="Z958" s="1"/>
    </row>
    <row r="959">
      <c r="A959" s="1"/>
      <c r="B959" s="32"/>
      <c r="C959" s="1"/>
      <c r="D959" s="1"/>
      <c r="E959" s="1"/>
      <c r="F959" s="1"/>
      <c r="G959" s="1"/>
      <c r="H959" s="32"/>
      <c r="I959" s="1"/>
      <c r="J959" s="1"/>
      <c r="K959" s="1"/>
      <c r="L959" s="1"/>
      <c r="M959" s="1"/>
      <c r="N959" s="1"/>
      <c r="O959" s="1"/>
      <c r="P959" s="1"/>
      <c r="Q959" s="1"/>
      <c r="R959" s="1"/>
      <c r="S959" s="1"/>
      <c r="T959" s="1"/>
      <c r="U959" s="1"/>
      <c r="V959" s="1"/>
      <c r="W959" s="1"/>
      <c r="X959" s="1"/>
      <c r="Y959" s="1"/>
      <c r="Z959" s="1"/>
    </row>
    <row r="960">
      <c r="A960" s="1"/>
      <c r="B960" s="32"/>
      <c r="C960" s="1"/>
      <c r="D960" s="1"/>
      <c r="E960" s="1"/>
      <c r="F960" s="1"/>
      <c r="G960" s="1"/>
      <c r="H960" s="32"/>
      <c r="I960" s="1"/>
      <c r="J960" s="1"/>
      <c r="K960" s="1"/>
      <c r="L960" s="1"/>
      <c r="M960" s="1"/>
      <c r="N960" s="1"/>
      <c r="O960" s="1"/>
      <c r="P960" s="1"/>
      <c r="Q960" s="1"/>
      <c r="R960" s="1"/>
      <c r="S960" s="1"/>
      <c r="T960" s="1"/>
      <c r="U960" s="1"/>
      <c r="V960" s="1"/>
      <c r="W960" s="1"/>
      <c r="X960" s="1"/>
      <c r="Y960" s="1"/>
      <c r="Z960" s="1"/>
    </row>
    <row r="961">
      <c r="A961" s="1"/>
      <c r="B961" s="32"/>
      <c r="C961" s="1"/>
      <c r="D961" s="1"/>
      <c r="E961" s="1"/>
      <c r="F961" s="1"/>
      <c r="G961" s="1"/>
      <c r="H961" s="32"/>
      <c r="I961" s="1"/>
      <c r="J961" s="1"/>
      <c r="K961" s="1"/>
      <c r="L961" s="1"/>
      <c r="M961" s="1"/>
      <c r="N961" s="1"/>
      <c r="O961" s="1"/>
      <c r="P961" s="1"/>
      <c r="Q961" s="1"/>
      <c r="R961" s="1"/>
      <c r="S961" s="1"/>
      <c r="T961" s="1"/>
      <c r="U961" s="1"/>
      <c r="V961" s="1"/>
      <c r="W961" s="1"/>
      <c r="X961" s="1"/>
      <c r="Y961" s="1"/>
      <c r="Z961" s="1"/>
    </row>
    <row r="962">
      <c r="A962" s="1"/>
      <c r="B962" s="32"/>
      <c r="C962" s="1"/>
      <c r="D962" s="1"/>
      <c r="E962" s="1"/>
      <c r="F962" s="1"/>
      <c r="G962" s="1"/>
      <c r="H962" s="32"/>
      <c r="I962" s="1"/>
      <c r="J962" s="1"/>
      <c r="K962" s="1"/>
      <c r="L962" s="1"/>
      <c r="M962" s="1"/>
      <c r="N962" s="1"/>
      <c r="O962" s="1"/>
      <c r="P962" s="1"/>
      <c r="Q962" s="1"/>
      <c r="R962" s="1"/>
      <c r="S962" s="1"/>
      <c r="T962" s="1"/>
      <c r="U962" s="1"/>
      <c r="V962" s="1"/>
      <c r="W962" s="1"/>
      <c r="X962" s="1"/>
      <c r="Y962" s="1"/>
      <c r="Z962" s="1"/>
    </row>
    <row r="963">
      <c r="A963" s="1"/>
      <c r="B963" s="32"/>
      <c r="C963" s="1"/>
      <c r="D963" s="1"/>
      <c r="E963" s="1"/>
      <c r="F963" s="1"/>
      <c r="G963" s="1"/>
      <c r="H963" s="32"/>
      <c r="I963" s="1"/>
      <c r="J963" s="1"/>
      <c r="K963" s="1"/>
      <c r="L963" s="1"/>
      <c r="M963" s="1"/>
      <c r="N963" s="1"/>
      <c r="O963" s="1"/>
      <c r="P963" s="1"/>
      <c r="Q963" s="1"/>
      <c r="R963" s="1"/>
      <c r="S963" s="1"/>
      <c r="T963" s="1"/>
      <c r="U963" s="1"/>
      <c r="V963" s="1"/>
      <c r="W963" s="1"/>
      <c r="X963" s="1"/>
      <c r="Y963" s="1"/>
      <c r="Z963" s="1"/>
    </row>
    <row r="964">
      <c r="A964" s="1"/>
      <c r="B964" s="32"/>
      <c r="C964" s="1"/>
      <c r="D964" s="1"/>
      <c r="E964" s="1"/>
      <c r="F964" s="1"/>
      <c r="G964" s="1"/>
      <c r="H964" s="32"/>
      <c r="I964" s="1"/>
      <c r="J964" s="1"/>
      <c r="K964" s="1"/>
      <c r="L964" s="1"/>
      <c r="M964" s="1"/>
      <c r="N964" s="1"/>
      <c r="O964" s="1"/>
      <c r="P964" s="1"/>
      <c r="Q964" s="1"/>
      <c r="R964" s="1"/>
      <c r="S964" s="1"/>
      <c r="T964" s="1"/>
      <c r="U964" s="1"/>
      <c r="V964" s="1"/>
      <c r="W964" s="1"/>
      <c r="X964" s="1"/>
      <c r="Y964" s="1"/>
      <c r="Z964" s="1"/>
    </row>
    <row r="965">
      <c r="A965" s="1"/>
      <c r="B965" s="32"/>
      <c r="C965" s="1"/>
      <c r="D965" s="1"/>
      <c r="E965" s="1"/>
      <c r="F965" s="1"/>
      <c r="G965" s="1"/>
      <c r="H965" s="32"/>
      <c r="I965" s="1"/>
      <c r="J965" s="1"/>
      <c r="K965" s="1"/>
      <c r="L965" s="1"/>
      <c r="M965" s="1"/>
      <c r="N965" s="1"/>
      <c r="O965" s="1"/>
      <c r="P965" s="1"/>
      <c r="Q965" s="1"/>
      <c r="R965" s="1"/>
      <c r="S965" s="1"/>
      <c r="T965" s="1"/>
      <c r="U965" s="1"/>
      <c r="V965" s="1"/>
      <c r="W965" s="1"/>
      <c r="X965" s="1"/>
      <c r="Y965" s="1"/>
      <c r="Z965" s="1"/>
    </row>
    <row r="966">
      <c r="A966" s="1"/>
      <c r="B966" s="32"/>
      <c r="C966" s="1"/>
      <c r="D966" s="1"/>
      <c r="E966" s="1"/>
      <c r="F966" s="1"/>
      <c r="G966" s="1"/>
      <c r="H966" s="32"/>
      <c r="I966" s="1"/>
      <c r="J966" s="1"/>
      <c r="K966" s="1"/>
      <c r="L966" s="1"/>
      <c r="M966" s="1"/>
      <c r="N966" s="1"/>
      <c r="O966" s="1"/>
      <c r="P966" s="1"/>
      <c r="Q966" s="1"/>
      <c r="R966" s="1"/>
      <c r="S966" s="1"/>
      <c r="T966" s="1"/>
      <c r="U966" s="1"/>
      <c r="V966" s="1"/>
      <c r="W966" s="1"/>
      <c r="X966" s="1"/>
      <c r="Y966" s="1"/>
      <c r="Z966" s="1"/>
    </row>
    <row r="967">
      <c r="A967" s="1"/>
      <c r="B967" s="32"/>
      <c r="C967" s="1"/>
      <c r="D967" s="1"/>
      <c r="E967" s="1"/>
      <c r="F967" s="1"/>
      <c r="G967" s="1"/>
      <c r="H967" s="32"/>
      <c r="I967" s="1"/>
      <c r="J967" s="1"/>
      <c r="K967" s="1"/>
      <c r="L967" s="1"/>
      <c r="M967" s="1"/>
      <c r="N967" s="1"/>
      <c r="O967" s="1"/>
      <c r="P967" s="1"/>
      <c r="Q967" s="1"/>
      <c r="R967" s="1"/>
      <c r="S967" s="1"/>
      <c r="T967" s="1"/>
      <c r="U967" s="1"/>
      <c r="V967" s="1"/>
      <c r="W967" s="1"/>
      <c r="X967" s="1"/>
      <c r="Y967" s="1"/>
      <c r="Z967" s="1"/>
    </row>
    <row r="968">
      <c r="A968" s="1"/>
      <c r="B968" s="32"/>
      <c r="C968" s="1"/>
      <c r="D968" s="1"/>
      <c r="E968" s="1"/>
      <c r="F968" s="1"/>
      <c r="G968" s="1"/>
      <c r="H968" s="32"/>
      <c r="I968" s="1"/>
      <c r="J968" s="1"/>
      <c r="K968" s="1"/>
      <c r="L968" s="1"/>
      <c r="M968" s="1"/>
      <c r="N968" s="1"/>
      <c r="O968" s="1"/>
      <c r="P968" s="1"/>
      <c r="Q968" s="1"/>
      <c r="R968" s="1"/>
      <c r="S968" s="1"/>
      <c r="T968" s="1"/>
      <c r="U968" s="1"/>
      <c r="V968" s="1"/>
      <c r="W968" s="1"/>
      <c r="X968" s="1"/>
      <c r="Y968" s="1"/>
      <c r="Z968" s="1"/>
    </row>
    <row r="969">
      <c r="A969" s="1"/>
      <c r="B969" s="32"/>
      <c r="C969" s="1"/>
      <c r="D969" s="1"/>
      <c r="E969" s="1"/>
      <c r="F969" s="1"/>
      <c r="G969" s="1"/>
      <c r="H969" s="32"/>
      <c r="I969" s="1"/>
      <c r="J969" s="1"/>
      <c r="K969" s="1"/>
      <c r="L969" s="1"/>
      <c r="M969" s="1"/>
      <c r="N969" s="1"/>
      <c r="O969" s="1"/>
      <c r="P969" s="1"/>
      <c r="Q969" s="1"/>
      <c r="R969" s="1"/>
      <c r="S969" s="1"/>
      <c r="T969" s="1"/>
      <c r="U969" s="1"/>
      <c r="V969" s="1"/>
      <c r="W969" s="1"/>
      <c r="X969" s="1"/>
      <c r="Y969" s="1"/>
      <c r="Z969" s="1"/>
    </row>
    <row r="970">
      <c r="A970" s="1"/>
      <c r="B970" s="32"/>
      <c r="C970" s="1"/>
      <c r="D970" s="1"/>
      <c r="E970" s="1"/>
      <c r="F970" s="1"/>
      <c r="G970" s="1"/>
      <c r="H970" s="32"/>
      <c r="I970" s="1"/>
      <c r="J970" s="1"/>
      <c r="K970" s="1"/>
      <c r="L970" s="1"/>
      <c r="M970" s="1"/>
      <c r="N970" s="1"/>
      <c r="O970" s="1"/>
      <c r="P970" s="1"/>
      <c r="Q970" s="1"/>
      <c r="R970" s="1"/>
      <c r="S970" s="1"/>
      <c r="T970" s="1"/>
      <c r="U970" s="1"/>
      <c r="V970" s="1"/>
      <c r="W970" s="1"/>
      <c r="X970" s="1"/>
      <c r="Y970" s="1"/>
      <c r="Z970" s="1"/>
    </row>
    <row r="971">
      <c r="A971" s="1"/>
      <c r="B971" s="32"/>
      <c r="C971" s="1"/>
      <c r="D971" s="1"/>
      <c r="E971" s="1"/>
      <c r="F971" s="1"/>
      <c r="G971" s="1"/>
      <c r="H971" s="32"/>
      <c r="I971" s="1"/>
      <c r="J971" s="1"/>
      <c r="K971" s="1"/>
      <c r="L971" s="1"/>
      <c r="M971" s="1"/>
      <c r="N971" s="1"/>
      <c r="O971" s="1"/>
      <c r="P971" s="1"/>
      <c r="Q971" s="1"/>
      <c r="R971" s="1"/>
      <c r="S971" s="1"/>
      <c r="T971" s="1"/>
      <c r="U971" s="1"/>
      <c r="V971" s="1"/>
      <c r="W971" s="1"/>
      <c r="X971" s="1"/>
      <c r="Y971" s="1"/>
      <c r="Z971" s="1"/>
    </row>
    <row r="972">
      <c r="A972" s="1"/>
      <c r="B972" s="32"/>
      <c r="C972" s="1"/>
      <c r="D972" s="1"/>
      <c r="E972" s="1"/>
      <c r="F972" s="1"/>
      <c r="G972" s="1"/>
      <c r="H972" s="32"/>
      <c r="I972" s="1"/>
      <c r="J972" s="1"/>
      <c r="K972" s="1"/>
      <c r="L972" s="1"/>
      <c r="M972" s="1"/>
      <c r="N972" s="1"/>
      <c r="O972" s="1"/>
      <c r="P972" s="1"/>
      <c r="Q972" s="1"/>
      <c r="R972" s="1"/>
      <c r="S972" s="1"/>
      <c r="T972" s="1"/>
      <c r="U972" s="1"/>
      <c r="V972" s="1"/>
      <c r="W972" s="1"/>
      <c r="X972" s="1"/>
      <c r="Y972" s="1"/>
      <c r="Z972" s="1"/>
    </row>
    <row r="973">
      <c r="A973" s="1"/>
      <c r="B973" s="32"/>
      <c r="C973" s="1"/>
      <c r="D973" s="1"/>
      <c r="E973" s="1"/>
      <c r="F973" s="1"/>
      <c r="G973" s="1"/>
      <c r="H973" s="32"/>
      <c r="I973" s="1"/>
      <c r="J973" s="1"/>
      <c r="K973" s="1"/>
      <c r="L973" s="1"/>
      <c r="M973" s="1"/>
      <c r="N973" s="1"/>
      <c r="O973" s="1"/>
      <c r="P973" s="1"/>
      <c r="Q973" s="1"/>
      <c r="R973" s="1"/>
      <c r="S973" s="1"/>
      <c r="T973" s="1"/>
      <c r="U973" s="1"/>
      <c r="V973" s="1"/>
      <c r="W973" s="1"/>
      <c r="X973" s="1"/>
      <c r="Y973" s="1"/>
      <c r="Z973" s="1"/>
    </row>
    <row r="974">
      <c r="A974" s="1"/>
      <c r="B974" s="32"/>
      <c r="C974" s="1"/>
      <c r="D974" s="1"/>
      <c r="E974" s="1"/>
      <c r="F974" s="1"/>
      <c r="G974" s="1"/>
      <c r="H974" s="32"/>
      <c r="I974" s="1"/>
      <c r="J974" s="1"/>
      <c r="K974" s="1"/>
      <c r="L974" s="1"/>
      <c r="M974" s="1"/>
      <c r="N974" s="1"/>
      <c r="O974" s="1"/>
      <c r="P974" s="1"/>
      <c r="Q974" s="1"/>
      <c r="R974" s="1"/>
      <c r="S974" s="1"/>
      <c r="T974" s="1"/>
      <c r="U974" s="1"/>
      <c r="V974" s="1"/>
      <c r="W974" s="1"/>
      <c r="X974" s="1"/>
      <c r="Y974" s="1"/>
      <c r="Z974" s="1"/>
    </row>
    <row r="975">
      <c r="A975" s="1"/>
      <c r="B975" s="32"/>
      <c r="C975" s="1"/>
      <c r="D975" s="1"/>
      <c r="E975" s="1"/>
      <c r="F975" s="1"/>
      <c r="G975" s="1"/>
      <c r="H975" s="32"/>
      <c r="I975" s="1"/>
      <c r="J975" s="1"/>
      <c r="K975" s="1"/>
      <c r="L975" s="1"/>
      <c r="M975" s="1"/>
      <c r="N975" s="1"/>
      <c r="O975" s="1"/>
      <c r="P975" s="1"/>
      <c r="Q975" s="1"/>
      <c r="R975" s="1"/>
      <c r="S975" s="1"/>
      <c r="T975" s="1"/>
      <c r="U975" s="1"/>
      <c r="V975" s="1"/>
      <c r="W975" s="1"/>
      <c r="X975" s="1"/>
      <c r="Y975" s="1"/>
      <c r="Z975" s="1"/>
    </row>
    <row r="976">
      <c r="A976" s="1"/>
      <c r="B976" s="32"/>
      <c r="C976" s="1"/>
      <c r="D976" s="1"/>
      <c r="E976" s="1"/>
      <c r="F976" s="1"/>
      <c r="G976" s="1"/>
      <c r="H976" s="32"/>
      <c r="I976" s="1"/>
      <c r="J976" s="1"/>
      <c r="K976" s="1"/>
      <c r="L976" s="1"/>
      <c r="M976" s="1"/>
      <c r="N976" s="1"/>
      <c r="O976" s="1"/>
      <c r="P976" s="1"/>
      <c r="Q976" s="1"/>
      <c r="R976" s="1"/>
      <c r="S976" s="1"/>
      <c r="T976" s="1"/>
      <c r="U976" s="1"/>
      <c r="V976" s="1"/>
      <c r="W976" s="1"/>
      <c r="X976" s="1"/>
      <c r="Y976" s="1"/>
      <c r="Z976" s="1"/>
    </row>
    <row r="977">
      <c r="A977" s="1"/>
      <c r="B977" s="32"/>
      <c r="C977" s="1"/>
      <c r="D977" s="1"/>
      <c r="E977" s="1"/>
      <c r="F977" s="1"/>
      <c r="G977" s="1"/>
      <c r="H977" s="32"/>
      <c r="I977" s="1"/>
      <c r="J977" s="1"/>
      <c r="K977" s="1"/>
      <c r="L977" s="1"/>
      <c r="M977" s="1"/>
      <c r="N977" s="1"/>
      <c r="O977" s="1"/>
      <c r="P977" s="1"/>
      <c r="Q977" s="1"/>
      <c r="R977" s="1"/>
      <c r="S977" s="1"/>
      <c r="T977" s="1"/>
      <c r="U977" s="1"/>
      <c r="V977" s="1"/>
      <c r="W977" s="1"/>
      <c r="X977" s="1"/>
      <c r="Y977" s="1"/>
      <c r="Z977" s="1"/>
    </row>
    <row r="978">
      <c r="A978" s="1"/>
      <c r="B978" s="32"/>
      <c r="C978" s="1"/>
      <c r="D978" s="1"/>
      <c r="E978" s="1"/>
      <c r="F978" s="1"/>
      <c r="G978" s="1"/>
      <c r="H978" s="32"/>
      <c r="I978" s="1"/>
      <c r="J978" s="1"/>
      <c r="K978" s="1"/>
      <c r="L978" s="1"/>
      <c r="M978" s="1"/>
      <c r="N978" s="1"/>
      <c r="O978" s="1"/>
      <c r="P978" s="1"/>
      <c r="Q978" s="1"/>
      <c r="R978" s="1"/>
      <c r="S978" s="1"/>
      <c r="T978" s="1"/>
      <c r="U978" s="1"/>
      <c r="V978" s="1"/>
      <c r="W978" s="1"/>
      <c r="X978" s="1"/>
      <c r="Y978" s="1"/>
      <c r="Z978" s="1"/>
    </row>
    <row r="979">
      <c r="A979" s="1"/>
      <c r="B979" s="32"/>
      <c r="C979" s="1"/>
      <c r="D979" s="1"/>
      <c r="E979" s="1"/>
      <c r="F979" s="1"/>
      <c r="G979" s="1"/>
      <c r="H979" s="32"/>
      <c r="I979" s="1"/>
      <c r="J979" s="1"/>
      <c r="K979" s="1"/>
      <c r="L979" s="1"/>
      <c r="M979" s="1"/>
      <c r="N979" s="1"/>
      <c r="O979" s="1"/>
      <c r="P979" s="1"/>
      <c r="Q979" s="1"/>
      <c r="R979" s="1"/>
      <c r="S979" s="1"/>
      <c r="T979" s="1"/>
      <c r="U979" s="1"/>
      <c r="V979" s="1"/>
      <c r="W979" s="1"/>
      <c r="X979" s="1"/>
      <c r="Y979" s="1"/>
      <c r="Z979" s="1"/>
    </row>
    <row r="980">
      <c r="A980" s="1"/>
      <c r="B980" s="32"/>
      <c r="C980" s="1"/>
      <c r="D980" s="1"/>
      <c r="E980" s="1"/>
      <c r="F980" s="1"/>
      <c r="G980" s="1"/>
      <c r="H980" s="32"/>
      <c r="I980" s="1"/>
      <c r="J980" s="1"/>
      <c r="K980" s="1"/>
      <c r="L980" s="1"/>
      <c r="M980" s="1"/>
      <c r="N980" s="1"/>
      <c r="O980" s="1"/>
      <c r="P980" s="1"/>
      <c r="Q980" s="1"/>
      <c r="R980" s="1"/>
      <c r="S980" s="1"/>
      <c r="T980" s="1"/>
      <c r="U980" s="1"/>
      <c r="V980" s="1"/>
      <c r="W980" s="1"/>
      <c r="X980" s="1"/>
      <c r="Y980" s="1"/>
      <c r="Z980" s="1"/>
    </row>
    <row r="981">
      <c r="A981" s="1"/>
      <c r="B981" s="32"/>
      <c r="C981" s="1"/>
      <c r="D981" s="1"/>
      <c r="E981" s="1"/>
      <c r="F981" s="1"/>
      <c r="G981" s="1"/>
      <c r="H981" s="32"/>
      <c r="I981" s="1"/>
      <c r="J981" s="1"/>
      <c r="K981" s="1"/>
      <c r="L981" s="1"/>
      <c r="M981" s="1"/>
      <c r="N981" s="1"/>
      <c r="O981" s="1"/>
      <c r="P981" s="1"/>
      <c r="Q981" s="1"/>
      <c r="R981" s="1"/>
      <c r="S981" s="1"/>
      <c r="T981" s="1"/>
      <c r="U981" s="1"/>
      <c r="V981" s="1"/>
      <c r="W981" s="1"/>
      <c r="X981" s="1"/>
      <c r="Y981" s="1"/>
      <c r="Z981" s="1"/>
    </row>
    <row r="982">
      <c r="A982" s="1"/>
      <c r="B982" s="32"/>
      <c r="C982" s="1"/>
      <c r="D982" s="1"/>
      <c r="E982" s="1"/>
      <c r="F982" s="1"/>
      <c r="G982" s="1"/>
      <c r="H982" s="32"/>
      <c r="I982" s="1"/>
      <c r="J982" s="1"/>
      <c r="K982" s="1"/>
      <c r="L982" s="1"/>
      <c r="M982" s="1"/>
      <c r="N982" s="1"/>
      <c r="O982" s="1"/>
      <c r="P982" s="1"/>
      <c r="Q982" s="1"/>
      <c r="R982" s="1"/>
      <c r="S982" s="1"/>
      <c r="T982" s="1"/>
      <c r="U982" s="1"/>
      <c r="V982" s="1"/>
      <c r="W982" s="1"/>
      <c r="X982" s="1"/>
      <c r="Y982" s="1"/>
      <c r="Z982" s="1"/>
    </row>
    <row r="983">
      <c r="A983" s="1"/>
      <c r="B983" s="32"/>
      <c r="C983" s="1"/>
      <c r="D983" s="1"/>
      <c r="E983" s="1"/>
      <c r="F983" s="1"/>
      <c r="G983" s="1"/>
      <c r="H983" s="32"/>
      <c r="I983" s="1"/>
      <c r="J983" s="1"/>
      <c r="K983" s="1"/>
      <c r="L983" s="1"/>
      <c r="M983" s="1"/>
      <c r="N983" s="1"/>
      <c r="O983" s="1"/>
      <c r="P983" s="1"/>
      <c r="Q983" s="1"/>
      <c r="R983" s="1"/>
      <c r="S983" s="1"/>
      <c r="T983" s="1"/>
      <c r="U983" s="1"/>
      <c r="V983" s="1"/>
      <c r="W983" s="1"/>
      <c r="X983" s="1"/>
      <c r="Y983" s="1"/>
      <c r="Z983" s="1"/>
    </row>
    <row r="984">
      <c r="A984" s="1"/>
      <c r="B984" s="32"/>
      <c r="C984" s="1"/>
      <c r="D984" s="1"/>
      <c r="E984" s="1"/>
      <c r="F984" s="1"/>
      <c r="G984" s="1"/>
      <c r="H984" s="32"/>
      <c r="I984" s="1"/>
      <c r="J984" s="1"/>
      <c r="K984" s="1"/>
      <c r="L984" s="1"/>
      <c r="M984" s="1"/>
      <c r="N984" s="1"/>
      <c r="O984" s="1"/>
      <c r="P984" s="1"/>
      <c r="Q984" s="1"/>
      <c r="R984" s="1"/>
      <c r="S984" s="1"/>
      <c r="T984" s="1"/>
      <c r="U984" s="1"/>
      <c r="V984" s="1"/>
      <c r="W984" s="1"/>
      <c r="X984" s="1"/>
      <c r="Y984" s="1"/>
      <c r="Z984" s="1"/>
    </row>
    <row r="985">
      <c r="A985" s="1"/>
      <c r="B985" s="32"/>
      <c r="C985" s="1"/>
      <c r="D985" s="1"/>
      <c r="E985" s="1"/>
      <c r="F985" s="1"/>
      <c r="G985" s="1"/>
      <c r="H985" s="32"/>
      <c r="I985" s="1"/>
      <c r="J985" s="1"/>
      <c r="K985" s="1"/>
      <c r="L985" s="1"/>
      <c r="M985" s="1"/>
      <c r="N985" s="1"/>
      <c r="O985" s="1"/>
      <c r="P985" s="1"/>
      <c r="Q985" s="1"/>
      <c r="R985" s="1"/>
      <c r="S985" s="1"/>
      <c r="T985" s="1"/>
      <c r="U985" s="1"/>
      <c r="V985" s="1"/>
      <c r="W985" s="1"/>
      <c r="X985" s="1"/>
      <c r="Y985" s="1"/>
      <c r="Z985" s="1"/>
    </row>
    <row r="986">
      <c r="A986" s="1"/>
      <c r="B986" s="32"/>
      <c r="C986" s="1"/>
      <c r="D986" s="1"/>
      <c r="E986" s="1"/>
      <c r="F986" s="1"/>
      <c r="G986" s="1"/>
      <c r="H986" s="32"/>
      <c r="I986" s="1"/>
      <c r="J986" s="1"/>
      <c r="K986" s="1"/>
      <c r="L986" s="1"/>
      <c r="M986" s="1"/>
      <c r="N986" s="1"/>
      <c r="O986" s="1"/>
      <c r="P986" s="1"/>
      <c r="Q986" s="1"/>
      <c r="R986" s="1"/>
      <c r="S986" s="1"/>
      <c r="T986" s="1"/>
      <c r="U986" s="1"/>
      <c r="V986" s="1"/>
      <c r="W986" s="1"/>
      <c r="X986" s="1"/>
      <c r="Y986" s="1"/>
      <c r="Z986" s="1"/>
    </row>
    <row r="987">
      <c r="A987" s="1"/>
      <c r="B987" s="32"/>
      <c r="C987" s="1"/>
      <c r="D987" s="1"/>
      <c r="E987" s="1"/>
      <c r="F987" s="1"/>
      <c r="G987" s="1"/>
      <c r="H987" s="32"/>
      <c r="I987" s="1"/>
      <c r="J987" s="1"/>
      <c r="K987" s="1"/>
      <c r="L987" s="1"/>
      <c r="M987" s="1"/>
      <c r="N987" s="1"/>
      <c r="O987" s="1"/>
      <c r="P987" s="1"/>
      <c r="Q987" s="1"/>
      <c r="R987" s="1"/>
      <c r="S987" s="1"/>
      <c r="T987" s="1"/>
      <c r="U987" s="1"/>
      <c r="V987" s="1"/>
      <c r="W987" s="1"/>
      <c r="X987" s="1"/>
      <c r="Y987" s="1"/>
      <c r="Z987" s="1"/>
    </row>
    <row r="988">
      <c r="A988" s="1"/>
      <c r="B988" s="32"/>
      <c r="C988" s="1"/>
      <c r="D988" s="1"/>
      <c r="E988" s="1"/>
      <c r="F988" s="1"/>
      <c r="G988" s="1"/>
      <c r="H988" s="32"/>
      <c r="I988" s="1"/>
      <c r="J988" s="1"/>
      <c r="K988" s="1"/>
      <c r="L988" s="1"/>
      <c r="M988" s="1"/>
      <c r="N988" s="1"/>
      <c r="O988" s="1"/>
      <c r="P988" s="1"/>
      <c r="Q988" s="1"/>
      <c r="R988" s="1"/>
      <c r="S988" s="1"/>
      <c r="T988" s="1"/>
      <c r="U988" s="1"/>
      <c r="V988" s="1"/>
      <c r="W988" s="1"/>
      <c r="X988" s="1"/>
      <c r="Y988" s="1"/>
      <c r="Z988" s="1"/>
    </row>
    <row r="989">
      <c r="A989" s="1"/>
      <c r="B989" s="32"/>
      <c r="C989" s="1"/>
      <c r="D989" s="1"/>
      <c r="E989" s="1"/>
      <c r="F989" s="1"/>
      <c r="G989" s="1"/>
      <c r="H989" s="32"/>
      <c r="I989" s="1"/>
      <c r="J989" s="1"/>
      <c r="K989" s="1"/>
      <c r="L989" s="1"/>
      <c r="M989" s="1"/>
      <c r="N989" s="1"/>
      <c r="O989" s="1"/>
      <c r="P989" s="1"/>
      <c r="Q989" s="1"/>
      <c r="R989" s="1"/>
      <c r="S989" s="1"/>
      <c r="T989" s="1"/>
      <c r="U989" s="1"/>
      <c r="V989" s="1"/>
      <c r="W989" s="1"/>
      <c r="X989" s="1"/>
      <c r="Y989" s="1"/>
      <c r="Z989" s="1"/>
    </row>
    <row r="990">
      <c r="A990" s="1"/>
      <c r="B990" s="32"/>
      <c r="C990" s="1"/>
      <c r="D990" s="1"/>
      <c r="E990" s="1"/>
      <c r="F990" s="1"/>
      <c r="G990" s="1"/>
      <c r="H990" s="32"/>
      <c r="I990" s="1"/>
      <c r="J990" s="1"/>
      <c r="K990" s="1"/>
      <c r="L990" s="1"/>
      <c r="M990" s="1"/>
      <c r="N990" s="1"/>
      <c r="O990" s="1"/>
      <c r="P990" s="1"/>
      <c r="Q990" s="1"/>
      <c r="R990" s="1"/>
      <c r="S990" s="1"/>
      <c r="T990" s="1"/>
      <c r="U990" s="1"/>
      <c r="V990" s="1"/>
      <c r="W990" s="1"/>
      <c r="X990" s="1"/>
      <c r="Y990" s="1"/>
      <c r="Z990" s="1"/>
    </row>
    <row r="991">
      <c r="A991" s="1"/>
      <c r="B991" s="32"/>
      <c r="C991" s="1"/>
      <c r="D991" s="1"/>
      <c r="E991" s="1"/>
      <c r="F991" s="1"/>
      <c r="G991" s="1"/>
      <c r="H991" s="32"/>
      <c r="I991" s="1"/>
      <c r="J991" s="1"/>
      <c r="K991" s="1"/>
      <c r="L991" s="1"/>
      <c r="M991" s="1"/>
      <c r="N991" s="1"/>
      <c r="O991" s="1"/>
      <c r="P991" s="1"/>
      <c r="Q991" s="1"/>
      <c r="R991" s="1"/>
      <c r="S991" s="1"/>
      <c r="T991" s="1"/>
      <c r="U991" s="1"/>
      <c r="V991" s="1"/>
      <c r="W991" s="1"/>
      <c r="X991" s="1"/>
      <c r="Y991" s="1"/>
      <c r="Z991" s="1"/>
    </row>
    <row r="992">
      <c r="A992" s="1"/>
      <c r="B992" s="32"/>
      <c r="C992" s="1"/>
      <c r="D992" s="1"/>
      <c r="E992" s="1"/>
      <c r="F992" s="1"/>
      <c r="G992" s="1"/>
      <c r="H992" s="32"/>
      <c r="I992" s="1"/>
      <c r="J992" s="1"/>
      <c r="K992" s="1"/>
      <c r="L992" s="1"/>
      <c r="M992" s="1"/>
      <c r="N992" s="1"/>
      <c r="O992" s="1"/>
      <c r="P992" s="1"/>
      <c r="Q992" s="1"/>
      <c r="R992" s="1"/>
      <c r="S992" s="1"/>
      <c r="T992" s="1"/>
      <c r="U992" s="1"/>
      <c r="V992" s="1"/>
      <c r="W992" s="1"/>
      <c r="X992" s="1"/>
      <c r="Y992" s="1"/>
      <c r="Z992" s="1"/>
    </row>
    <row r="993">
      <c r="A993" s="1"/>
      <c r="B993" s="32"/>
      <c r="C993" s="1"/>
      <c r="D993" s="1"/>
      <c r="E993" s="1"/>
      <c r="F993" s="1"/>
      <c r="G993" s="1"/>
      <c r="H993" s="32"/>
      <c r="I993" s="1"/>
      <c r="J993" s="1"/>
      <c r="K993" s="1"/>
      <c r="L993" s="1"/>
      <c r="M993" s="1"/>
      <c r="N993" s="1"/>
      <c r="O993" s="1"/>
      <c r="P993" s="1"/>
      <c r="Q993" s="1"/>
      <c r="R993" s="1"/>
      <c r="S993" s="1"/>
      <c r="T993" s="1"/>
      <c r="U993" s="1"/>
      <c r="V993" s="1"/>
      <c r="W993" s="1"/>
      <c r="X993" s="1"/>
      <c r="Y993" s="1"/>
      <c r="Z993" s="1"/>
    </row>
    <row r="994">
      <c r="A994" s="1"/>
      <c r="B994" s="32"/>
      <c r="C994" s="1"/>
      <c r="D994" s="1"/>
      <c r="E994" s="1"/>
      <c r="F994" s="1"/>
      <c r="G994" s="1"/>
      <c r="H994" s="32"/>
      <c r="I994" s="1"/>
      <c r="J994" s="1"/>
      <c r="K994" s="1"/>
      <c r="L994" s="1"/>
      <c r="M994" s="1"/>
      <c r="N994" s="1"/>
      <c r="O994" s="1"/>
      <c r="P994" s="1"/>
      <c r="Q994" s="1"/>
      <c r="R994" s="1"/>
      <c r="S994" s="1"/>
      <c r="T994" s="1"/>
      <c r="U994" s="1"/>
      <c r="V994" s="1"/>
      <c r="W994" s="1"/>
      <c r="X994" s="1"/>
      <c r="Y994" s="1"/>
      <c r="Z994" s="1"/>
    </row>
    <row r="995">
      <c r="A995" s="1"/>
      <c r="B995" s="32"/>
      <c r="C995" s="1"/>
      <c r="D995" s="1"/>
      <c r="E995" s="1"/>
      <c r="F995" s="1"/>
      <c r="G995" s="1"/>
      <c r="H995" s="32"/>
      <c r="I995" s="1"/>
      <c r="J995" s="1"/>
      <c r="K995" s="1"/>
      <c r="L995" s="1"/>
      <c r="M995" s="1"/>
      <c r="N995" s="1"/>
      <c r="O995" s="1"/>
      <c r="P995" s="1"/>
      <c r="Q995" s="1"/>
      <c r="R995" s="1"/>
      <c r="S995" s="1"/>
      <c r="T995" s="1"/>
      <c r="U995" s="1"/>
      <c r="V995" s="1"/>
      <c r="W995" s="1"/>
      <c r="X995" s="1"/>
      <c r="Y995" s="1"/>
      <c r="Z995" s="1"/>
    </row>
    <row r="996">
      <c r="A996" s="1"/>
      <c r="B996" s="32"/>
      <c r="C996" s="1"/>
      <c r="D996" s="1"/>
      <c r="E996" s="1"/>
      <c r="F996" s="1"/>
      <c r="G996" s="1"/>
      <c r="H996" s="32"/>
      <c r="I996" s="1"/>
      <c r="J996" s="1"/>
      <c r="K996" s="1"/>
      <c r="L996" s="1"/>
      <c r="M996" s="1"/>
      <c r="N996" s="1"/>
      <c r="O996" s="1"/>
      <c r="P996" s="1"/>
      <c r="Q996" s="1"/>
      <c r="R996" s="1"/>
      <c r="S996" s="1"/>
      <c r="T996" s="1"/>
      <c r="U996" s="1"/>
      <c r="V996" s="1"/>
      <c r="W996" s="1"/>
      <c r="X996" s="1"/>
      <c r="Y996" s="1"/>
      <c r="Z996" s="1"/>
    </row>
    <row r="997">
      <c r="A997" s="1"/>
      <c r="B997" s="32"/>
      <c r="C997" s="1"/>
      <c r="D997" s="1"/>
      <c r="E997" s="1"/>
      <c r="F997" s="1"/>
      <c r="G997" s="1"/>
      <c r="H997" s="32"/>
      <c r="I997" s="1"/>
      <c r="J997" s="1"/>
      <c r="K997" s="1"/>
      <c r="L997" s="1"/>
      <c r="M997" s="1"/>
      <c r="N997" s="1"/>
      <c r="O997" s="1"/>
      <c r="P997" s="1"/>
      <c r="Q997" s="1"/>
      <c r="R997" s="1"/>
      <c r="S997" s="1"/>
      <c r="T997" s="1"/>
      <c r="U997" s="1"/>
      <c r="V997" s="1"/>
      <c r="W997" s="1"/>
      <c r="X997" s="1"/>
      <c r="Y997" s="1"/>
      <c r="Z997" s="1"/>
    </row>
    <row r="998">
      <c r="A998" s="1"/>
      <c r="B998" s="32"/>
      <c r="C998" s="1"/>
      <c r="D998" s="1"/>
      <c r="E998" s="1"/>
      <c r="F998" s="1"/>
      <c r="G998" s="1"/>
      <c r="H998" s="32"/>
      <c r="I998" s="1"/>
      <c r="J998" s="1"/>
      <c r="K998" s="1"/>
      <c r="L998" s="1"/>
      <c r="M998" s="1"/>
      <c r="N998" s="1"/>
      <c r="O998" s="1"/>
      <c r="P998" s="1"/>
      <c r="Q998" s="1"/>
      <c r="R998" s="1"/>
      <c r="S998" s="1"/>
      <c r="T998" s="1"/>
      <c r="U998" s="1"/>
      <c r="V998" s="1"/>
      <c r="W998" s="1"/>
      <c r="X998" s="1"/>
      <c r="Y998" s="1"/>
      <c r="Z998" s="1"/>
    </row>
    <row r="999">
      <c r="A999" s="1"/>
      <c r="B999" s="32"/>
      <c r="C999" s="1"/>
      <c r="D999" s="1"/>
      <c r="E999" s="1"/>
      <c r="F999" s="1"/>
      <c r="G999" s="1"/>
      <c r="H999" s="32"/>
      <c r="I999" s="1"/>
      <c r="J999" s="1"/>
      <c r="K999" s="1"/>
      <c r="L999" s="1"/>
      <c r="M999" s="1"/>
      <c r="N999" s="1"/>
      <c r="O999" s="1"/>
      <c r="P999" s="1"/>
      <c r="Q999" s="1"/>
      <c r="R999" s="1"/>
      <c r="S999" s="1"/>
      <c r="T999" s="1"/>
      <c r="U999" s="1"/>
      <c r="V999" s="1"/>
      <c r="W999" s="1"/>
      <c r="X999" s="1"/>
      <c r="Y999" s="1"/>
      <c r="Z999" s="1"/>
    </row>
    <row r="1000">
      <c r="A1000" s="1"/>
      <c r="B1000" s="32"/>
      <c r="C1000" s="1"/>
      <c r="D1000" s="1"/>
      <c r="E1000" s="1"/>
      <c r="F1000" s="1"/>
      <c r="G1000" s="1"/>
      <c r="H1000" s="32"/>
      <c r="I1000" s="1"/>
      <c r="J1000" s="1"/>
      <c r="K1000" s="1"/>
      <c r="L1000" s="1"/>
      <c r="M1000" s="1"/>
      <c r="N1000" s="1"/>
      <c r="O1000" s="1"/>
      <c r="P1000" s="1"/>
      <c r="Q1000" s="1"/>
      <c r="R1000" s="1"/>
      <c r="S1000" s="1"/>
      <c r="T1000" s="1"/>
      <c r="U1000" s="1"/>
      <c r="V1000" s="1"/>
      <c r="W1000" s="1"/>
      <c r="X1000" s="1"/>
      <c r="Y1000" s="1"/>
      <c r="Z1000" s="1"/>
    </row>
  </sheetData>
  <mergeCells count="11">
    <mergeCell ref="F5:G5"/>
    <mergeCell ref="H5:I5"/>
    <mergeCell ref="B20:I20"/>
    <mergeCell ref="B60:I60"/>
    <mergeCell ref="B2:I2"/>
    <mergeCell ref="B4:C4"/>
    <mergeCell ref="D4:E4"/>
    <mergeCell ref="F4:G4"/>
    <mergeCell ref="H4:I4"/>
    <mergeCell ref="B5:C5"/>
    <mergeCell ref="D5:E5"/>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7" max="7" width="26.75"/>
    <col customWidth="1" min="8" max="8" width="35.0"/>
    <col customWidth="1" min="9" max="9" width="25.0"/>
    <col customWidth="1" min="10" max="10" width="32.0"/>
    <col customWidth="1" min="11" max="12" width="22.13"/>
    <col customWidth="1" min="13" max="13" width="14.88"/>
    <col customWidth="1" min="14" max="15" width="99.88"/>
  </cols>
  <sheetData>
    <row r="1" ht="30.75" customHeight="1">
      <c r="A1" s="33" t="s">
        <v>15</v>
      </c>
      <c r="B1" s="34" t="s">
        <v>9</v>
      </c>
      <c r="C1" s="34" t="s">
        <v>6</v>
      </c>
      <c r="D1" s="34" t="s">
        <v>16</v>
      </c>
      <c r="E1" s="34" t="s">
        <v>17</v>
      </c>
      <c r="F1" s="35" t="s">
        <v>18</v>
      </c>
      <c r="G1" s="35" t="s">
        <v>19</v>
      </c>
      <c r="H1" s="35" t="s">
        <v>20</v>
      </c>
      <c r="I1" s="35" t="s">
        <v>21</v>
      </c>
      <c r="J1" s="35" t="s">
        <v>22</v>
      </c>
      <c r="K1" s="35" t="s">
        <v>23</v>
      </c>
      <c r="L1" s="35" t="s">
        <v>24</v>
      </c>
      <c r="M1" s="34" t="s">
        <v>12</v>
      </c>
      <c r="N1" s="34" t="s">
        <v>13</v>
      </c>
      <c r="O1" s="36"/>
      <c r="P1" s="37"/>
      <c r="Q1" s="38"/>
      <c r="R1" s="38"/>
      <c r="S1" s="38"/>
      <c r="T1" s="38"/>
      <c r="U1" s="38"/>
      <c r="V1" s="38"/>
      <c r="W1" s="38"/>
      <c r="X1" s="38"/>
      <c r="Y1" s="38"/>
    </row>
    <row r="2" ht="98.25" customHeight="1">
      <c r="A2" s="39">
        <v>1.0</v>
      </c>
      <c r="B2" s="40" t="s">
        <v>25</v>
      </c>
      <c r="C2" s="41">
        <v>46118.0</v>
      </c>
      <c r="D2" s="40" t="s">
        <v>26</v>
      </c>
      <c r="E2" s="40" t="s">
        <v>27</v>
      </c>
      <c r="F2" s="42" t="s">
        <v>28</v>
      </c>
      <c r="G2" s="42" t="s">
        <v>29</v>
      </c>
      <c r="H2" s="42"/>
      <c r="I2" s="42"/>
      <c r="J2" s="42" t="s">
        <v>30</v>
      </c>
      <c r="K2" s="42" t="s">
        <v>31</v>
      </c>
      <c r="L2" s="42" t="s">
        <v>32</v>
      </c>
      <c r="M2" s="40" t="s">
        <v>33</v>
      </c>
      <c r="N2" s="43" t="s">
        <v>34</v>
      </c>
      <c r="O2" s="44"/>
      <c r="P2" s="45"/>
      <c r="Q2" s="46"/>
      <c r="R2" s="46"/>
      <c r="S2" s="46"/>
      <c r="T2" s="46"/>
      <c r="U2" s="46"/>
      <c r="V2" s="46"/>
      <c r="W2" s="46"/>
      <c r="X2" s="46"/>
      <c r="Y2" s="46"/>
    </row>
    <row r="3" ht="53.25" customHeight="1">
      <c r="A3" s="39">
        <v>2.0</v>
      </c>
      <c r="B3" s="40" t="s">
        <v>25</v>
      </c>
      <c r="C3" s="41">
        <v>46118.0</v>
      </c>
      <c r="D3" s="40" t="s">
        <v>26</v>
      </c>
      <c r="E3" s="40" t="s">
        <v>35</v>
      </c>
      <c r="F3" s="42" t="s">
        <v>36</v>
      </c>
      <c r="G3" s="42">
        <v>9.377706363E9</v>
      </c>
      <c r="H3" s="42"/>
      <c r="I3" s="42"/>
      <c r="J3" s="42"/>
      <c r="K3" s="42"/>
      <c r="L3" s="42"/>
      <c r="M3" s="40" t="s">
        <v>33</v>
      </c>
      <c r="N3" s="43" t="s">
        <v>37</v>
      </c>
      <c r="O3" s="44"/>
      <c r="P3" s="45"/>
      <c r="Q3" s="46"/>
      <c r="R3" s="46"/>
      <c r="S3" s="46"/>
      <c r="T3" s="46"/>
      <c r="U3" s="46"/>
      <c r="V3" s="46"/>
      <c r="W3" s="46"/>
      <c r="X3" s="46"/>
      <c r="Y3" s="46"/>
    </row>
    <row r="4" ht="36.0" customHeight="1">
      <c r="A4" s="39">
        <v>3.0</v>
      </c>
      <c r="B4" s="40" t="s">
        <v>25</v>
      </c>
      <c r="C4" s="41">
        <v>46118.0</v>
      </c>
      <c r="D4" s="40" t="s">
        <v>26</v>
      </c>
      <c r="E4" s="40" t="s">
        <v>38</v>
      </c>
      <c r="F4" s="42" t="s">
        <v>39</v>
      </c>
      <c r="G4" s="42">
        <v>9.821878881E9</v>
      </c>
      <c r="H4" s="42"/>
      <c r="I4" s="42"/>
      <c r="J4" s="42" t="s">
        <v>40</v>
      </c>
      <c r="K4" s="42" t="s">
        <v>41</v>
      </c>
      <c r="L4" s="42"/>
      <c r="M4" s="40" t="s">
        <v>33</v>
      </c>
      <c r="N4" s="43" t="s">
        <v>42</v>
      </c>
      <c r="O4" s="44"/>
      <c r="P4" s="45"/>
      <c r="Q4" s="46"/>
      <c r="R4" s="46"/>
      <c r="S4" s="46"/>
      <c r="T4" s="46"/>
      <c r="U4" s="46"/>
      <c r="V4" s="46"/>
      <c r="W4" s="46"/>
      <c r="X4" s="46"/>
      <c r="Y4" s="46"/>
    </row>
    <row r="5" ht="63.0" customHeight="1">
      <c r="A5" s="47">
        <v>4.0</v>
      </c>
      <c r="B5" s="48" t="s">
        <v>25</v>
      </c>
      <c r="C5" s="49">
        <v>46118.0</v>
      </c>
      <c r="D5" s="48" t="s">
        <v>26</v>
      </c>
      <c r="E5" s="48" t="s">
        <v>43</v>
      </c>
      <c r="F5" s="50"/>
      <c r="G5" s="50">
        <v>9.769947816E9</v>
      </c>
      <c r="H5" s="50"/>
      <c r="I5" s="50"/>
      <c r="J5" s="50" t="s">
        <v>44</v>
      </c>
      <c r="K5" s="50" t="s">
        <v>45</v>
      </c>
      <c r="L5" s="50"/>
      <c r="M5" s="48" t="s">
        <v>46</v>
      </c>
      <c r="N5" s="51" t="s">
        <v>47</v>
      </c>
      <c r="O5" s="52"/>
      <c r="P5" s="53"/>
      <c r="Q5" s="54"/>
      <c r="R5" s="54"/>
      <c r="S5" s="54"/>
      <c r="T5" s="54"/>
      <c r="U5" s="54"/>
      <c r="V5" s="54"/>
      <c r="W5" s="54"/>
      <c r="X5" s="54"/>
      <c r="Y5" s="54"/>
    </row>
    <row r="6" ht="39.75" customHeight="1">
      <c r="A6" s="39">
        <v>5.0</v>
      </c>
      <c r="B6" s="40" t="s">
        <v>25</v>
      </c>
      <c r="C6" s="41">
        <v>46118.0</v>
      </c>
      <c r="D6" s="40" t="s">
        <v>26</v>
      </c>
      <c r="E6" s="40" t="s">
        <v>48</v>
      </c>
      <c r="F6" s="42" t="s">
        <v>49</v>
      </c>
      <c r="G6" s="42">
        <v>9.004925495E9</v>
      </c>
      <c r="H6" s="42"/>
      <c r="I6" s="42"/>
      <c r="J6" s="42" t="s">
        <v>50</v>
      </c>
      <c r="K6" s="40" t="s">
        <v>51</v>
      </c>
      <c r="L6" s="42"/>
      <c r="M6" s="40" t="s">
        <v>33</v>
      </c>
      <c r="N6" s="43" t="s">
        <v>52</v>
      </c>
      <c r="O6" s="44"/>
      <c r="P6" s="45"/>
      <c r="Q6" s="46"/>
      <c r="R6" s="46"/>
      <c r="S6" s="46"/>
      <c r="T6" s="46"/>
      <c r="U6" s="46"/>
      <c r="V6" s="46"/>
      <c r="W6" s="46"/>
      <c r="X6" s="46"/>
      <c r="Y6" s="46"/>
    </row>
    <row r="7">
      <c r="A7" s="39">
        <v>6.0</v>
      </c>
      <c r="B7" s="40" t="s">
        <v>25</v>
      </c>
      <c r="C7" s="41">
        <v>46121.0</v>
      </c>
      <c r="D7" s="40" t="s">
        <v>26</v>
      </c>
      <c r="E7" s="40" t="s">
        <v>53</v>
      </c>
      <c r="F7" s="42" t="s">
        <v>54</v>
      </c>
      <c r="G7" s="42">
        <v>9.702844317E9</v>
      </c>
      <c r="H7" s="55" t="s">
        <v>55</v>
      </c>
      <c r="I7" s="42" t="s">
        <v>56</v>
      </c>
      <c r="J7" s="42" t="s">
        <v>57</v>
      </c>
      <c r="K7" s="40" t="s">
        <v>58</v>
      </c>
      <c r="L7" s="42"/>
      <c r="M7" s="40" t="s">
        <v>33</v>
      </c>
      <c r="N7" s="43" t="s">
        <v>59</v>
      </c>
      <c r="O7" s="44"/>
      <c r="P7" s="45"/>
      <c r="Q7" s="46"/>
      <c r="R7" s="46"/>
      <c r="S7" s="46"/>
      <c r="T7" s="46"/>
      <c r="U7" s="46"/>
      <c r="V7" s="46"/>
      <c r="W7" s="46"/>
      <c r="X7" s="46"/>
      <c r="Y7" s="46"/>
    </row>
    <row r="8">
      <c r="A8" s="56">
        <v>7.0</v>
      </c>
      <c r="B8" s="40" t="s">
        <v>25</v>
      </c>
      <c r="C8" s="41">
        <v>46121.0</v>
      </c>
      <c r="D8" s="40" t="s">
        <v>26</v>
      </c>
      <c r="E8" s="57" t="s">
        <v>60</v>
      </c>
      <c r="F8" s="58" t="s">
        <v>61</v>
      </c>
      <c r="G8" s="58">
        <v>9.820288916E9</v>
      </c>
      <c r="H8" s="58" t="s">
        <v>62</v>
      </c>
      <c r="I8" s="58" t="s">
        <v>63</v>
      </c>
      <c r="J8" s="58" t="s">
        <v>64</v>
      </c>
      <c r="K8" s="40" t="s">
        <v>65</v>
      </c>
      <c r="L8" s="42"/>
      <c r="M8" s="40" t="s">
        <v>33</v>
      </c>
      <c r="N8" s="43" t="s">
        <v>66</v>
      </c>
      <c r="O8" s="44"/>
      <c r="P8" s="44"/>
      <c r="Q8" s="46"/>
      <c r="R8" s="46"/>
      <c r="S8" s="46"/>
      <c r="T8" s="46"/>
      <c r="U8" s="46"/>
      <c r="V8" s="46"/>
      <c r="W8" s="46"/>
      <c r="X8" s="46"/>
      <c r="Y8" s="46"/>
    </row>
    <row r="9">
      <c r="A9" s="56">
        <v>8.0</v>
      </c>
      <c r="B9" s="40" t="s">
        <v>25</v>
      </c>
      <c r="C9" s="59">
        <v>46122.0</v>
      </c>
      <c r="D9" s="40" t="s">
        <v>26</v>
      </c>
      <c r="E9" s="57" t="s">
        <v>67</v>
      </c>
      <c r="F9" s="58" t="s">
        <v>68</v>
      </c>
      <c r="G9" s="58">
        <v>9.820284998E9</v>
      </c>
      <c r="H9" s="58" t="s">
        <v>69</v>
      </c>
      <c r="I9" s="58" t="s">
        <v>70</v>
      </c>
      <c r="J9" s="58" t="s">
        <v>71</v>
      </c>
      <c r="K9" s="40" t="s">
        <v>72</v>
      </c>
      <c r="L9" s="42"/>
      <c r="M9" s="40" t="s">
        <v>33</v>
      </c>
      <c r="N9" s="43" t="s">
        <v>73</v>
      </c>
      <c r="O9" s="44"/>
      <c r="P9" s="45"/>
      <c r="Q9" s="46"/>
      <c r="R9" s="46"/>
      <c r="S9" s="46"/>
      <c r="T9" s="46"/>
      <c r="U9" s="46"/>
      <c r="V9" s="46"/>
      <c r="W9" s="46"/>
      <c r="X9" s="46"/>
      <c r="Y9" s="46"/>
    </row>
    <row r="10">
      <c r="A10" s="56">
        <v>9.0</v>
      </c>
      <c r="B10" s="40" t="s">
        <v>25</v>
      </c>
      <c r="C10" s="59">
        <v>46122.0</v>
      </c>
      <c r="D10" s="40" t="s">
        <v>26</v>
      </c>
      <c r="E10" s="60" t="s">
        <v>74</v>
      </c>
      <c r="F10" s="61" t="s">
        <v>75</v>
      </c>
      <c r="G10" s="58">
        <v>9.819576467E9</v>
      </c>
      <c r="H10" s="58" t="s">
        <v>76</v>
      </c>
      <c r="I10" s="58" t="s">
        <v>77</v>
      </c>
      <c r="J10" s="62" t="s">
        <v>78</v>
      </c>
      <c r="K10" s="57" t="s">
        <v>79</v>
      </c>
      <c r="L10" s="42"/>
      <c r="M10" s="40" t="s">
        <v>80</v>
      </c>
      <c r="N10" s="43" t="s">
        <v>81</v>
      </c>
      <c r="O10" s="44"/>
      <c r="P10" s="45"/>
      <c r="Q10" s="46"/>
      <c r="R10" s="46"/>
      <c r="S10" s="46"/>
      <c r="T10" s="46"/>
      <c r="U10" s="46"/>
      <c r="V10" s="46"/>
      <c r="W10" s="46"/>
      <c r="X10" s="46"/>
      <c r="Y10" s="46"/>
    </row>
    <row r="11">
      <c r="A11" s="62">
        <v>10.0</v>
      </c>
      <c r="B11" s="63" t="s">
        <v>25</v>
      </c>
      <c r="C11" s="64">
        <v>46122.0</v>
      </c>
      <c r="D11" s="40" t="s">
        <v>26</v>
      </c>
      <c r="E11" s="65" t="s">
        <v>82</v>
      </c>
      <c r="F11" s="62" t="s">
        <v>83</v>
      </c>
      <c r="G11" s="62">
        <v>9.820059269E9</v>
      </c>
      <c r="H11" s="62" t="s">
        <v>84</v>
      </c>
      <c r="I11" s="62" t="s">
        <v>85</v>
      </c>
      <c r="J11" s="62" t="s">
        <v>86</v>
      </c>
      <c r="K11" s="65" t="s">
        <v>87</v>
      </c>
      <c r="L11" s="42"/>
      <c r="M11" s="40" t="s">
        <v>33</v>
      </c>
      <c r="N11" s="66" t="s">
        <v>88</v>
      </c>
      <c r="O11" s="67"/>
      <c r="P11" s="45"/>
      <c r="Q11" s="46"/>
      <c r="R11" s="46"/>
      <c r="S11" s="46"/>
      <c r="T11" s="46"/>
      <c r="U11" s="46"/>
      <c r="V11" s="46"/>
      <c r="W11" s="46"/>
      <c r="X11" s="46"/>
      <c r="Y11" s="46"/>
    </row>
    <row r="12">
      <c r="A12" s="62">
        <v>11.0</v>
      </c>
      <c r="B12" s="63" t="s">
        <v>25</v>
      </c>
      <c r="C12" s="68">
        <v>46123.0</v>
      </c>
      <c r="D12" s="40" t="s">
        <v>26</v>
      </c>
      <c r="E12" s="57" t="s">
        <v>89</v>
      </c>
      <c r="F12" s="56" t="s">
        <v>90</v>
      </c>
      <c r="G12" s="56">
        <v>9.867326148E9</v>
      </c>
      <c r="H12" s="56" t="s">
        <v>91</v>
      </c>
      <c r="I12" s="56" t="s">
        <v>92</v>
      </c>
      <c r="J12" s="56" t="s">
        <v>93</v>
      </c>
      <c r="K12" s="40" t="s">
        <v>94</v>
      </c>
      <c r="L12" s="42" t="s">
        <v>32</v>
      </c>
      <c r="M12" s="40" t="s">
        <v>95</v>
      </c>
      <c r="N12" s="69" t="s">
        <v>96</v>
      </c>
      <c r="O12" s="70"/>
      <c r="P12" s="37"/>
      <c r="Q12" s="71"/>
      <c r="R12" s="71"/>
      <c r="S12" s="71"/>
      <c r="T12" s="71"/>
      <c r="U12" s="71"/>
      <c r="V12" s="71"/>
      <c r="W12" s="71"/>
      <c r="X12" s="71"/>
      <c r="Y12" s="71"/>
    </row>
    <row r="13">
      <c r="A13" s="56">
        <v>12.0</v>
      </c>
      <c r="B13" s="63" t="s">
        <v>25</v>
      </c>
      <c r="C13" s="68">
        <v>46124.0</v>
      </c>
      <c r="D13" s="40" t="s">
        <v>26</v>
      </c>
      <c r="E13" s="57" t="s">
        <v>97</v>
      </c>
      <c r="F13" s="56" t="s">
        <v>98</v>
      </c>
      <c r="G13" s="56">
        <v>9.82030621E9</v>
      </c>
      <c r="H13" s="56" t="s">
        <v>99</v>
      </c>
      <c r="I13" s="56" t="s">
        <v>100</v>
      </c>
      <c r="J13" s="56" t="s">
        <v>101</v>
      </c>
      <c r="K13" s="57" t="s">
        <v>102</v>
      </c>
      <c r="L13" s="42"/>
      <c r="M13" s="40" t="s">
        <v>33</v>
      </c>
      <c r="N13" s="69" t="s">
        <v>103</v>
      </c>
      <c r="O13" s="70"/>
      <c r="P13" s="37"/>
      <c r="Q13" s="46"/>
      <c r="R13" s="46"/>
      <c r="S13" s="46"/>
      <c r="T13" s="46"/>
      <c r="U13" s="46"/>
      <c r="V13" s="46"/>
      <c r="W13" s="46"/>
      <c r="X13" s="46"/>
      <c r="Y13" s="46"/>
    </row>
    <row r="14">
      <c r="A14" s="56">
        <v>13.0</v>
      </c>
      <c r="B14" s="63" t="s">
        <v>25</v>
      </c>
      <c r="C14" s="68">
        <v>46124.0</v>
      </c>
      <c r="D14" s="40" t="s">
        <v>26</v>
      </c>
      <c r="E14" s="57" t="s">
        <v>104</v>
      </c>
      <c r="F14" s="56" t="s">
        <v>105</v>
      </c>
      <c r="G14" s="56">
        <v>9.892720442E9</v>
      </c>
      <c r="H14" s="56" t="s">
        <v>106</v>
      </c>
      <c r="I14" s="56" t="s">
        <v>107</v>
      </c>
      <c r="J14" s="56" t="s">
        <v>108</v>
      </c>
      <c r="K14" s="57" t="s">
        <v>109</v>
      </c>
      <c r="L14" s="42"/>
      <c r="M14" s="40" t="s">
        <v>33</v>
      </c>
      <c r="N14" s="69" t="s">
        <v>110</v>
      </c>
      <c r="O14" s="70"/>
      <c r="P14" s="37"/>
      <c r="Q14" s="46"/>
      <c r="R14" s="46"/>
      <c r="S14" s="46"/>
      <c r="T14" s="46"/>
      <c r="U14" s="46"/>
      <c r="V14" s="46"/>
      <c r="W14" s="46"/>
      <c r="X14" s="46"/>
      <c r="Y14" s="46"/>
    </row>
    <row r="15">
      <c r="A15" s="56">
        <v>14.0</v>
      </c>
      <c r="B15" s="63" t="s">
        <v>25</v>
      </c>
      <c r="C15" s="68">
        <v>46126.0</v>
      </c>
      <c r="D15" s="40" t="s">
        <v>26</v>
      </c>
      <c r="E15" s="57" t="s">
        <v>111</v>
      </c>
      <c r="F15" s="56" t="s">
        <v>112</v>
      </c>
      <c r="G15" s="56">
        <v>9.619069662E9</v>
      </c>
      <c r="H15" s="56" t="s">
        <v>113</v>
      </c>
      <c r="I15" s="56" t="s">
        <v>114</v>
      </c>
      <c r="J15" s="56" t="s">
        <v>115</v>
      </c>
      <c r="K15" s="57" t="s">
        <v>116</v>
      </c>
      <c r="L15" s="42"/>
      <c r="M15" s="40" t="s">
        <v>95</v>
      </c>
      <c r="N15" s="69" t="s">
        <v>117</v>
      </c>
      <c r="O15" s="70"/>
      <c r="P15" s="37"/>
      <c r="Q15" s="46"/>
      <c r="R15" s="46"/>
      <c r="S15" s="46"/>
      <c r="T15" s="46"/>
      <c r="U15" s="46"/>
      <c r="V15" s="46"/>
      <c r="W15" s="46"/>
      <c r="X15" s="46"/>
      <c r="Y15" s="46"/>
    </row>
    <row r="16">
      <c r="A16" s="72">
        <v>15.0</v>
      </c>
      <c r="B16" s="73" t="s">
        <v>25</v>
      </c>
      <c r="C16" s="74">
        <v>46126.0</v>
      </c>
      <c r="D16" s="48" t="s">
        <v>26</v>
      </c>
      <c r="E16" s="75" t="s">
        <v>118</v>
      </c>
      <c r="F16" s="75" t="s">
        <v>119</v>
      </c>
      <c r="G16" s="72">
        <v>8.65504044E9</v>
      </c>
      <c r="H16" s="75" t="s">
        <v>120</v>
      </c>
      <c r="I16" s="75" t="s">
        <v>121</v>
      </c>
      <c r="J16" s="75" t="s">
        <v>121</v>
      </c>
      <c r="K16" s="75" t="s">
        <v>122</v>
      </c>
      <c r="L16" s="50"/>
      <c r="M16" s="48" t="s">
        <v>46</v>
      </c>
      <c r="N16" s="76" t="s">
        <v>123</v>
      </c>
      <c r="O16" s="77"/>
      <c r="P16" s="54"/>
      <c r="Q16" s="54"/>
      <c r="R16" s="54"/>
      <c r="S16" s="54"/>
      <c r="T16" s="54"/>
      <c r="U16" s="54"/>
      <c r="V16" s="54"/>
      <c r="W16" s="54"/>
      <c r="X16" s="54"/>
      <c r="Y16" s="54"/>
    </row>
    <row r="17">
      <c r="A17" s="56">
        <v>16.0</v>
      </c>
      <c r="B17" s="78" t="s">
        <v>25</v>
      </c>
      <c r="C17" s="79">
        <v>46126.0</v>
      </c>
      <c r="D17" s="40" t="s">
        <v>26</v>
      </c>
      <c r="E17" s="78" t="s">
        <v>124</v>
      </c>
      <c r="F17" s="78" t="s">
        <v>125</v>
      </c>
      <c r="G17" s="56">
        <v>7.977507648E9</v>
      </c>
      <c r="H17" s="78" t="s">
        <v>126</v>
      </c>
      <c r="I17" s="78" t="s">
        <v>127</v>
      </c>
      <c r="J17" s="78" t="s">
        <v>128</v>
      </c>
      <c r="K17" s="78" t="s">
        <v>129</v>
      </c>
      <c r="L17" s="42"/>
      <c r="M17" s="40" t="s">
        <v>33</v>
      </c>
      <c r="N17" s="80" t="s">
        <v>130</v>
      </c>
      <c r="O17" s="81"/>
      <c r="P17" s="46"/>
      <c r="Q17" s="46"/>
      <c r="R17" s="46"/>
      <c r="S17" s="46"/>
      <c r="T17" s="46"/>
      <c r="U17" s="46"/>
      <c r="V17" s="46"/>
      <c r="W17" s="46"/>
      <c r="X17" s="46"/>
      <c r="Y17" s="46"/>
    </row>
    <row r="18">
      <c r="A18" s="56">
        <v>17.0</v>
      </c>
      <c r="B18" s="78" t="s">
        <v>25</v>
      </c>
      <c r="C18" s="79">
        <v>46128.0</v>
      </c>
      <c r="D18" s="40" t="s">
        <v>26</v>
      </c>
      <c r="E18" s="56" t="s">
        <v>131</v>
      </c>
      <c r="F18" s="82" t="s">
        <v>132</v>
      </c>
      <c r="G18" s="56">
        <v>7.303374789E9</v>
      </c>
      <c r="H18" s="56" t="s">
        <v>133</v>
      </c>
      <c r="I18" s="56" t="s">
        <v>63</v>
      </c>
      <c r="J18" s="56" t="s">
        <v>134</v>
      </c>
      <c r="K18" s="56" t="s">
        <v>135</v>
      </c>
      <c r="L18" s="42"/>
      <c r="M18" s="40" t="s">
        <v>33</v>
      </c>
      <c r="N18" s="43" t="s">
        <v>136</v>
      </c>
      <c r="O18" s="44"/>
      <c r="P18" s="46"/>
      <c r="Q18" s="46"/>
      <c r="R18" s="46"/>
      <c r="S18" s="46"/>
      <c r="T18" s="46"/>
      <c r="U18" s="46"/>
      <c r="V18" s="46"/>
      <c r="W18" s="46"/>
      <c r="X18" s="46"/>
      <c r="Y18" s="46"/>
    </row>
    <row r="19">
      <c r="A19" s="56">
        <v>18.0</v>
      </c>
      <c r="B19" s="78" t="s">
        <v>25</v>
      </c>
      <c r="C19" s="79">
        <v>46128.0</v>
      </c>
      <c r="D19" s="40" t="s">
        <v>26</v>
      </c>
      <c r="E19" s="56" t="s">
        <v>137</v>
      </c>
      <c r="F19" s="82" t="s">
        <v>138</v>
      </c>
      <c r="G19" s="56">
        <v>9.619145801E9</v>
      </c>
      <c r="H19" s="56" t="s">
        <v>139</v>
      </c>
      <c r="I19" s="56" t="s">
        <v>63</v>
      </c>
      <c r="J19" s="56" t="s">
        <v>140</v>
      </c>
      <c r="K19" s="56" t="s">
        <v>141</v>
      </c>
      <c r="L19" s="42"/>
      <c r="M19" s="40" t="s">
        <v>33</v>
      </c>
      <c r="N19" s="43" t="s">
        <v>142</v>
      </c>
      <c r="O19" s="44"/>
      <c r="P19" s="46"/>
      <c r="Q19" s="46"/>
      <c r="R19" s="46"/>
      <c r="S19" s="46"/>
      <c r="T19" s="46"/>
      <c r="U19" s="46"/>
      <c r="V19" s="46"/>
      <c r="W19" s="46"/>
      <c r="X19" s="46"/>
      <c r="Y19" s="46"/>
    </row>
    <row r="20">
      <c r="A20" s="56">
        <v>19.0</v>
      </c>
      <c r="B20" s="78" t="s">
        <v>25</v>
      </c>
      <c r="C20" s="79">
        <v>46129.0</v>
      </c>
      <c r="D20" s="40" t="s">
        <v>26</v>
      </c>
      <c r="E20" s="56" t="s">
        <v>143</v>
      </c>
      <c r="F20" s="82" t="s">
        <v>144</v>
      </c>
      <c r="G20" s="56">
        <v>6.354440395E9</v>
      </c>
      <c r="H20" s="56" t="s">
        <v>145</v>
      </c>
      <c r="I20" s="56" t="s">
        <v>56</v>
      </c>
      <c r="J20" s="56" t="s">
        <v>146</v>
      </c>
      <c r="K20" s="56" t="s">
        <v>147</v>
      </c>
      <c r="L20" s="42"/>
      <c r="M20" s="40" t="s">
        <v>95</v>
      </c>
      <c r="N20" s="43" t="s">
        <v>148</v>
      </c>
      <c r="O20" s="44"/>
      <c r="P20" s="46"/>
      <c r="Q20" s="46"/>
      <c r="R20" s="46"/>
      <c r="S20" s="46"/>
      <c r="T20" s="46"/>
      <c r="U20" s="46"/>
      <c r="V20" s="46"/>
      <c r="W20" s="46"/>
      <c r="X20" s="46"/>
      <c r="Y20" s="46"/>
    </row>
    <row r="21">
      <c r="A21" s="83">
        <v>20.0</v>
      </c>
      <c r="B21" s="84" t="s">
        <v>25</v>
      </c>
      <c r="C21" s="85">
        <v>46130.0</v>
      </c>
      <c r="D21" s="86" t="s">
        <v>26</v>
      </c>
      <c r="E21" s="83" t="s">
        <v>149</v>
      </c>
      <c r="F21" s="87" t="s">
        <v>150</v>
      </c>
      <c r="G21" s="83">
        <v>9.867263E9</v>
      </c>
      <c r="H21" s="83" t="s">
        <v>151</v>
      </c>
      <c r="I21" s="83" t="s">
        <v>77</v>
      </c>
      <c r="J21" s="83" t="s">
        <v>152</v>
      </c>
      <c r="K21" s="83" t="s">
        <v>153</v>
      </c>
      <c r="L21" s="88" t="s">
        <v>32</v>
      </c>
      <c r="M21" s="86" t="s">
        <v>154</v>
      </c>
      <c r="N21" s="89" t="s">
        <v>155</v>
      </c>
      <c r="O21" s="90"/>
      <c r="P21" s="91"/>
      <c r="Q21" s="91"/>
      <c r="R21" s="91"/>
      <c r="S21" s="91"/>
      <c r="T21" s="91"/>
      <c r="U21" s="91"/>
      <c r="V21" s="91"/>
      <c r="W21" s="91"/>
      <c r="X21" s="91"/>
      <c r="Y21" s="91"/>
    </row>
    <row r="22">
      <c r="A22" s="56"/>
      <c r="B22" s="78" t="s">
        <v>25</v>
      </c>
      <c r="C22" s="79">
        <v>46131.0</v>
      </c>
      <c r="D22" s="40" t="s">
        <v>26</v>
      </c>
      <c r="E22" s="56" t="s">
        <v>156</v>
      </c>
      <c r="F22" s="82" t="s">
        <v>125</v>
      </c>
      <c r="G22" s="56">
        <v>8.286358617E9</v>
      </c>
      <c r="H22" s="92" t="s">
        <v>157</v>
      </c>
      <c r="I22" s="56"/>
      <c r="J22" s="92" t="s">
        <v>158</v>
      </c>
      <c r="K22" s="56" t="s">
        <v>159</v>
      </c>
      <c r="L22" s="42"/>
      <c r="M22" s="40" t="s">
        <v>33</v>
      </c>
      <c r="N22" s="43" t="s">
        <v>160</v>
      </c>
      <c r="O22" s="44"/>
      <c r="P22" s="46"/>
      <c r="Q22" s="46"/>
      <c r="R22" s="46"/>
      <c r="S22" s="46"/>
      <c r="T22" s="46"/>
      <c r="U22" s="46"/>
      <c r="V22" s="46"/>
      <c r="W22" s="46"/>
      <c r="X22" s="46"/>
      <c r="Y22" s="46"/>
    </row>
    <row r="23">
      <c r="A23" s="93">
        <v>21.0</v>
      </c>
      <c r="B23" s="78" t="s">
        <v>25</v>
      </c>
      <c r="C23" s="79">
        <v>46131.0</v>
      </c>
      <c r="D23" s="40" t="s">
        <v>26</v>
      </c>
      <c r="E23" s="93" t="s">
        <v>161</v>
      </c>
      <c r="F23" s="93" t="s">
        <v>162</v>
      </c>
      <c r="G23" s="93">
        <v>9.867940002E9</v>
      </c>
      <c r="H23" s="93" t="s">
        <v>163</v>
      </c>
      <c r="I23" s="56" t="s">
        <v>77</v>
      </c>
      <c r="J23" s="93" t="s">
        <v>164</v>
      </c>
      <c r="K23" s="56" t="s">
        <v>141</v>
      </c>
      <c r="L23" s="42"/>
      <c r="M23" s="40" t="s">
        <v>33</v>
      </c>
      <c r="N23" s="94" t="s">
        <v>165</v>
      </c>
      <c r="O23" s="95"/>
      <c r="P23" s="46"/>
      <c r="Q23" s="46"/>
      <c r="R23" s="46"/>
      <c r="S23" s="46"/>
      <c r="T23" s="46"/>
      <c r="U23" s="46"/>
      <c r="V23" s="46"/>
      <c r="W23" s="46"/>
      <c r="X23" s="46"/>
      <c r="Y23" s="46"/>
    </row>
    <row r="24">
      <c r="A24" s="93">
        <v>22.0</v>
      </c>
      <c r="B24" s="78" t="s">
        <v>25</v>
      </c>
      <c r="C24" s="79">
        <v>46131.0</v>
      </c>
      <c r="D24" s="40" t="s">
        <v>26</v>
      </c>
      <c r="E24" s="93" t="s">
        <v>166</v>
      </c>
      <c r="F24" s="93" t="s">
        <v>90</v>
      </c>
      <c r="G24" s="93">
        <v>8.879439807E9</v>
      </c>
      <c r="H24" s="93" t="s">
        <v>167</v>
      </c>
      <c r="I24" s="93" t="s">
        <v>168</v>
      </c>
      <c r="J24" s="93" t="s">
        <v>169</v>
      </c>
      <c r="K24" s="56" t="s">
        <v>170</v>
      </c>
      <c r="L24" s="42" t="s">
        <v>32</v>
      </c>
      <c r="M24" s="40" t="s">
        <v>171</v>
      </c>
      <c r="N24" s="43" t="s">
        <v>172</v>
      </c>
      <c r="O24" s="44"/>
      <c r="P24" s="46"/>
      <c r="Q24" s="46"/>
      <c r="R24" s="46"/>
      <c r="S24" s="46"/>
      <c r="T24" s="46"/>
      <c r="U24" s="46"/>
      <c r="V24" s="46"/>
      <c r="W24" s="46"/>
      <c r="X24" s="46"/>
      <c r="Y24" s="46"/>
    </row>
    <row r="25">
      <c r="A25" s="93">
        <v>23.0</v>
      </c>
      <c r="B25" s="78" t="s">
        <v>25</v>
      </c>
      <c r="C25" s="79">
        <v>46132.0</v>
      </c>
      <c r="D25" s="40" t="s">
        <v>26</v>
      </c>
      <c r="E25" s="93" t="s">
        <v>173</v>
      </c>
      <c r="F25" s="93" t="s">
        <v>174</v>
      </c>
      <c r="G25" s="93">
        <v>9.819745673E9</v>
      </c>
      <c r="H25" s="93" t="s">
        <v>175</v>
      </c>
      <c r="I25" s="93" t="s">
        <v>56</v>
      </c>
      <c r="J25" s="93" t="s">
        <v>176</v>
      </c>
      <c r="K25" s="93" t="s">
        <v>177</v>
      </c>
      <c r="L25" s="42"/>
      <c r="M25" s="40" t="s">
        <v>33</v>
      </c>
      <c r="N25" s="43" t="s">
        <v>178</v>
      </c>
      <c r="O25" s="44"/>
      <c r="P25" s="46"/>
      <c r="Q25" s="46"/>
      <c r="R25" s="46"/>
      <c r="S25" s="46"/>
      <c r="T25" s="46"/>
      <c r="U25" s="46"/>
      <c r="V25" s="46"/>
      <c r="W25" s="46"/>
      <c r="X25" s="46"/>
      <c r="Y25" s="46"/>
    </row>
    <row r="26">
      <c r="A26" s="93">
        <v>24.0</v>
      </c>
      <c r="B26" s="78" t="s">
        <v>25</v>
      </c>
      <c r="C26" s="79">
        <v>46133.0</v>
      </c>
      <c r="D26" s="40" t="s">
        <v>26</v>
      </c>
      <c r="E26" s="93" t="s">
        <v>179</v>
      </c>
      <c r="F26" s="93" t="s">
        <v>180</v>
      </c>
      <c r="G26" s="93">
        <v>9.833395779E9</v>
      </c>
      <c r="H26" s="93" t="s">
        <v>181</v>
      </c>
      <c r="I26" s="93" t="s">
        <v>77</v>
      </c>
      <c r="J26" s="93" t="s">
        <v>182</v>
      </c>
      <c r="K26" s="96"/>
      <c r="L26" s="42"/>
      <c r="M26" s="40" t="s">
        <v>33</v>
      </c>
      <c r="N26" s="94" t="s">
        <v>183</v>
      </c>
      <c r="O26" s="95"/>
      <c r="P26" s="46"/>
      <c r="Q26" s="46"/>
      <c r="R26" s="46"/>
      <c r="S26" s="46"/>
      <c r="T26" s="46"/>
      <c r="U26" s="46"/>
      <c r="V26" s="46"/>
      <c r="W26" s="46"/>
      <c r="X26" s="46"/>
      <c r="Y26" s="46"/>
    </row>
    <row r="27">
      <c r="A27" s="93">
        <v>25.0</v>
      </c>
      <c r="B27" s="78" t="s">
        <v>25</v>
      </c>
      <c r="C27" s="79">
        <v>46134.0</v>
      </c>
      <c r="D27" s="40" t="s">
        <v>26</v>
      </c>
      <c r="E27" s="93" t="s">
        <v>184</v>
      </c>
      <c r="F27" s="93" t="s">
        <v>185</v>
      </c>
      <c r="G27" s="93">
        <v>9.820797808E9</v>
      </c>
      <c r="H27" s="93" t="s">
        <v>186</v>
      </c>
      <c r="I27" s="93" t="s">
        <v>187</v>
      </c>
      <c r="J27" s="93" t="s">
        <v>188</v>
      </c>
      <c r="K27" s="40" t="s">
        <v>189</v>
      </c>
      <c r="L27" s="42" t="s">
        <v>32</v>
      </c>
      <c r="M27" s="40" t="s">
        <v>33</v>
      </c>
      <c r="N27" s="43" t="s">
        <v>190</v>
      </c>
      <c r="O27" s="95"/>
      <c r="P27" s="46"/>
      <c r="Q27" s="46"/>
      <c r="R27" s="46"/>
      <c r="S27" s="46"/>
      <c r="T27" s="46"/>
      <c r="U27" s="46"/>
      <c r="V27" s="46"/>
      <c r="W27" s="46"/>
      <c r="X27" s="46"/>
      <c r="Y27" s="46"/>
    </row>
    <row r="28">
      <c r="A28" s="93">
        <v>26.0</v>
      </c>
      <c r="B28" s="78" t="s">
        <v>25</v>
      </c>
      <c r="C28" s="79">
        <v>46134.0</v>
      </c>
      <c r="D28" s="40" t="s">
        <v>26</v>
      </c>
      <c r="E28" s="93" t="s">
        <v>191</v>
      </c>
      <c r="F28" s="93" t="s">
        <v>192</v>
      </c>
      <c r="G28" s="93">
        <v>9.115555555E9</v>
      </c>
      <c r="H28" s="93" t="s">
        <v>193</v>
      </c>
      <c r="I28" s="93" t="s">
        <v>194</v>
      </c>
      <c r="J28" s="93" t="s">
        <v>195</v>
      </c>
      <c r="K28" s="93" t="s">
        <v>196</v>
      </c>
      <c r="L28" s="42" t="s">
        <v>32</v>
      </c>
      <c r="M28" s="40" t="s">
        <v>33</v>
      </c>
      <c r="N28" s="94" t="s">
        <v>197</v>
      </c>
      <c r="O28" s="46"/>
      <c r="P28" s="46"/>
      <c r="Q28" s="46"/>
      <c r="R28" s="46"/>
      <c r="S28" s="46"/>
      <c r="T28" s="46"/>
      <c r="U28" s="46"/>
      <c r="V28" s="46"/>
      <c r="W28" s="46"/>
      <c r="X28" s="46"/>
      <c r="Y28" s="46"/>
    </row>
    <row r="29">
      <c r="A29" s="97">
        <v>27.0</v>
      </c>
      <c r="B29" s="98" t="s">
        <v>25</v>
      </c>
      <c r="C29" s="79">
        <v>46134.0</v>
      </c>
      <c r="D29" s="40" t="s">
        <v>26</v>
      </c>
      <c r="E29" s="93" t="s">
        <v>198</v>
      </c>
      <c r="F29" s="93" t="s">
        <v>199</v>
      </c>
      <c r="G29" s="93">
        <v>8.87960037E9</v>
      </c>
      <c r="H29" s="93" t="s">
        <v>200</v>
      </c>
      <c r="I29" s="93" t="s">
        <v>201</v>
      </c>
      <c r="J29" s="93" t="s">
        <v>202</v>
      </c>
      <c r="K29" s="93" t="s">
        <v>203</v>
      </c>
      <c r="L29" s="42" t="s">
        <v>171</v>
      </c>
      <c r="M29" s="40" t="s">
        <v>171</v>
      </c>
      <c r="N29" s="94" t="s">
        <v>204</v>
      </c>
      <c r="O29" s="46"/>
      <c r="P29" s="46"/>
      <c r="Q29" s="46"/>
      <c r="R29" s="46"/>
      <c r="S29" s="46"/>
      <c r="T29" s="46"/>
      <c r="U29" s="46"/>
      <c r="V29" s="46"/>
      <c r="W29" s="46"/>
      <c r="X29" s="46"/>
      <c r="Y29" s="46"/>
    </row>
    <row r="30">
      <c r="A30" s="93">
        <v>28.0</v>
      </c>
      <c r="B30" s="98" t="s">
        <v>25</v>
      </c>
      <c r="C30" s="79">
        <v>46135.0</v>
      </c>
      <c r="D30" s="40" t="s">
        <v>26</v>
      </c>
      <c r="E30" s="93" t="s">
        <v>205</v>
      </c>
      <c r="F30" s="93" t="s">
        <v>206</v>
      </c>
      <c r="G30" s="93">
        <v>9.892479577E9</v>
      </c>
      <c r="H30" s="93" t="s">
        <v>207</v>
      </c>
      <c r="I30" s="93" t="s">
        <v>208</v>
      </c>
      <c r="J30" s="93" t="s">
        <v>209</v>
      </c>
      <c r="K30" s="93" t="s">
        <v>210</v>
      </c>
      <c r="L30" s="42"/>
      <c r="M30" s="40" t="s">
        <v>33</v>
      </c>
      <c r="N30" s="43" t="s">
        <v>211</v>
      </c>
      <c r="O30" s="46"/>
      <c r="P30" s="46"/>
      <c r="Q30" s="46"/>
      <c r="R30" s="46"/>
      <c r="S30" s="46"/>
      <c r="T30" s="46"/>
      <c r="U30" s="46"/>
      <c r="V30" s="46"/>
      <c r="W30" s="46"/>
      <c r="X30" s="46"/>
      <c r="Y30" s="46"/>
    </row>
    <row r="31">
      <c r="A31" s="93">
        <v>29.0</v>
      </c>
      <c r="B31" s="98" t="s">
        <v>25</v>
      </c>
      <c r="C31" s="79">
        <v>46135.0</v>
      </c>
      <c r="D31" s="40" t="s">
        <v>26</v>
      </c>
      <c r="E31" s="93" t="s">
        <v>212</v>
      </c>
      <c r="F31" s="93" t="s">
        <v>90</v>
      </c>
      <c r="G31" s="93">
        <v>9.930676208E9</v>
      </c>
      <c r="H31" s="93" t="s">
        <v>213</v>
      </c>
      <c r="I31" s="93" t="s">
        <v>214</v>
      </c>
      <c r="J31" s="93" t="s">
        <v>215</v>
      </c>
      <c r="K31" s="93" t="s">
        <v>216</v>
      </c>
      <c r="L31" s="42"/>
      <c r="M31" s="40" t="s">
        <v>33</v>
      </c>
      <c r="N31" s="94" t="s">
        <v>217</v>
      </c>
      <c r="O31" s="46"/>
      <c r="P31" s="46"/>
      <c r="Q31" s="46"/>
      <c r="R31" s="46"/>
      <c r="S31" s="46"/>
      <c r="T31" s="46"/>
      <c r="U31" s="46"/>
      <c r="V31" s="46"/>
      <c r="W31" s="46"/>
      <c r="X31" s="46"/>
      <c r="Y31" s="46"/>
    </row>
    <row r="32">
      <c r="A32" s="99">
        <v>30.0</v>
      </c>
      <c r="B32" s="100" t="s">
        <v>25</v>
      </c>
      <c r="C32" s="74">
        <v>46135.0</v>
      </c>
      <c r="D32" s="48" t="s">
        <v>26</v>
      </c>
      <c r="E32" s="101" t="s">
        <v>218</v>
      </c>
      <c r="F32" s="101" t="s">
        <v>219</v>
      </c>
      <c r="G32" s="101">
        <v>9.82002422E9</v>
      </c>
      <c r="H32" s="101" t="s">
        <v>220</v>
      </c>
      <c r="I32" s="101" t="s">
        <v>221</v>
      </c>
      <c r="J32" s="101" t="s">
        <v>222</v>
      </c>
      <c r="K32" s="102" t="s">
        <v>141</v>
      </c>
      <c r="L32" s="50" t="s">
        <v>32</v>
      </c>
      <c r="M32" s="48" t="s">
        <v>46</v>
      </c>
      <c r="N32" s="51" t="s">
        <v>223</v>
      </c>
      <c r="O32" s="53"/>
      <c r="P32" s="54"/>
      <c r="Q32" s="54"/>
      <c r="R32" s="54"/>
      <c r="S32" s="54"/>
      <c r="T32" s="54"/>
      <c r="U32" s="54"/>
      <c r="V32" s="54"/>
      <c r="W32" s="54"/>
      <c r="X32" s="54"/>
      <c r="Y32" s="54"/>
    </row>
    <row r="33">
      <c r="A33" s="93">
        <v>31.0</v>
      </c>
      <c r="B33" s="98" t="s">
        <v>25</v>
      </c>
      <c r="C33" s="103">
        <v>46135.0</v>
      </c>
      <c r="D33" s="40" t="s">
        <v>26</v>
      </c>
      <c r="E33" s="104" t="s">
        <v>224</v>
      </c>
      <c r="F33" s="104" t="s">
        <v>90</v>
      </c>
      <c r="G33" s="104">
        <v>9.833847935E9</v>
      </c>
      <c r="H33" s="104" t="s">
        <v>225</v>
      </c>
      <c r="I33" s="104" t="s">
        <v>77</v>
      </c>
      <c r="J33" s="104" t="s">
        <v>226</v>
      </c>
      <c r="K33" s="105" t="s">
        <v>227</v>
      </c>
      <c r="L33" s="42" t="s">
        <v>171</v>
      </c>
      <c r="M33" s="40" t="s">
        <v>171</v>
      </c>
      <c r="N33" s="43" t="s">
        <v>228</v>
      </c>
      <c r="O33" s="106"/>
      <c r="P33" s="46"/>
      <c r="Q33" s="46"/>
      <c r="R33" s="46"/>
      <c r="S33" s="46"/>
      <c r="T33" s="46"/>
      <c r="U33" s="46"/>
      <c r="V33" s="46"/>
      <c r="W33" s="46"/>
      <c r="X33" s="46"/>
      <c r="Y33" s="46"/>
    </row>
    <row r="34">
      <c r="A34" s="93">
        <v>32.0</v>
      </c>
      <c r="B34" s="98" t="s">
        <v>25</v>
      </c>
      <c r="C34" s="103">
        <v>46136.0</v>
      </c>
      <c r="D34" s="40" t="s">
        <v>26</v>
      </c>
      <c r="E34" s="104" t="s">
        <v>229</v>
      </c>
      <c r="F34" s="104" t="s">
        <v>230</v>
      </c>
      <c r="G34" s="104">
        <v>9.65348438E9</v>
      </c>
      <c r="H34" s="104" t="s">
        <v>231</v>
      </c>
      <c r="I34" s="104" t="s">
        <v>232</v>
      </c>
      <c r="J34" s="104" t="s">
        <v>233</v>
      </c>
      <c r="K34" s="105" t="s">
        <v>234</v>
      </c>
      <c r="L34" s="42" t="s">
        <v>32</v>
      </c>
      <c r="M34" s="40" t="s">
        <v>33</v>
      </c>
      <c r="N34" s="43" t="s">
        <v>235</v>
      </c>
      <c r="O34" s="106"/>
      <c r="P34" s="46"/>
      <c r="Q34" s="46"/>
      <c r="R34" s="46"/>
      <c r="S34" s="46"/>
      <c r="T34" s="46"/>
      <c r="U34" s="46"/>
      <c r="V34" s="46"/>
      <c r="W34" s="46"/>
      <c r="X34" s="46"/>
      <c r="Y34" s="46"/>
    </row>
    <row r="35">
      <c r="A35" s="93">
        <v>33.0</v>
      </c>
      <c r="B35" s="98" t="s">
        <v>25</v>
      </c>
      <c r="C35" s="103">
        <v>46136.0</v>
      </c>
      <c r="D35" s="40" t="s">
        <v>26</v>
      </c>
      <c r="E35" s="104" t="s">
        <v>236</v>
      </c>
      <c r="F35" s="104" t="s">
        <v>237</v>
      </c>
      <c r="G35" s="104">
        <v>7.977576761E9</v>
      </c>
      <c r="H35" s="104" t="s">
        <v>238</v>
      </c>
      <c r="I35" s="104" t="s">
        <v>56</v>
      </c>
      <c r="J35" s="104" t="s">
        <v>239</v>
      </c>
      <c r="K35" s="105" t="s">
        <v>240</v>
      </c>
      <c r="L35" s="42"/>
      <c r="M35" s="40" t="s">
        <v>33</v>
      </c>
      <c r="N35" s="43" t="s">
        <v>241</v>
      </c>
      <c r="O35" s="106"/>
      <c r="P35" s="46"/>
      <c r="Q35" s="46"/>
      <c r="R35" s="46"/>
      <c r="S35" s="46"/>
      <c r="T35" s="46"/>
      <c r="U35" s="46"/>
      <c r="V35" s="46"/>
      <c r="W35" s="46"/>
      <c r="X35" s="46"/>
      <c r="Y35" s="46"/>
    </row>
    <row r="36">
      <c r="A36" s="93">
        <v>34.0</v>
      </c>
      <c r="B36" s="98" t="s">
        <v>25</v>
      </c>
      <c r="C36" s="103">
        <v>46137.0</v>
      </c>
      <c r="D36" s="40" t="s">
        <v>26</v>
      </c>
      <c r="E36" s="104" t="s">
        <v>242</v>
      </c>
      <c r="F36" s="104" t="s">
        <v>243</v>
      </c>
      <c r="G36" s="104">
        <v>7.977188298E9</v>
      </c>
      <c r="H36" s="104" t="s">
        <v>244</v>
      </c>
      <c r="I36" s="104" t="s">
        <v>245</v>
      </c>
      <c r="J36" s="104" t="s">
        <v>246</v>
      </c>
      <c r="K36" s="105" t="s">
        <v>247</v>
      </c>
      <c r="L36" s="42"/>
      <c r="M36" s="107"/>
      <c r="N36" s="43" t="s">
        <v>248</v>
      </c>
      <c r="O36" s="106"/>
      <c r="P36" s="46"/>
      <c r="Q36" s="46"/>
      <c r="R36" s="46"/>
      <c r="S36" s="46"/>
      <c r="T36" s="46"/>
      <c r="U36" s="46"/>
      <c r="V36" s="46"/>
      <c r="W36" s="46"/>
      <c r="X36" s="46"/>
      <c r="Y36" s="46"/>
    </row>
    <row r="37">
      <c r="A37" s="93">
        <v>35.0</v>
      </c>
      <c r="B37" s="98" t="s">
        <v>25</v>
      </c>
      <c r="C37" s="103">
        <v>46138.0</v>
      </c>
      <c r="D37" s="40" t="s">
        <v>26</v>
      </c>
      <c r="E37" s="104" t="s">
        <v>249</v>
      </c>
      <c r="F37" s="104" t="s">
        <v>250</v>
      </c>
      <c r="G37" s="104">
        <v>9.073358182E9</v>
      </c>
      <c r="H37" s="104" t="s">
        <v>251</v>
      </c>
      <c r="I37" s="104" t="s">
        <v>252</v>
      </c>
      <c r="J37" s="108" t="s">
        <v>253</v>
      </c>
      <c r="K37" s="93" t="s">
        <v>216</v>
      </c>
      <c r="L37" s="42" t="s">
        <v>32</v>
      </c>
      <c r="M37" s="40" t="s">
        <v>154</v>
      </c>
      <c r="N37" s="43" t="s">
        <v>254</v>
      </c>
      <c r="O37" s="106"/>
      <c r="P37" s="46"/>
      <c r="Q37" s="46"/>
      <c r="R37" s="46"/>
      <c r="S37" s="46"/>
      <c r="T37" s="46"/>
      <c r="U37" s="46"/>
      <c r="V37" s="46"/>
      <c r="W37" s="46"/>
      <c r="X37" s="46"/>
      <c r="Y37" s="46"/>
    </row>
    <row r="38">
      <c r="A38" s="93">
        <v>36.0</v>
      </c>
      <c r="B38" s="98" t="s">
        <v>25</v>
      </c>
      <c r="C38" s="103">
        <v>46138.0</v>
      </c>
      <c r="D38" s="40" t="s">
        <v>26</v>
      </c>
      <c r="E38" s="104" t="s">
        <v>255</v>
      </c>
      <c r="F38" s="104" t="s">
        <v>256</v>
      </c>
      <c r="G38" s="104">
        <v>9.821047703E9</v>
      </c>
      <c r="H38" s="104" t="s">
        <v>257</v>
      </c>
      <c r="I38" s="104" t="s">
        <v>56</v>
      </c>
      <c r="J38" s="109"/>
      <c r="K38" s="93" t="s">
        <v>258</v>
      </c>
      <c r="L38" s="42"/>
      <c r="M38" s="40" t="s">
        <v>80</v>
      </c>
      <c r="N38" s="43" t="s">
        <v>259</v>
      </c>
      <c r="O38" s="106"/>
      <c r="P38" s="46"/>
      <c r="Q38" s="46"/>
      <c r="R38" s="46"/>
      <c r="S38" s="46"/>
      <c r="T38" s="46"/>
      <c r="U38" s="46"/>
      <c r="V38" s="46"/>
      <c r="W38" s="46"/>
      <c r="X38" s="46"/>
      <c r="Y38" s="46"/>
    </row>
    <row r="39">
      <c r="A39" s="93">
        <v>37.0</v>
      </c>
      <c r="B39" s="98" t="s">
        <v>25</v>
      </c>
      <c r="C39" s="103">
        <v>46139.0</v>
      </c>
      <c r="D39" s="40" t="s">
        <v>26</v>
      </c>
      <c r="E39" s="104" t="s">
        <v>260</v>
      </c>
      <c r="F39" s="104" t="s">
        <v>261</v>
      </c>
      <c r="G39" s="104">
        <v>9.967716023E9</v>
      </c>
      <c r="H39" s="104" t="s">
        <v>262</v>
      </c>
      <c r="I39" s="104" t="s">
        <v>263</v>
      </c>
      <c r="J39" s="93" t="s">
        <v>264</v>
      </c>
      <c r="K39" s="93" t="s">
        <v>265</v>
      </c>
      <c r="L39" s="42" t="s">
        <v>171</v>
      </c>
      <c r="M39" s="40" t="s">
        <v>33</v>
      </c>
      <c r="N39" s="43" t="s">
        <v>266</v>
      </c>
      <c r="O39" s="106"/>
      <c r="P39" s="46"/>
      <c r="Q39" s="46"/>
      <c r="R39" s="46"/>
      <c r="S39" s="46"/>
      <c r="T39" s="46"/>
      <c r="U39" s="46"/>
      <c r="V39" s="46"/>
      <c r="W39" s="46"/>
      <c r="X39" s="46"/>
      <c r="Y39" s="46"/>
    </row>
    <row r="40">
      <c r="A40" s="93">
        <v>38.0</v>
      </c>
      <c r="B40" s="98" t="s">
        <v>25</v>
      </c>
      <c r="C40" s="103">
        <v>46139.0</v>
      </c>
      <c r="D40" s="40" t="s">
        <v>26</v>
      </c>
      <c r="E40" s="104" t="s">
        <v>267</v>
      </c>
      <c r="F40" s="104"/>
      <c r="G40" s="104">
        <v>7.506437198E9</v>
      </c>
      <c r="H40" s="104" t="s">
        <v>268</v>
      </c>
      <c r="I40" s="104" t="s">
        <v>269</v>
      </c>
      <c r="J40" s="93" t="s">
        <v>270</v>
      </c>
      <c r="K40" s="93" t="s">
        <v>271</v>
      </c>
      <c r="L40" s="42" t="s">
        <v>171</v>
      </c>
      <c r="M40" s="40" t="s">
        <v>171</v>
      </c>
      <c r="N40" s="43" t="s">
        <v>272</v>
      </c>
      <c r="O40" s="106"/>
      <c r="P40" s="46"/>
      <c r="Q40" s="46"/>
      <c r="R40" s="46"/>
      <c r="S40" s="46"/>
      <c r="T40" s="46"/>
      <c r="U40" s="46"/>
      <c r="V40" s="46"/>
      <c r="W40" s="46"/>
      <c r="X40" s="46"/>
      <c r="Y40" s="46"/>
    </row>
    <row r="41">
      <c r="A41" s="93">
        <v>39.0</v>
      </c>
      <c r="B41" s="98"/>
      <c r="C41" s="103">
        <v>46140.0</v>
      </c>
      <c r="D41" s="40" t="s">
        <v>26</v>
      </c>
      <c r="E41" s="104" t="s">
        <v>273</v>
      </c>
      <c r="F41" s="104" t="s">
        <v>274</v>
      </c>
      <c r="G41" s="104" t="s">
        <v>275</v>
      </c>
      <c r="H41" s="104" t="s">
        <v>276</v>
      </c>
      <c r="I41" s="104" t="s">
        <v>277</v>
      </c>
      <c r="J41" s="93" t="s">
        <v>278</v>
      </c>
      <c r="K41" s="93" t="s">
        <v>279</v>
      </c>
      <c r="L41" s="42"/>
      <c r="M41" s="40" t="s">
        <v>33</v>
      </c>
      <c r="N41" s="43" t="s">
        <v>280</v>
      </c>
      <c r="O41" s="106"/>
      <c r="P41" s="46"/>
      <c r="Q41" s="46"/>
      <c r="R41" s="46"/>
      <c r="S41" s="46"/>
      <c r="T41" s="46"/>
      <c r="U41" s="46"/>
      <c r="V41" s="46"/>
      <c r="W41" s="46"/>
      <c r="X41" s="46"/>
      <c r="Y41" s="46"/>
    </row>
    <row r="42">
      <c r="A42" s="93">
        <v>40.0</v>
      </c>
      <c r="B42" s="98" t="s">
        <v>25</v>
      </c>
      <c r="C42" s="103">
        <v>46140.0</v>
      </c>
      <c r="D42" s="40" t="s">
        <v>26</v>
      </c>
      <c r="E42" s="104" t="s">
        <v>281</v>
      </c>
      <c r="F42" s="104" t="s">
        <v>282</v>
      </c>
      <c r="G42" s="104">
        <v>9.820180958E9</v>
      </c>
      <c r="H42" s="104" t="s">
        <v>283</v>
      </c>
      <c r="I42" s="108" t="s">
        <v>252</v>
      </c>
      <c r="J42" s="104" t="s">
        <v>284</v>
      </c>
      <c r="K42" s="93" t="s">
        <v>285</v>
      </c>
      <c r="L42" s="42" t="s">
        <v>171</v>
      </c>
      <c r="M42" s="40" t="s">
        <v>171</v>
      </c>
      <c r="N42" s="43" t="s">
        <v>286</v>
      </c>
      <c r="O42" s="106"/>
      <c r="P42" s="46"/>
      <c r="Q42" s="46"/>
      <c r="R42" s="46"/>
      <c r="S42" s="46"/>
      <c r="T42" s="46"/>
      <c r="U42" s="46"/>
      <c r="V42" s="46"/>
      <c r="W42" s="46"/>
      <c r="X42" s="46"/>
      <c r="Y42" s="46"/>
    </row>
    <row r="43">
      <c r="A43" s="93">
        <v>41.0</v>
      </c>
      <c r="B43" s="98" t="s">
        <v>25</v>
      </c>
      <c r="C43" s="103">
        <v>46141.0</v>
      </c>
      <c r="D43" s="40" t="s">
        <v>26</v>
      </c>
      <c r="E43" s="104" t="s">
        <v>287</v>
      </c>
      <c r="F43" s="104" t="s">
        <v>288</v>
      </c>
      <c r="G43" s="104">
        <v>9.920044697E9</v>
      </c>
      <c r="H43" s="104" t="s">
        <v>289</v>
      </c>
      <c r="I43" s="104" t="s">
        <v>77</v>
      </c>
      <c r="J43" s="93" t="s">
        <v>290</v>
      </c>
      <c r="K43" s="93" t="s">
        <v>279</v>
      </c>
      <c r="L43" s="42" t="s">
        <v>32</v>
      </c>
      <c r="M43" s="40" t="s">
        <v>33</v>
      </c>
      <c r="N43" s="43" t="s">
        <v>291</v>
      </c>
      <c r="O43" s="106"/>
      <c r="P43" s="46"/>
      <c r="Q43" s="46"/>
      <c r="R43" s="46"/>
      <c r="S43" s="46"/>
      <c r="T43" s="46"/>
      <c r="U43" s="46"/>
      <c r="V43" s="46"/>
      <c r="W43" s="46"/>
      <c r="X43" s="46"/>
      <c r="Y43" s="46"/>
    </row>
    <row r="44">
      <c r="A44" s="93">
        <v>42.0</v>
      </c>
      <c r="B44" s="98" t="s">
        <v>25</v>
      </c>
      <c r="C44" s="103">
        <v>46141.0</v>
      </c>
      <c r="D44" s="40" t="s">
        <v>26</v>
      </c>
      <c r="E44" s="104" t="s">
        <v>292</v>
      </c>
      <c r="F44" s="104" t="s">
        <v>293</v>
      </c>
      <c r="G44" s="93">
        <v>9.702517328E9</v>
      </c>
      <c r="H44" s="104" t="s">
        <v>294</v>
      </c>
      <c r="I44" s="104" t="s">
        <v>295</v>
      </c>
      <c r="J44" s="93" t="s">
        <v>296</v>
      </c>
      <c r="K44" s="93" t="s">
        <v>141</v>
      </c>
      <c r="L44" s="42" t="s">
        <v>171</v>
      </c>
      <c r="M44" s="40" t="s">
        <v>171</v>
      </c>
      <c r="N44" s="110" t="s">
        <v>297</v>
      </c>
      <c r="O44" s="111"/>
      <c r="P44" s="46"/>
      <c r="Q44" s="46"/>
      <c r="R44" s="46"/>
      <c r="S44" s="46"/>
      <c r="T44" s="46"/>
      <c r="U44" s="46"/>
      <c r="V44" s="46"/>
      <c r="W44" s="46"/>
      <c r="X44" s="46"/>
      <c r="Y44" s="46"/>
    </row>
    <row r="45">
      <c r="A45" s="93">
        <v>43.0</v>
      </c>
      <c r="B45" s="98" t="s">
        <v>25</v>
      </c>
      <c r="C45" s="103">
        <v>46141.0</v>
      </c>
      <c r="D45" s="40" t="s">
        <v>26</v>
      </c>
      <c r="E45" s="104" t="s">
        <v>298</v>
      </c>
      <c r="F45" s="104" t="s">
        <v>299</v>
      </c>
      <c r="G45" s="104">
        <v>9.051387093E9</v>
      </c>
      <c r="H45" s="104" t="s">
        <v>300</v>
      </c>
      <c r="I45" s="104" t="s">
        <v>77</v>
      </c>
      <c r="J45" s="93" t="s">
        <v>301</v>
      </c>
      <c r="K45" s="93"/>
      <c r="L45" s="42"/>
      <c r="M45" s="40" t="s">
        <v>171</v>
      </c>
      <c r="N45" s="43" t="s">
        <v>302</v>
      </c>
      <c r="O45" s="106"/>
      <c r="P45" s="46"/>
      <c r="Q45" s="46"/>
      <c r="R45" s="46"/>
      <c r="S45" s="46"/>
      <c r="T45" s="46"/>
      <c r="U45" s="46"/>
      <c r="V45" s="46"/>
      <c r="W45" s="46"/>
      <c r="X45" s="46"/>
      <c r="Y45" s="46"/>
    </row>
    <row r="46">
      <c r="A46" s="93">
        <v>44.0</v>
      </c>
      <c r="B46" s="98" t="s">
        <v>25</v>
      </c>
      <c r="C46" s="103">
        <v>46141.0</v>
      </c>
      <c r="D46" s="40" t="s">
        <v>26</v>
      </c>
      <c r="E46" s="104" t="s">
        <v>242</v>
      </c>
      <c r="F46" s="104" t="s">
        <v>303</v>
      </c>
      <c r="G46" s="104">
        <v>9.892800888E9</v>
      </c>
      <c r="H46" s="108" t="s">
        <v>304</v>
      </c>
      <c r="I46" s="108" t="s">
        <v>305</v>
      </c>
      <c r="J46" s="93" t="s">
        <v>306</v>
      </c>
      <c r="K46" s="93" t="s">
        <v>216</v>
      </c>
      <c r="L46" s="42" t="s">
        <v>171</v>
      </c>
      <c r="M46" s="40" t="s">
        <v>171</v>
      </c>
      <c r="N46" s="43" t="s">
        <v>307</v>
      </c>
      <c r="O46" s="106"/>
      <c r="P46" s="46"/>
      <c r="Q46" s="46"/>
      <c r="R46" s="46"/>
      <c r="S46" s="46"/>
      <c r="T46" s="46"/>
      <c r="U46" s="46"/>
      <c r="V46" s="46"/>
      <c r="W46" s="46"/>
      <c r="X46" s="46"/>
      <c r="Y46" s="46"/>
    </row>
    <row r="47">
      <c r="A47" s="93">
        <v>45.0</v>
      </c>
      <c r="B47" s="98" t="s">
        <v>25</v>
      </c>
      <c r="C47" s="103">
        <v>46142.0</v>
      </c>
      <c r="D47" s="40" t="s">
        <v>26</v>
      </c>
      <c r="E47" s="104" t="s">
        <v>35</v>
      </c>
      <c r="F47" s="104"/>
      <c r="G47" s="104">
        <v>9.664511162E9</v>
      </c>
      <c r="H47" s="104" t="s">
        <v>308</v>
      </c>
      <c r="I47" s="104" t="s">
        <v>309</v>
      </c>
      <c r="J47" s="93" t="s">
        <v>310</v>
      </c>
      <c r="K47" s="93" t="s">
        <v>311</v>
      </c>
      <c r="L47" s="42"/>
      <c r="M47" s="40" t="s">
        <v>33</v>
      </c>
      <c r="N47" s="43" t="s">
        <v>312</v>
      </c>
      <c r="O47" s="106"/>
      <c r="P47" s="46"/>
      <c r="Q47" s="46"/>
      <c r="R47" s="46"/>
      <c r="S47" s="46"/>
      <c r="T47" s="46"/>
      <c r="U47" s="46"/>
      <c r="V47" s="46"/>
      <c r="W47" s="46"/>
      <c r="X47" s="46"/>
      <c r="Y47" s="46"/>
    </row>
    <row r="48">
      <c r="A48" s="93">
        <v>46.0</v>
      </c>
      <c r="B48" s="98" t="s">
        <v>25</v>
      </c>
      <c r="C48" s="103">
        <v>46142.0</v>
      </c>
      <c r="D48" s="40" t="s">
        <v>26</v>
      </c>
      <c r="E48" s="104" t="s">
        <v>313</v>
      </c>
      <c r="F48" s="104" t="s">
        <v>314</v>
      </c>
      <c r="G48" s="104">
        <v>9.892385477E9</v>
      </c>
      <c r="H48" s="104" t="s">
        <v>315</v>
      </c>
      <c r="I48" s="104" t="s">
        <v>316</v>
      </c>
      <c r="J48" s="93" t="s">
        <v>317</v>
      </c>
      <c r="K48" s="93" t="s">
        <v>318</v>
      </c>
      <c r="L48" s="42"/>
      <c r="M48" s="40" t="s">
        <v>319</v>
      </c>
      <c r="N48" s="43" t="s">
        <v>320</v>
      </c>
      <c r="O48" s="106"/>
      <c r="P48" s="46"/>
      <c r="Q48" s="46"/>
      <c r="R48" s="46"/>
      <c r="S48" s="46"/>
      <c r="T48" s="46"/>
      <c r="U48" s="46"/>
      <c r="V48" s="46"/>
      <c r="W48" s="46"/>
      <c r="X48" s="46"/>
      <c r="Y48" s="46"/>
    </row>
    <row r="49">
      <c r="A49" s="93">
        <v>47.0</v>
      </c>
      <c r="B49" s="98" t="s">
        <v>25</v>
      </c>
      <c r="C49" s="103">
        <v>46143.0</v>
      </c>
      <c r="D49" s="40" t="s">
        <v>26</v>
      </c>
      <c r="E49" s="104" t="s">
        <v>321</v>
      </c>
      <c r="F49" s="104" t="s">
        <v>322</v>
      </c>
      <c r="G49" s="104">
        <v>7.208013353E9</v>
      </c>
      <c r="H49" s="104" t="s">
        <v>323</v>
      </c>
      <c r="I49" s="104" t="s">
        <v>324</v>
      </c>
      <c r="J49" s="93" t="s">
        <v>325</v>
      </c>
      <c r="K49" s="93" t="s">
        <v>271</v>
      </c>
      <c r="L49" s="42"/>
      <c r="M49" s="107"/>
      <c r="N49" s="43" t="s">
        <v>326</v>
      </c>
      <c r="O49" s="106"/>
      <c r="P49" s="46"/>
      <c r="Q49" s="46"/>
      <c r="R49" s="46"/>
      <c r="S49" s="46"/>
      <c r="T49" s="46"/>
      <c r="U49" s="46"/>
      <c r="V49" s="46"/>
      <c r="W49" s="46"/>
      <c r="X49" s="46"/>
      <c r="Y49" s="46"/>
    </row>
    <row r="50">
      <c r="A50" s="93">
        <v>48.0</v>
      </c>
      <c r="B50" s="98" t="s">
        <v>25</v>
      </c>
      <c r="C50" s="103">
        <v>46143.0</v>
      </c>
      <c r="D50" s="40" t="s">
        <v>26</v>
      </c>
      <c r="E50" s="104" t="s">
        <v>327</v>
      </c>
      <c r="F50" s="104" t="s">
        <v>328</v>
      </c>
      <c r="G50" s="104">
        <v>9.820080132E9</v>
      </c>
      <c r="H50" s="104" t="s">
        <v>329</v>
      </c>
      <c r="I50" s="104" t="s">
        <v>330</v>
      </c>
      <c r="J50" s="93" t="s">
        <v>331</v>
      </c>
      <c r="K50" s="93" t="s">
        <v>141</v>
      </c>
      <c r="L50" s="42" t="s">
        <v>32</v>
      </c>
      <c r="M50" s="40" t="s">
        <v>95</v>
      </c>
      <c r="N50" s="108" t="s">
        <v>332</v>
      </c>
      <c r="O50" s="112"/>
      <c r="P50" s="46"/>
      <c r="Q50" s="46"/>
      <c r="R50" s="46"/>
      <c r="S50" s="46"/>
      <c r="T50" s="46"/>
      <c r="U50" s="46"/>
      <c r="V50" s="46"/>
      <c r="W50" s="46"/>
      <c r="X50" s="46"/>
      <c r="Y50" s="46"/>
    </row>
    <row r="51">
      <c r="A51" s="93">
        <v>49.0</v>
      </c>
      <c r="B51" s="98" t="s">
        <v>25</v>
      </c>
      <c r="C51" s="103">
        <v>46144.0</v>
      </c>
      <c r="D51" s="40" t="s">
        <v>26</v>
      </c>
      <c r="E51" s="108" t="s">
        <v>333</v>
      </c>
      <c r="F51" s="108" t="s">
        <v>334</v>
      </c>
      <c r="G51" s="93">
        <v>9.867960537E9</v>
      </c>
      <c r="H51" s="104" t="s">
        <v>335</v>
      </c>
      <c r="I51" s="104" t="s">
        <v>305</v>
      </c>
      <c r="J51" s="93" t="s">
        <v>336</v>
      </c>
      <c r="K51" s="93" t="s">
        <v>279</v>
      </c>
      <c r="L51" s="42"/>
      <c r="M51" s="40" t="s">
        <v>33</v>
      </c>
      <c r="N51" s="113" t="s">
        <v>337</v>
      </c>
      <c r="O51" s="114"/>
      <c r="P51" s="46"/>
      <c r="Q51" s="46"/>
      <c r="R51" s="46"/>
      <c r="S51" s="46"/>
      <c r="T51" s="46"/>
      <c r="U51" s="46"/>
      <c r="V51" s="46"/>
      <c r="W51" s="46"/>
      <c r="X51" s="46"/>
      <c r="Y51" s="46"/>
    </row>
    <row r="52">
      <c r="A52" s="93">
        <v>50.0</v>
      </c>
      <c r="B52" s="98" t="s">
        <v>25</v>
      </c>
      <c r="C52" s="103">
        <v>46144.0</v>
      </c>
      <c r="D52" s="40" t="s">
        <v>26</v>
      </c>
      <c r="E52" s="108" t="s">
        <v>338</v>
      </c>
      <c r="F52" s="108" t="s">
        <v>339</v>
      </c>
      <c r="G52" s="93">
        <v>9.987590572E9</v>
      </c>
      <c r="H52" s="104" t="s">
        <v>340</v>
      </c>
      <c r="I52" s="104" t="s">
        <v>341</v>
      </c>
      <c r="J52" s="93" t="s">
        <v>342</v>
      </c>
      <c r="K52" s="93" t="s">
        <v>279</v>
      </c>
      <c r="L52" s="42"/>
      <c r="M52" s="40" t="s">
        <v>33</v>
      </c>
      <c r="N52" s="115" t="s">
        <v>343</v>
      </c>
      <c r="O52" s="116"/>
      <c r="P52" s="46"/>
      <c r="Q52" s="46"/>
      <c r="R52" s="46"/>
      <c r="S52" s="46"/>
      <c r="T52" s="46"/>
      <c r="U52" s="46"/>
      <c r="V52" s="46"/>
      <c r="W52" s="46"/>
      <c r="X52" s="46"/>
      <c r="Y52" s="46"/>
    </row>
    <row r="53" ht="18.0" customHeight="1">
      <c r="A53" s="93">
        <v>51.0</v>
      </c>
      <c r="B53" s="98" t="s">
        <v>25</v>
      </c>
      <c r="C53" s="103">
        <v>46144.0</v>
      </c>
      <c r="D53" s="40" t="s">
        <v>26</v>
      </c>
      <c r="E53" s="108" t="s">
        <v>35</v>
      </c>
      <c r="F53" s="108" t="s">
        <v>344</v>
      </c>
      <c r="G53" s="93">
        <v>7.875588899E9</v>
      </c>
      <c r="H53" s="104" t="s">
        <v>345</v>
      </c>
      <c r="I53" s="104" t="s">
        <v>306</v>
      </c>
      <c r="J53" s="93" t="s">
        <v>346</v>
      </c>
      <c r="K53" s="93" t="s">
        <v>279</v>
      </c>
      <c r="L53" s="42"/>
      <c r="M53" s="40" t="s">
        <v>33</v>
      </c>
      <c r="N53" s="113" t="s">
        <v>347</v>
      </c>
      <c r="O53" s="114"/>
      <c r="P53" s="46"/>
      <c r="Q53" s="46"/>
      <c r="R53" s="46"/>
      <c r="S53" s="46"/>
      <c r="T53" s="46"/>
      <c r="U53" s="46"/>
      <c r="V53" s="46"/>
      <c r="W53" s="46"/>
      <c r="X53" s="46"/>
      <c r="Y53" s="46"/>
    </row>
    <row r="54">
      <c r="A54" s="93">
        <v>52.0</v>
      </c>
      <c r="B54" s="98" t="s">
        <v>25</v>
      </c>
      <c r="C54" s="103">
        <v>46144.0</v>
      </c>
      <c r="D54" s="40" t="s">
        <v>26</v>
      </c>
      <c r="E54" s="93" t="s">
        <v>82</v>
      </c>
      <c r="F54" s="93" t="s">
        <v>348</v>
      </c>
      <c r="G54" s="93">
        <v>9.820067532E9</v>
      </c>
      <c r="H54" s="104" t="s">
        <v>349</v>
      </c>
      <c r="I54" s="104" t="s">
        <v>63</v>
      </c>
      <c r="J54" s="93" t="s">
        <v>350</v>
      </c>
      <c r="K54" s="93" t="s">
        <v>279</v>
      </c>
      <c r="L54" s="42" t="s">
        <v>32</v>
      </c>
      <c r="M54" s="40" t="s">
        <v>171</v>
      </c>
      <c r="N54" s="43" t="s">
        <v>351</v>
      </c>
      <c r="O54" s="106"/>
      <c r="P54" s="46"/>
      <c r="Q54" s="46"/>
      <c r="R54" s="46"/>
      <c r="S54" s="46"/>
      <c r="T54" s="46"/>
      <c r="U54" s="46"/>
      <c r="V54" s="46"/>
      <c r="W54" s="46"/>
      <c r="X54" s="46"/>
      <c r="Y54" s="46"/>
    </row>
    <row r="55">
      <c r="A55" s="93">
        <v>53.0</v>
      </c>
      <c r="B55" s="98" t="s">
        <v>25</v>
      </c>
      <c r="C55" s="103">
        <v>46145.0</v>
      </c>
      <c r="D55" s="40" t="s">
        <v>26</v>
      </c>
      <c r="E55" s="93" t="s">
        <v>352</v>
      </c>
      <c r="F55" s="93" t="s">
        <v>353</v>
      </c>
      <c r="G55" s="93">
        <v>9.8191391E9</v>
      </c>
      <c r="H55" s="93" t="s">
        <v>354</v>
      </c>
      <c r="I55" s="104" t="s">
        <v>355</v>
      </c>
      <c r="J55" s="93" t="s">
        <v>356</v>
      </c>
      <c r="K55" s="93" t="s">
        <v>216</v>
      </c>
      <c r="L55" s="42" t="s">
        <v>32</v>
      </c>
      <c r="M55" s="40" t="s">
        <v>33</v>
      </c>
      <c r="N55" s="117" t="s">
        <v>357</v>
      </c>
      <c r="O55" s="118"/>
      <c r="P55" s="46"/>
      <c r="Q55" s="46"/>
      <c r="R55" s="46"/>
      <c r="S55" s="46"/>
      <c r="T55" s="46"/>
      <c r="U55" s="46"/>
      <c r="V55" s="46"/>
      <c r="W55" s="46"/>
      <c r="X55" s="46"/>
      <c r="Y55" s="46"/>
    </row>
    <row r="56">
      <c r="A56" s="93">
        <v>54.0</v>
      </c>
      <c r="B56" s="98" t="s">
        <v>25</v>
      </c>
      <c r="C56" s="103">
        <v>46145.0</v>
      </c>
      <c r="D56" s="40" t="s">
        <v>26</v>
      </c>
      <c r="E56" s="93" t="s">
        <v>358</v>
      </c>
      <c r="F56" s="93" t="s">
        <v>359</v>
      </c>
      <c r="G56" s="93">
        <v>9.82014746E9</v>
      </c>
      <c r="H56" s="93" t="s">
        <v>360</v>
      </c>
      <c r="I56" s="104" t="s">
        <v>56</v>
      </c>
      <c r="J56" s="93" t="s">
        <v>361</v>
      </c>
      <c r="K56" s="93" t="s">
        <v>216</v>
      </c>
      <c r="L56" s="42" t="s">
        <v>32</v>
      </c>
      <c r="M56" s="40" t="s">
        <v>80</v>
      </c>
      <c r="N56" s="43" t="s">
        <v>362</v>
      </c>
      <c r="O56" s="106"/>
      <c r="P56" s="46"/>
      <c r="Q56" s="46"/>
      <c r="R56" s="46"/>
      <c r="S56" s="46"/>
      <c r="T56" s="46"/>
      <c r="U56" s="46"/>
      <c r="V56" s="46"/>
      <c r="W56" s="46"/>
      <c r="X56" s="46"/>
      <c r="Y56" s="46"/>
    </row>
    <row r="57">
      <c r="A57" s="93">
        <v>55.0</v>
      </c>
      <c r="B57" s="98" t="s">
        <v>25</v>
      </c>
      <c r="C57" s="103">
        <v>46148.0</v>
      </c>
      <c r="D57" s="40" t="s">
        <v>26</v>
      </c>
      <c r="E57" s="93" t="s">
        <v>363</v>
      </c>
      <c r="F57" s="93" t="s">
        <v>364</v>
      </c>
      <c r="G57" s="93">
        <v>9.810645404E9</v>
      </c>
      <c r="H57" s="93"/>
      <c r="I57" s="104" t="s">
        <v>77</v>
      </c>
      <c r="J57" s="93" t="s">
        <v>365</v>
      </c>
      <c r="K57" s="93" t="s">
        <v>366</v>
      </c>
      <c r="L57" s="42" t="s">
        <v>32</v>
      </c>
      <c r="M57" s="40" t="s">
        <v>33</v>
      </c>
      <c r="N57" s="117" t="s">
        <v>367</v>
      </c>
      <c r="O57" s="119"/>
      <c r="P57" s="46"/>
      <c r="Q57" s="46"/>
      <c r="R57" s="46"/>
      <c r="S57" s="46"/>
      <c r="T57" s="46"/>
      <c r="U57" s="46"/>
      <c r="V57" s="46"/>
      <c r="W57" s="46"/>
      <c r="X57" s="46"/>
      <c r="Y57" s="46"/>
    </row>
    <row r="58">
      <c r="A58" s="93">
        <v>56.0</v>
      </c>
      <c r="B58" s="98" t="s">
        <v>25</v>
      </c>
      <c r="C58" s="103">
        <v>46148.0</v>
      </c>
      <c r="D58" s="40" t="s">
        <v>26</v>
      </c>
      <c r="E58" s="93" t="s">
        <v>368</v>
      </c>
      <c r="F58" s="93" t="s">
        <v>369</v>
      </c>
      <c r="G58" s="93">
        <v>9.324295101E9</v>
      </c>
      <c r="H58" s="93" t="s">
        <v>370</v>
      </c>
      <c r="I58" s="104" t="s">
        <v>316</v>
      </c>
      <c r="J58" s="93" t="s">
        <v>371</v>
      </c>
      <c r="K58" s="93" t="s">
        <v>366</v>
      </c>
      <c r="L58" s="42" t="s">
        <v>32</v>
      </c>
      <c r="M58" s="40" t="s">
        <v>33</v>
      </c>
      <c r="N58" s="43" t="s">
        <v>372</v>
      </c>
      <c r="O58" s="106"/>
      <c r="P58" s="46"/>
      <c r="Q58" s="46"/>
      <c r="R58" s="46"/>
      <c r="S58" s="46"/>
      <c r="T58" s="46"/>
      <c r="U58" s="46"/>
      <c r="V58" s="46"/>
      <c r="W58" s="46"/>
      <c r="X58" s="46"/>
      <c r="Y58" s="46"/>
    </row>
    <row r="59">
      <c r="A59" s="93">
        <v>57.0</v>
      </c>
      <c r="B59" s="98" t="s">
        <v>25</v>
      </c>
      <c r="C59" s="103">
        <v>46149.0</v>
      </c>
      <c r="D59" s="40" t="s">
        <v>26</v>
      </c>
      <c r="E59" s="93" t="s">
        <v>373</v>
      </c>
      <c r="F59" s="93" t="s">
        <v>374</v>
      </c>
      <c r="G59" s="93">
        <v>9.326891967E9</v>
      </c>
      <c r="H59" s="93" t="s">
        <v>375</v>
      </c>
      <c r="I59" s="104" t="s">
        <v>56</v>
      </c>
      <c r="J59" s="109"/>
      <c r="K59" s="93" t="s">
        <v>376</v>
      </c>
      <c r="L59" s="42" t="s">
        <v>32</v>
      </c>
      <c r="M59" s="40" t="s">
        <v>33</v>
      </c>
      <c r="N59" s="43" t="s">
        <v>377</v>
      </c>
      <c r="O59" s="106"/>
      <c r="P59" s="46"/>
      <c r="Q59" s="46"/>
      <c r="R59" s="46"/>
      <c r="S59" s="46"/>
      <c r="T59" s="46"/>
      <c r="U59" s="46"/>
      <c r="V59" s="46"/>
      <c r="W59" s="46"/>
      <c r="X59" s="46"/>
      <c r="Y59" s="46"/>
    </row>
    <row r="60">
      <c r="A60" s="93">
        <v>58.0</v>
      </c>
      <c r="B60" s="98" t="s">
        <v>25</v>
      </c>
      <c r="C60" s="103">
        <v>46150.0</v>
      </c>
      <c r="D60" s="40" t="s">
        <v>26</v>
      </c>
      <c r="E60" s="93" t="s">
        <v>378</v>
      </c>
      <c r="F60" s="93" t="s">
        <v>174</v>
      </c>
      <c r="G60" s="93">
        <v>9.773029129E9</v>
      </c>
      <c r="H60" s="93" t="s">
        <v>379</v>
      </c>
      <c r="I60" s="104"/>
      <c r="J60" s="93" t="s">
        <v>380</v>
      </c>
      <c r="K60" s="93" t="s">
        <v>216</v>
      </c>
      <c r="L60" s="120"/>
      <c r="M60" s="40" t="s">
        <v>33</v>
      </c>
      <c r="N60" s="43" t="s">
        <v>381</v>
      </c>
      <c r="O60" s="106"/>
      <c r="P60" s="46"/>
      <c r="Q60" s="46"/>
      <c r="R60" s="46"/>
      <c r="S60" s="46"/>
      <c r="T60" s="46"/>
      <c r="U60" s="46"/>
      <c r="V60" s="46"/>
      <c r="W60" s="46"/>
      <c r="X60" s="46"/>
      <c r="Y60" s="46"/>
    </row>
    <row r="61">
      <c r="A61" s="93">
        <v>59.0</v>
      </c>
      <c r="B61" s="98" t="s">
        <v>25</v>
      </c>
      <c r="C61" s="103">
        <v>46150.0</v>
      </c>
      <c r="D61" s="40" t="s">
        <v>26</v>
      </c>
      <c r="E61" s="93" t="s">
        <v>382</v>
      </c>
      <c r="F61" s="93" t="s">
        <v>383</v>
      </c>
      <c r="G61" s="93">
        <v>7.738381234E9</v>
      </c>
      <c r="H61" s="93" t="s">
        <v>384</v>
      </c>
      <c r="I61" s="104" t="s">
        <v>77</v>
      </c>
      <c r="J61" s="93" t="s">
        <v>385</v>
      </c>
      <c r="K61" s="93" t="s">
        <v>216</v>
      </c>
      <c r="L61" s="120"/>
      <c r="M61" s="40" t="s">
        <v>171</v>
      </c>
      <c r="N61" s="43" t="s">
        <v>386</v>
      </c>
      <c r="O61" s="106"/>
      <c r="P61" s="46"/>
      <c r="Q61" s="46"/>
      <c r="R61" s="46"/>
      <c r="S61" s="46"/>
      <c r="T61" s="46"/>
      <c r="U61" s="46"/>
      <c r="V61" s="46"/>
      <c r="W61" s="46"/>
      <c r="X61" s="46"/>
      <c r="Y61" s="46"/>
    </row>
    <row r="62">
      <c r="A62" s="93">
        <v>60.0</v>
      </c>
      <c r="B62" s="98" t="s">
        <v>25</v>
      </c>
      <c r="C62" s="103">
        <v>46151.0</v>
      </c>
      <c r="D62" s="40" t="s">
        <v>26</v>
      </c>
      <c r="E62" s="93" t="s">
        <v>387</v>
      </c>
      <c r="F62" s="93" t="s">
        <v>388</v>
      </c>
      <c r="G62" s="93">
        <v>9.8556212E9</v>
      </c>
      <c r="H62" s="93" t="s">
        <v>389</v>
      </c>
      <c r="I62" s="104" t="s">
        <v>390</v>
      </c>
      <c r="J62" s="93" t="s">
        <v>391</v>
      </c>
      <c r="K62" s="93" t="s">
        <v>216</v>
      </c>
      <c r="L62" s="120"/>
      <c r="M62" s="40" t="s">
        <v>33</v>
      </c>
      <c r="N62" s="43" t="s">
        <v>392</v>
      </c>
      <c r="O62" s="106"/>
      <c r="P62" s="46"/>
      <c r="Q62" s="46"/>
      <c r="R62" s="46"/>
      <c r="S62" s="46"/>
      <c r="T62" s="46"/>
      <c r="U62" s="46"/>
      <c r="V62" s="46"/>
      <c r="W62" s="46"/>
      <c r="X62" s="46"/>
      <c r="Y62" s="46"/>
    </row>
    <row r="63">
      <c r="A63" s="93">
        <v>61.0</v>
      </c>
      <c r="B63" s="98" t="s">
        <v>25</v>
      </c>
      <c r="C63" s="103">
        <v>46153.0</v>
      </c>
      <c r="D63" s="40" t="s">
        <v>26</v>
      </c>
      <c r="E63" s="93" t="s">
        <v>393</v>
      </c>
      <c r="F63" s="93" t="s">
        <v>394</v>
      </c>
      <c r="G63" s="93">
        <v>9.082181877E9</v>
      </c>
      <c r="H63" s="93" t="s">
        <v>395</v>
      </c>
      <c r="I63" s="104" t="s">
        <v>396</v>
      </c>
      <c r="J63" s="93" t="s">
        <v>397</v>
      </c>
      <c r="K63" s="93" t="s">
        <v>216</v>
      </c>
      <c r="L63" s="42" t="s">
        <v>32</v>
      </c>
      <c r="M63" s="40" t="s">
        <v>171</v>
      </c>
      <c r="N63" s="43" t="s">
        <v>398</v>
      </c>
      <c r="O63" s="106"/>
      <c r="P63" s="46"/>
      <c r="Q63" s="46"/>
      <c r="R63" s="46"/>
      <c r="S63" s="46"/>
      <c r="T63" s="46"/>
      <c r="U63" s="46"/>
      <c r="V63" s="46"/>
      <c r="W63" s="46"/>
      <c r="X63" s="46"/>
      <c r="Y63" s="46"/>
    </row>
    <row r="64">
      <c r="A64" s="99">
        <v>62.0</v>
      </c>
      <c r="B64" s="100" t="s">
        <v>25</v>
      </c>
      <c r="C64" s="121">
        <v>46153.0</v>
      </c>
      <c r="D64" s="48" t="s">
        <v>26</v>
      </c>
      <c r="E64" s="99" t="s">
        <v>399</v>
      </c>
      <c r="F64" s="99" t="s">
        <v>400</v>
      </c>
      <c r="G64" s="99">
        <v>8.850342736E9</v>
      </c>
      <c r="H64" s="99" t="s">
        <v>401</v>
      </c>
      <c r="I64" s="101" t="s">
        <v>77</v>
      </c>
      <c r="J64" s="99" t="s">
        <v>402</v>
      </c>
      <c r="K64" s="99" t="s">
        <v>216</v>
      </c>
      <c r="L64" s="122"/>
      <c r="M64" s="48" t="s">
        <v>46</v>
      </c>
      <c r="N64" s="51" t="s">
        <v>403</v>
      </c>
      <c r="O64" s="52" t="s">
        <v>404</v>
      </c>
      <c r="P64" s="54"/>
      <c r="Q64" s="54"/>
      <c r="R64" s="54"/>
      <c r="S64" s="54"/>
      <c r="T64" s="54"/>
      <c r="U64" s="54"/>
      <c r="V64" s="54"/>
      <c r="W64" s="54"/>
      <c r="X64" s="54"/>
      <c r="Y64" s="54"/>
    </row>
    <row r="65">
      <c r="A65" s="93">
        <v>63.0</v>
      </c>
      <c r="B65" s="98" t="s">
        <v>25</v>
      </c>
      <c r="C65" s="103">
        <v>46154.0</v>
      </c>
      <c r="D65" s="40" t="s">
        <v>26</v>
      </c>
      <c r="E65" s="93" t="s">
        <v>405</v>
      </c>
      <c r="F65" s="93" t="s">
        <v>406</v>
      </c>
      <c r="G65" s="93">
        <v>8.828847359E9</v>
      </c>
      <c r="H65" s="93" t="s">
        <v>407</v>
      </c>
      <c r="I65" s="104" t="s">
        <v>408</v>
      </c>
      <c r="J65" s="93" t="s">
        <v>409</v>
      </c>
      <c r="K65" s="93" t="s">
        <v>285</v>
      </c>
      <c r="L65" s="120"/>
      <c r="M65" s="40" t="s">
        <v>46</v>
      </c>
      <c r="N65" s="43" t="s">
        <v>410</v>
      </c>
      <c r="O65" s="106"/>
      <c r="P65" s="46"/>
      <c r="Q65" s="46"/>
      <c r="R65" s="46"/>
      <c r="S65" s="46"/>
      <c r="T65" s="46"/>
      <c r="U65" s="46"/>
      <c r="V65" s="46"/>
      <c r="W65" s="46"/>
      <c r="X65" s="46"/>
      <c r="Y65" s="46"/>
    </row>
    <row r="66">
      <c r="A66" s="93">
        <v>64.0</v>
      </c>
      <c r="B66" s="98" t="s">
        <v>25</v>
      </c>
      <c r="C66" s="103">
        <v>46154.0</v>
      </c>
      <c r="D66" s="40" t="s">
        <v>26</v>
      </c>
      <c r="E66" s="93" t="s">
        <v>411</v>
      </c>
      <c r="F66" s="93" t="s">
        <v>412</v>
      </c>
      <c r="G66" s="93">
        <v>7.208279711E9</v>
      </c>
      <c r="H66" s="93" t="s">
        <v>413</v>
      </c>
      <c r="I66" s="104" t="s">
        <v>70</v>
      </c>
      <c r="J66" s="93" t="s">
        <v>414</v>
      </c>
      <c r="K66" s="93" t="s">
        <v>240</v>
      </c>
      <c r="L66" s="42" t="s">
        <v>32</v>
      </c>
      <c r="M66" s="40" t="s">
        <v>171</v>
      </c>
      <c r="N66" s="43" t="s">
        <v>415</v>
      </c>
      <c r="O66" s="106"/>
      <c r="P66" s="46"/>
      <c r="Q66" s="46"/>
      <c r="R66" s="46"/>
      <c r="S66" s="46"/>
      <c r="T66" s="46"/>
      <c r="U66" s="46"/>
      <c r="V66" s="46"/>
      <c r="W66" s="46"/>
      <c r="X66" s="46"/>
      <c r="Y66" s="46"/>
    </row>
    <row r="67">
      <c r="A67" s="99">
        <v>65.0</v>
      </c>
      <c r="B67" s="100" t="s">
        <v>25</v>
      </c>
      <c r="C67" s="121">
        <v>46155.0</v>
      </c>
      <c r="D67" s="48" t="s">
        <v>26</v>
      </c>
      <c r="E67" s="99" t="s">
        <v>416</v>
      </c>
      <c r="F67" s="99" t="s">
        <v>417</v>
      </c>
      <c r="G67" s="99">
        <v>8.6522687E9</v>
      </c>
      <c r="H67" s="99" t="s">
        <v>418</v>
      </c>
      <c r="I67" s="101" t="s">
        <v>419</v>
      </c>
      <c r="J67" s="99" t="s">
        <v>420</v>
      </c>
      <c r="K67" s="99" t="s">
        <v>421</v>
      </c>
      <c r="L67" s="50" t="s">
        <v>32</v>
      </c>
      <c r="M67" s="48" t="s">
        <v>46</v>
      </c>
      <c r="N67" s="51" t="s">
        <v>422</v>
      </c>
      <c r="O67" s="53"/>
      <c r="P67" s="54"/>
      <c r="Q67" s="54"/>
      <c r="R67" s="54"/>
      <c r="S67" s="54"/>
      <c r="T67" s="54"/>
      <c r="U67" s="54"/>
      <c r="V67" s="54"/>
      <c r="W67" s="54"/>
      <c r="X67" s="54"/>
      <c r="Y67" s="54"/>
    </row>
    <row r="68">
      <c r="A68" s="93">
        <v>66.0</v>
      </c>
      <c r="B68" s="98" t="s">
        <v>25</v>
      </c>
      <c r="C68" s="103">
        <v>46155.0</v>
      </c>
      <c r="D68" s="40" t="s">
        <v>26</v>
      </c>
      <c r="E68" s="93" t="s">
        <v>423</v>
      </c>
      <c r="F68" s="93" t="s">
        <v>144</v>
      </c>
      <c r="G68" s="93">
        <v>9.820456787E9</v>
      </c>
      <c r="H68" s="93" t="s">
        <v>424</v>
      </c>
      <c r="I68" s="104" t="s">
        <v>63</v>
      </c>
      <c r="J68" s="93" t="s">
        <v>425</v>
      </c>
      <c r="K68" s="93" t="s">
        <v>426</v>
      </c>
      <c r="L68" s="120"/>
      <c r="M68" s="40" t="s">
        <v>33</v>
      </c>
      <c r="N68" s="43" t="s">
        <v>427</v>
      </c>
      <c r="O68" s="106"/>
      <c r="P68" s="46"/>
      <c r="Q68" s="46"/>
      <c r="R68" s="46"/>
      <c r="S68" s="46"/>
      <c r="T68" s="46"/>
      <c r="U68" s="46"/>
      <c r="V68" s="46"/>
      <c r="W68" s="46"/>
      <c r="X68" s="46"/>
      <c r="Y68" s="46"/>
    </row>
    <row r="69">
      <c r="A69" s="93">
        <v>66.0</v>
      </c>
      <c r="B69" s="93" t="s">
        <v>25</v>
      </c>
      <c r="C69" s="103">
        <v>46157.0</v>
      </c>
      <c r="D69" s="40" t="s">
        <v>26</v>
      </c>
      <c r="E69" s="93" t="s">
        <v>428</v>
      </c>
      <c r="F69" s="93" t="s">
        <v>429</v>
      </c>
      <c r="G69" s="93">
        <v>9.987822222E9</v>
      </c>
      <c r="H69" s="93" t="s">
        <v>430</v>
      </c>
      <c r="I69" s="104" t="s">
        <v>305</v>
      </c>
      <c r="J69" s="104" t="s">
        <v>431</v>
      </c>
      <c r="K69" s="93" t="s">
        <v>432</v>
      </c>
      <c r="L69" s="42" t="s">
        <v>32</v>
      </c>
      <c r="M69" s="40" t="s">
        <v>95</v>
      </c>
      <c r="N69" s="43" t="s">
        <v>433</v>
      </c>
      <c r="O69" s="106"/>
      <c r="P69" s="46"/>
      <c r="Q69" s="46"/>
      <c r="R69" s="46"/>
      <c r="S69" s="46"/>
      <c r="T69" s="46"/>
      <c r="U69" s="46"/>
      <c r="V69" s="46"/>
      <c r="W69" s="46"/>
      <c r="X69" s="46"/>
      <c r="Y69" s="46"/>
    </row>
    <row r="70">
      <c r="A70" s="93">
        <v>67.0</v>
      </c>
      <c r="B70" s="93" t="s">
        <v>25</v>
      </c>
      <c r="C70" s="103">
        <v>46156.0</v>
      </c>
      <c r="D70" s="40" t="s">
        <v>26</v>
      </c>
      <c r="E70" s="93" t="s">
        <v>434</v>
      </c>
      <c r="F70" s="93" t="s">
        <v>180</v>
      </c>
      <c r="G70" s="93">
        <v>9.930552989E9</v>
      </c>
      <c r="H70" s="93" t="s">
        <v>435</v>
      </c>
      <c r="I70" s="104" t="s">
        <v>316</v>
      </c>
      <c r="J70" s="104" t="s">
        <v>436</v>
      </c>
      <c r="K70" s="93" t="s">
        <v>437</v>
      </c>
      <c r="L70" s="42" t="s">
        <v>32</v>
      </c>
      <c r="M70" s="40" t="s">
        <v>33</v>
      </c>
      <c r="N70" s="43" t="s">
        <v>438</v>
      </c>
      <c r="O70" s="106"/>
      <c r="P70" s="46"/>
      <c r="Q70" s="46"/>
      <c r="R70" s="46"/>
      <c r="S70" s="46"/>
      <c r="T70" s="46"/>
      <c r="U70" s="46"/>
      <c r="V70" s="46"/>
      <c r="W70" s="46"/>
      <c r="X70" s="46"/>
      <c r="Y70" s="46"/>
    </row>
    <row r="71">
      <c r="A71" s="93">
        <v>68.0</v>
      </c>
      <c r="B71" s="93" t="s">
        <v>25</v>
      </c>
      <c r="C71" s="103">
        <v>46158.0</v>
      </c>
      <c r="D71" s="40" t="s">
        <v>26</v>
      </c>
      <c r="E71" s="93" t="s">
        <v>439</v>
      </c>
      <c r="F71" s="93" t="s">
        <v>440</v>
      </c>
      <c r="G71" s="93">
        <v>8.097914693E9</v>
      </c>
      <c r="H71" s="93" t="s">
        <v>441</v>
      </c>
      <c r="I71" s="104" t="s">
        <v>442</v>
      </c>
      <c r="J71" s="104" t="s">
        <v>443</v>
      </c>
      <c r="K71" s="93" t="s">
        <v>437</v>
      </c>
      <c r="L71" s="42" t="s">
        <v>32</v>
      </c>
      <c r="M71" s="40" t="s">
        <v>80</v>
      </c>
      <c r="N71" s="43" t="s">
        <v>444</v>
      </c>
      <c r="O71" s="106"/>
      <c r="P71" s="46"/>
      <c r="Q71" s="46"/>
      <c r="R71" s="46"/>
      <c r="S71" s="46"/>
      <c r="T71" s="46"/>
      <c r="U71" s="46"/>
      <c r="V71" s="46"/>
      <c r="W71" s="46"/>
      <c r="X71" s="46"/>
      <c r="Y71" s="46"/>
    </row>
    <row r="72">
      <c r="A72" s="99">
        <v>69.0</v>
      </c>
      <c r="B72" s="99" t="s">
        <v>25</v>
      </c>
      <c r="C72" s="121">
        <v>46159.0</v>
      </c>
      <c r="D72" s="48" t="s">
        <v>26</v>
      </c>
      <c r="E72" s="99" t="s">
        <v>445</v>
      </c>
      <c r="F72" s="99" t="s">
        <v>446</v>
      </c>
      <c r="G72" s="99">
        <v>9.820327423E9</v>
      </c>
      <c r="H72" s="99" t="s">
        <v>447</v>
      </c>
      <c r="I72" s="101" t="s">
        <v>56</v>
      </c>
      <c r="J72" s="101" t="s">
        <v>448</v>
      </c>
      <c r="K72" s="99" t="s">
        <v>366</v>
      </c>
      <c r="L72" s="50" t="s">
        <v>32</v>
      </c>
      <c r="M72" s="48" t="s">
        <v>46</v>
      </c>
      <c r="N72" s="51" t="s">
        <v>449</v>
      </c>
      <c r="O72" s="53"/>
      <c r="P72" s="54"/>
      <c r="Q72" s="54"/>
      <c r="R72" s="54"/>
      <c r="S72" s="54"/>
      <c r="T72" s="54"/>
      <c r="U72" s="54"/>
      <c r="V72" s="54"/>
      <c r="W72" s="54"/>
      <c r="X72" s="54"/>
      <c r="Y72" s="54"/>
    </row>
    <row r="73">
      <c r="A73" s="93">
        <v>70.0</v>
      </c>
      <c r="B73" s="93" t="s">
        <v>25</v>
      </c>
      <c r="C73" s="103">
        <v>46159.0</v>
      </c>
      <c r="D73" s="40" t="s">
        <v>26</v>
      </c>
      <c r="E73" s="93" t="s">
        <v>450</v>
      </c>
      <c r="F73" s="93" t="s">
        <v>412</v>
      </c>
      <c r="G73" s="93">
        <v>9.935343228E9</v>
      </c>
      <c r="H73" s="93" t="s">
        <v>451</v>
      </c>
      <c r="I73" s="104" t="s">
        <v>77</v>
      </c>
      <c r="J73" s="104" t="s">
        <v>452</v>
      </c>
      <c r="K73" s="93" t="s">
        <v>453</v>
      </c>
      <c r="L73" s="42" t="s">
        <v>32</v>
      </c>
      <c r="M73" s="40" t="s">
        <v>46</v>
      </c>
      <c r="N73" s="43" t="s">
        <v>454</v>
      </c>
      <c r="O73" s="106"/>
      <c r="P73" s="46"/>
      <c r="Q73" s="46"/>
      <c r="R73" s="46"/>
      <c r="S73" s="46"/>
      <c r="T73" s="46"/>
      <c r="U73" s="46"/>
      <c r="V73" s="46"/>
      <c r="W73" s="46"/>
      <c r="X73" s="46"/>
      <c r="Y73" s="46"/>
    </row>
    <row r="74">
      <c r="A74" s="123">
        <v>71.0</v>
      </c>
      <c r="B74" s="123" t="s">
        <v>25</v>
      </c>
      <c r="C74" s="124">
        <v>46160.0</v>
      </c>
      <c r="D74" s="125" t="s">
        <v>26</v>
      </c>
      <c r="E74" s="123" t="s">
        <v>455</v>
      </c>
      <c r="F74" s="123" t="s">
        <v>456</v>
      </c>
      <c r="G74" s="123">
        <v>9.820292224E9</v>
      </c>
      <c r="H74" s="123" t="s">
        <v>457</v>
      </c>
      <c r="I74" s="126" t="s">
        <v>458</v>
      </c>
      <c r="J74" s="126" t="s">
        <v>459</v>
      </c>
      <c r="K74" s="123" t="s">
        <v>366</v>
      </c>
      <c r="L74" s="127" t="s">
        <v>32</v>
      </c>
      <c r="M74" s="125" t="s">
        <v>154</v>
      </c>
      <c r="N74" s="128" t="s">
        <v>460</v>
      </c>
      <c r="O74" s="129" t="s">
        <v>461</v>
      </c>
      <c r="P74" s="130"/>
      <c r="Q74" s="130"/>
      <c r="R74" s="130"/>
      <c r="S74" s="130"/>
      <c r="T74" s="130"/>
      <c r="U74" s="130"/>
      <c r="V74" s="130"/>
      <c r="W74" s="130"/>
      <c r="X74" s="130"/>
      <c r="Y74" s="130"/>
    </row>
    <row r="75">
      <c r="A75" s="99">
        <v>72.0</v>
      </c>
      <c r="B75" s="99" t="s">
        <v>25</v>
      </c>
      <c r="C75" s="121">
        <v>46162.0</v>
      </c>
      <c r="D75" s="48" t="s">
        <v>26</v>
      </c>
      <c r="E75" s="99" t="s">
        <v>462</v>
      </c>
      <c r="F75" s="99" t="s">
        <v>463</v>
      </c>
      <c r="G75" s="99">
        <v>9.76913473E9</v>
      </c>
      <c r="H75" s="99" t="s">
        <v>464</v>
      </c>
      <c r="I75" s="101" t="s">
        <v>56</v>
      </c>
      <c r="J75" s="101" t="s">
        <v>465</v>
      </c>
      <c r="K75" s="99" t="s">
        <v>216</v>
      </c>
      <c r="L75" s="50" t="s">
        <v>32</v>
      </c>
      <c r="M75" s="48" t="s">
        <v>46</v>
      </c>
      <c r="N75" s="51" t="s">
        <v>466</v>
      </c>
      <c r="O75" s="53"/>
      <c r="P75" s="54"/>
      <c r="Q75" s="54"/>
      <c r="R75" s="54"/>
      <c r="S75" s="54"/>
      <c r="T75" s="54"/>
      <c r="U75" s="54"/>
      <c r="V75" s="54"/>
      <c r="W75" s="54"/>
      <c r="X75" s="54"/>
      <c r="Y75" s="54"/>
    </row>
    <row r="76">
      <c r="A76" s="131">
        <v>73.0</v>
      </c>
      <c r="B76" s="131" t="s">
        <v>25</v>
      </c>
      <c r="C76" s="132">
        <v>46162.0</v>
      </c>
      <c r="D76" s="133" t="s">
        <v>26</v>
      </c>
      <c r="E76" s="131" t="s">
        <v>467</v>
      </c>
      <c r="F76" s="131" t="s">
        <v>36</v>
      </c>
      <c r="G76" s="131">
        <v>9.321089977E9</v>
      </c>
      <c r="H76" s="131" t="s">
        <v>468</v>
      </c>
      <c r="I76" s="134" t="s">
        <v>56</v>
      </c>
      <c r="J76" s="134" t="s">
        <v>469</v>
      </c>
      <c r="K76" s="131" t="s">
        <v>376</v>
      </c>
      <c r="L76" s="135"/>
      <c r="M76" s="133" t="s">
        <v>171</v>
      </c>
      <c r="N76" s="136" t="s">
        <v>470</v>
      </c>
      <c r="O76" s="106"/>
      <c r="P76" s="46"/>
      <c r="Q76" s="46"/>
      <c r="R76" s="46"/>
      <c r="S76" s="46"/>
      <c r="T76" s="46"/>
      <c r="U76" s="46"/>
      <c r="V76" s="46"/>
      <c r="W76" s="46"/>
      <c r="X76" s="46"/>
      <c r="Y76" s="46"/>
    </row>
    <row r="77">
      <c r="A77" s="99">
        <v>74.0</v>
      </c>
      <c r="B77" s="99" t="s">
        <v>25</v>
      </c>
      <c r="C77" s="121">
        <v>46165.0</v>
      </c>
      <c r="D77" s="99" t="s">
        <v>471</v>
      </c>
      <c r="E77" s="99" t="s">
        <v>472</v>
      </c>
      <c r="F77" s="99" t="s">
        <v>473</v>
      </c>
      <c r="G77" s="99">
        <v>9.821096696E9</v>
      </c>
      <c r="H77" s="99" t="s">
        <v>474</v>
      </c>
      <c r="I77" s="101" t="s">
        <v>77</v>
      </c>
      <c r="J77" s="101" t="s">
        <v>475</v>
      </c>
      <c r="K77" s="99" t="s">
        <v>476</v>
      </c>
      <c r="L77" s="122"/>
      <c r="M77" s="48" t="s">
        <v>46</v>
      </c>
      <c r="N77" s="51" t="s">
        <v>477</v>
      </c>
      <c r="O77" s="53"/>
      <c r="P77" s="54"/>
      <c r="Q77" s="54"/>
      <c r="R77" s="54"/>
      <c r="S77" s="54"/>
      <c r="T77" s="54"/>
      <c r="U77" s="54"/>
      <c r="V77" s="54"/>
      <c r="W77" s="54"/>
      <c r="X77" s="54"/>
      <c r="Y77" s="54"/>
    </row>
    <row r="78">
      <c r="A78" s="137">
        <v>75.0</v>
      </c>
      <c r="B78" s="137" t="s">
        <v>25</v>
      </c>
      <c r="C78" s="138">
        <v>46165.0</v>
      </c>
      <c r="D78" s="86" t="s">
        <v>26</v>
      </c>
      <c r="E78" s="137" t="s">
        <v>478</v>
      </c>
      <c r="F78" s="137" t="s">
        <v>479</v>
      </c>
      <c r="G78" s="137">
        <v>9.820724575E9</v>
      </c>
      <c r="H78" s="137" t="s">
        <v>480</v>
      </c>
      <c r="I78" s="126" t="s">
        <v>481</v>
      </c>
      <c r="J78" s="126" t="s">
        <v>482</v>
      </c>
      <c r="K78" s="139">
        <v>46042.0</v>
      </c>
      <c r="L78" s="140"/>
      <c r="M78" s="125" t="s">
        <v>154</v>
      </c>
      <c r="N78" s="89" t="s">
        <v>483</v>
      </c>
      <c r="O78" s="141"/>
      <c r="P78" s="91"/>
      <c r="Q78" s="91"/>
      <c r="R78" s="91"/>
      <c r="S78" s="91"/>
      <c r="T78" s="91"/>
      <c r="U78" s="91"/>
      <c r="V78" s="91"/>
      <c r="W78" s="91"/>
      <c r="X78" s="91"/>
      <c r="Y78" s="91"/>
    </row>
    <row r="79">
      <c r="A79" s="137">
        <v>76.0</v>
      </c>
      <c r="B79" s="137" t="s">
        <v>25</v>
      </c>
      <c r="C79" s="138">
        <v>46167.0</v>
      </c>
      <c r="D79" s="86" t="s">
        <v>26</v>
      </c>
      <c r="E79" s="137" t="s">
        <v>484</v>
      </c>
      <c r="F79" s="137" t="s">
        <v>237</v>
      </c>
      <c r="G79" s="137">
        <v>9.892473606E9</v>
      </c>
      <c r="H79" s="137" t="s">
        <v>485</v>
      </c>
      <c r="I79" s="126" t="s">
        <v>306</v>
      </c>
      <c r="J79" s="142"/>
      <c r="K79" s="137" t="s">
        <v>216</v>
      </c>
      <c r="L79" s="140"/>
      <c r="M79" s="86" t="s">
        <v>154</v>
      </c>
      <c r="N79" s="89" t="s">
        <v>486</v>
      </c>
      <c r="O79" s="141"/>
      <c r="P79" s="91"/>
      <c r="Q79" s="91"/>
      <c r="R79" s="91"/>
      <c r="S79" s="91"/>
      <c r="T79" s="91"/>
      <c r="U79" s="91"/>
      <c r="V79" s="91"/>
      <c r="W79" s="91"/>
      <c r="X79" s="91"/>
      <c r="Y79" s="91"/>
    </row>
    <row r="80">
      <c r="A80" s="99">
        <v>77.0</v>
      </c>
      <c r="B80" s="99" t="s">
        <v>25</v>
      </c>
      <c r="C80" s="121">
        <v>46168.0</v>
      </c>
      <c r="D80" s="48" t="s">
        <v>26</v>
      </c>
      <c r="E80" s="99" t="s">
        <v>487</v>
      </c>
      <c r="F80" s="99" t="s">
        <v>488</v>
      </c>
      <c r="G80" s="99">
        <v>9.619320119E9</v>
      </c>
      <c r="H80" s="99" t="s">
        <v>489</v>
      </c>
      <c r="I80" s="101" t="s">
        <v>490</v>
      </c>
      <c r="J80" s="101" t="s">
        <v>491</v>
      </c>
      <c r="K80" s="99" t="s">
        <v>376</v>
      </c>
      <c r="L80" s="50" t="s">
        <v>32</v>
      </c>
      <c r="M80" s="48" t="s">
        <v>46</v>
      </c>
      <c r="N80" s="51" t="s">
        <v>492</v>
      </c>
      <c r="O80" s="53"/>
      <c r="P80" s="54"/>
      <c r="Q80" s="54"/>
      <c r="R80" s="54"/>
      <c r="S80" s="54"/>
      <c r="T80" s="54"/>
      <c r="U80" s="54"/>
      <c r="V80" s="54"/>
      <c r="W80" s="54"/>
      <c r="X80" s="54"/>
      <c r="Y80" s="54"/>
    </row>
    <row r="81">
      <c r="A81" s="93">
        <v>78.0</v>
      </c>
      <c r="B81" s="93" t="s">
        <v>25</v>
      </c>
      <c r="C81" s="103">
        <v>46169.0</v>
      </c>
      <c r="D81" s="40" t="s">
        <v>26</v>
      </c>
      <c r="E81" s="93" t="s">
        <v>493</v>
      </c>
      <c r="F81" s="93" t="s">
        <v>494</v>
      </c>
      <c r="G81" s="93">
        <v>9.821899613E9</v>
      </c>
      <c r="H81" s="93" t="s">
        <v>495</v>
      </c>
      <c r="I81" s="104" t="s">
        <v>496</v>
      </c>
      <c r="J81" s="104" t="s">
        <v>497</v>
      </c>
      <c r="K81" s="93" t="s">
        <v>376</v>
      </c>
      <c r="L81" s="42" t="s">
        <v>32</v>
      </c>
      <c r="M81" s="133" t="s">
        <v>171</v>
      </c>
      <c r="N81" s="43" t="s">
        <v>498</v>
      </c>
      <c r="O81" s="45"/>
      <c r="P81" s="46"/>
      <c r="Q81" s="46"/>
      <c r="R81" s="46"/>
      <c r="S81" s="46"/>
      <c r="T81" s="46"/>
      <c r="U81" s="46"/>
      <c r="V81" s="46"/>
      <c r="W81" s="46"/>
      <c r="X81" s="46"/>
      <c r="Y81" s="46"/>
    </row>
    <row r="82">
      <c r="A82" s="93">
        <v>79.0</v>
      </c>
      <c r="B82" s="93" t="s">
        <v>25</v>
      </c>
      <c r="C82" s="103">
        <v>46169.0</v>
      </c>
      <c r="D82" s="40" t="s">
        <v>26</v>
      </c>
      <c r="E82" s="93" t="s">
        <v>499</v>
      </c>
      <c r="F82" s="93" t="s">
        <v>500</v>
      </c>
      <c r="G82" s="93">
        <v>9.702204048E9</v>
      </c>
      <c r="H82" s="93" t="s">
        <v>501</v>
      </c>
      <c r="I82" s="104" t="s">
        <v>252</v>
      </c>
      <c r="J82" s="104" t="s">
        <v>502</v>
      </c>
      <c r="K82" s="93" t="s">
        <v>216</v>
      </c>
      <c r="L82" s="42" t="s">
        <v>32</v>
      </c>
      <c r="M82" s="40" t="s">
        <v>46</v>
      </c>
      <c r="N82" s="43" t="s">
        <v>503</v>
      </c>
      <c r="O82" s="45"/>
      <c r="P82" s="46"/>
      <c r="Q82" s="46"/>
      <c r="R82" s="46"/>
      <c r="S82" s="46"/>
      <c r="T82" s="46"/>
      <c r="U82" s="46"/>
      <c r="V82" s="46"/>
      <c r="W82" s="46"/>
      <c r="X82" s="46"/>
      <c r="Y82" s="46"/>
    </row>
    <row r="83">
      <c r="A83" s="93">
        <v>80.0</v>
      </c>
      <c r="B83" s="93" t="s">
        <v>25</v>
      </c>
      <c r="C83" s="103">
        <v>46174.0</v>
      </c>
      <c r="D83" s="93" t="s">
        <v>26</v>
      </c>
      <c r="E83" s="93" t="s">
        <v>35</v>
      </c>
      <c r="F83" s="93" t="s">
        <v>504</v>
      </c>
      <c r="G83" s="93">
        <v>9.664511162E9</v>
      </c>
      <c r="H83" s="93" t="s">
        <v>308</v>
      </c>
      <c r="I83" s="104" t="s">
        <v>341</v>
      </c>
      <c r="J83" s="104" t="s">
        <v>505</v>
      </c>
      <c r="K83" s="93" t="s">
        <v>506</v>
      </c>
      <c r="L83" s="120"/>
      <c r="M83" s="40" t="s">
        <v>154</v>
      </c>
      <c r="N83" s="43" t="s">
        <v>507</v>
      </c>
      <c r="O83" s="45"/>
      <c r="P83" s="46"/>
      <c r="Q83" s="46"/>
      <c r="R83" s="46"/>
      <c r="S83" s="46"/>
      <c r="T83" s="46"/>
      <c r="U83" s="46"/>
      <c r="V83" s="46"/>
      <c r="W83" s="46"/>
      <c r="X83" s="46"/>
      <c r="Y83" s="46"/>
    </row>
    <row r="84">
      <c r="A84" s="93">
        <v>81.0</v>
      </c>
      <c r="B84" s="93" t="s">
        <v>25</v>
      </c>
      <c r="C84" s="103">
        <v>46175.0</v>
      </c>
      <c r="D84" s="93" t="s">
        <v>26</v>
      </c>
      <c r="E84" s="93" t="s">
        <v>508</v>
      </c>
      <c r="F84" s="93" t="s">
        <v>509</v>
      </c>
      <c r="G84" s="93">
        <v>9.987713685E9</v>
      </c>
      <c r="H84" s="93" t="s">
        <v>510</v>
      </c>
      <c r="I84" s="104" t="s">
        <v>70</v>
      </c>
      <c r="J84" s="104" t="s">
        <v>511</v>
      </c>
      <c r="K84" s="93" t="s">
        <v>512</v>
      </c>
      <c r="L84" s="120"/>
      <c r="M84" s="40" t="s">
        <v>154</v>
      </c>
      <c r="N84" s="43" t="s">
        <v>513</v>
      </c>
      <c r="O84" s="45"/>
      <c r="P84" s="46"/>
      <c r="Q84" s="46"/>
      <c r="R84" s="46"/>
      <c r="S84" s="46"/>
      <c r="T84" s="46"/>
      <c r="U84" s="46"/>
      <c r="V84" s="46"/>
      <c r="W84" s="46"/>
      <c r="X84" s="46"/>
      <c r="Y84" s="46"/>
    </row>
    <row r="85">
      <c r="A85" s="93">
        <v>82.0</v>
      </c>
      <c r="B85" s="93" t="s">
        <v>25</v>
      </c>
      <c r="C85" s="103">
        <v>46175.0</v>
      </c>
      <c r="D85" s="93" t="s">
        <v>26</v>
      </c>
      <c r="E85" s="93" t="s">
        <v>514</v>
      </c>
      <c r="F85" s="93" t="s">
        <v>90</v>
      </c>
      <c r="G85" s="93">
        <v>8.767902878E9</v>
      </c>
      <c r="H85" s="93" t="s">
        <v>515</v>
      </c>
      <c r="I85" s="104" t="s">
        <v>305</v>
      </c>
      <c r="J85" s="104" t="s">
        <v>516</v>
      </c>
      <c r="K85" s="93" t="s">
        <v>506</v>
      </c>
      <c r="L85" s="120"/>
      <c r="M85" s="40" t="s">
        <v>154</v>
      </c>
      <c r="N85" s="43" t="s">
        <v>517</v>
      </c>
      <c r="O85" s="45"/>
      <c r="P85" s="46"/>
      <c r="Q85" s="46"/>
      <c r="R85" s="46"/>
      <c r="S85" s="46"/>
      <c r="T85" s="46"/>
      <c r="U85" s="46"/>
      <c r="V85" s="46"/>
      <c r="W85" s="46"/>
      <c r="X85" s="46"/>
      <c r="Y85" s="46"/>
    </row>
    <row r="86">
      <c r="A86" s="93">
        <v>83.0</v>
      </c>
      <c r="B86" s="93" t="s">
        <v>25</v>
      </c>
      <c r="C86" s="103">
        <v>46176.0</v>
      </c>
      <c r="D86" s="93" t="s">
        <v>26</v>
      </c>
      <c r="E86" s="143" t="s">
        <v>518</v>
      </c>
      <c r="F86" s="143" t="s">
        <v>519</v>
      </c>
      <c r="G86" s="143">
        <v>7.738976888E9</v>
      </c>
      <c r="H86" s="143" t="s">
        <v>520</v>
      </c>
      <c r="I86" s="144" t="s">
        <v>521</v>
      </c>
      <c r="J86" s="144" t="s">
        <v>522</v>
      </c>
      <c r="K86" s="143" t="s">
        <v>506</v>
      </c>
      <c r="L86" s="145"/>
      <c r="M86" s="146"/>
      <c r="N86" s="147" t="s">
        <v>523</v>
      </c>
      <c r="O86" s="106"/>
      <c r="P86" s="46"/>
      <c r="Q86" s="46"/>
      <c r="R86" s="46"/>
      <c r="S86" s="46"/>
      <c r="T86" s="46"/>
      <c r="U86" s="46"/>
      <c r="V86" s="46"/>
      <c r="W86" s="46"/>
      <c r="X86" s="46"/>
      <c r="Y86" s="46"/>
    </row>
    <row r="87">
      <c r="A87" s="93">
        <v>84.0</v>
      </c>
      <c r="B87" s="93" t="s">
        <v>25</v>
      </c>
      <c r="C87" s="103">
        <v>46176.0</v>
      </c>
      <c r="D87" s="93" t="s">
        <v>26</v>
      </c>
      <c r="E87" s="143" t="s">
        <v>524</v>
      </c>
      <c r="F87" s="143" t="s">
        <v>525</v>
      </c>
      <c r="G87" s="143">
        <v>8.657521743E9</v>
      </c>
      <c r="H87" s="143" t="s">
        <v>526</v>
      </c>
      <c r="I87" s="144" t="s">
        <v>56</v>
      </c>
      <c r="J87" s="144" t="s">
        <v>527</v>
      </c>
      <c r="K87" s="143" t="s">
        <v>506</v>
      </c>
      <c r="L87" s="145"/>
      <c r="M87" s="146"/>
      <c r="N87" s="147" t="s">
        <v>528</v>
      </c>
      <c r="O87" s="106"/>
      <c r="P87" s="46"/>
      <c r="Q87" s="46"/>
      <c r="R87" s="46"/>
      <c r="S87" s="46"/>
      <c r="T87" s="46"/>
      <c r="U87" s="46"/>
      <c r="V87" s="46"/>
      <c r="W87" s="46"/>
      <c r="X87" s="46"/>
      <c r="Y87" s="46"/>
    </row>
    <row r="88">
      <c r="A88" s="93">
        <v>85.0</v>
      </c>
      <c r="B88" s="93" t="s">
        <v>25</v>
      </c>
      <c r="C88" s="103">
        <v>46176.0</v>
      </c>
      <c r="D88" s="93" t="s">
        <v>26</v>
      </c>
      <c r="E88" s="143" t="s">
        <v>529</v>
      </c>
      <c r="F88" s="143" t="s">
        <v>119</v>
      </c>
      <c r="G88" s="143">
        <v>9.820414789E9</v>
      </c>
      <c r="H88" s="143" t="s">
        <v>530</v>
      </c>
      <c r="I88" s="144" t="s">
        <v>316</v>
      </c>
      <c r="J88" s="144" t="s">
        <v>531</v>
      </c>
      <c r="K88" s="143" t="s">
        <v>532</v>
      </c>
      <c r="L88" s="145"/>
      <c r="M88" s="146"/>
      <c r="N88" s="147" t="s">
        <v>533</v>
      </c>
      <c r="O88" s="106"/>
      <c r="P88" s="46"/>
      <c r="Q88" s="46"/>
      <c r="R88" s="46"/>
      <c r="S88" s="46"/>
      <c r="T88" s="46"/>
      <c r="U88" s="46"/>
      <c r="V88" s="46"/>
      <c r="W88" s="46"/>
      <c r="X88" s="46"/>
      <c r="Y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row>
  </sheetData>
  <dataValidations>
    <dataValidation type="list" allowBlank="1" showErrorMessage="1" sqref="L2:L59 L63 L66:L67 L69:L75 L80:L82">
      <formula1>"Done,Pending,Not Responding"</formula1>
    </dataValidation>
    <dataValidation type="list" allowBlank="1" sqref="M2:M35 M37:M48 M50:M85">
      <formula1>"Cold,Hot,Warm,Lost,Hold,Closed,Not Responding"</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63"/>
    <col customWidth="1" min="10" max="10" width="20.13"/>
    <col customWidth="1" min="12" max="12" width="27.63"/>
    <col customWidth="1" min="13" max="13" width="73.63"/>
  </cols>
  <sheetData>
    <row r="1" ht="30.75" customHeight="1">
      <c r="A1" s="33" t="s">
        <v>15</v>
      </c>
      <c r="B1" s="34" t="s">
        <v>9</v>
      </c>
      <c r="C1" s="34" t="s">
        <v>6</v>
      </c>
      <c r="D1" s="34" t="s">
        <v>16</v>
      </c>
      <c r="E1" s="34" t="s">
        <v>17</v>
      </c>
      <c r="F1" s="35" t="s">
        <v>18</v>
      </c>
      <c r="G1" s="35" t="s">
        <v>19</v>
      </c>
      <c r="H1" s="35" t="s">
        <v>20</v>
      </c>
      <c r="I1" s="35" t="s">
        <v>21</v>
      </c>
      <c r="J1" s="35" t="s">
        <v>22</v>
      </c>
      <c r="K1" s="35" t="s">
        <v>23</v>
      </c>
      <c r="L1" s="34" t="s">
        <v>12</v>
      </c>
      <c r="M1" s="34" t="s">
        <v>13</v>
      </c>
      <c r="N1" s="36"/>
      <c r="O1" s="37"/>
      <c r="P1" s="38"/>
      <c r="Q1" s="38"/>
      <c r="R1" s="38"/>
      <c r="S1" s="38"/>
      <c r="T1" s="38"/>
      <c r="U1" s="38"/>
      <c r="V1" s="38"/>
      <c r="W1" s="38"/>
      <c r="X1" s="38"/>
    </row>
    <row r="2">
      <c r="A2" s="148">
        <v>1.0</v>
      </c>
      <c r="B2" s="149" t="s">
        <v>25</v>
      </c>
      <c r="C2" s="85">
        <v>46134.0</v>
      </c>
      <c r="D2" s="86" t="s">
        <v>26</v>
      </c>
      <c r="E2" s="137" t="s">
        <v>198</v>
      </c>
      <c r="F2" s="137" t="s">
        <v>199</v>
      </c>
      <c r="G2" s="137">
        <v>8.87960037E9</v>
      </c>
      <c r="H2" s="137" t="s">
        <v>200</v>
      </c>
      <c r="I2" s="137" t="s">
        <v>201</v>
      </c>
      <c r="J2" s="137" t="s">
        <v>202</v>
      </c>
      <c r="K2" s="137" t="s">
        <v>203</v>
      </c>
      <c r="L2" s="86" t="s">
        <v>154</v>
      </c>
      <c r="M2" s="89" t="s">
        <v>534</v>
      </c>
      <c r="N2" s="91"/>
      <c r="O2" s="91"/>
      <c r="P2" s="91"/>
      <c r="Q2" s="91"/>
      <c r="R2" s="91"/>
      <c r="S2" s="91"/>
      <c r="T2" s="91"/>
      <c r="U2" s="91"/>
      <c r="V2" s="91"/>
      <c r="W2" s="91"/>
      <c r="X2" s="91"/>
    </row>
    <row r="3">
      <c r="A3" s="150">
        <v>2.0</v>
      </c>
      <c r="B3" s="151" t="s">
        <v>25</v>
      </c>
      <c r="C3" s="152">
        <v>46145.0</v>
      </c>
      <c r="D3" s="153" t="s">
        <v>26</v>
      </c>
      <c r="E3" s="150" t="s">
        <v>352</v>
      </c>
      <c r="F3" s="150" t="s">
        <v>353</v>
      </c>
      <c r="G3" s="150">
        <v>9.8191391E9</v>
      </c>
      <c r="H3" s="150" t="s">
        <v>354</v>
      </c>
      <c r="I3" s="154" t="s">
        <v>355</v>
      </c>
      <c r="J3" s="150" t="s">
        <v>356</v>
      </c>
      <c r="K3" s="150" t="s">
        <v>216</v>
      </c>
      <c r="L3" s="153" t="s">
        <v>154</v>
      </c>
      <c r="M3" s="155" t="s">
        <v>535</v>
      </c>
      <c r="N3" s="156"/>
      <c r="O3" s="157"/>
      <c r="P3" s="157"/>
      <c r="Q3" s="157"/>
      <c r="R3" s="157"/>
      <c r="S3" s="157"/>
      <c r="T3" s="157"/>
      <c r="U3" s="157"/>
      <c r="V3" s="157"/>
      <c r="W3" s="157"/>
      <c r="X3" s="157"/>
    </row>
    <row r="4">
      <c r="A4" s="137">
        <v>3.0</v>
      </c>
      <c r="B4" s="149" t="s">
        <v>25</v>
      </c>
      <c r="C4" s="138">
        <v>46155.0</v>
      </c>
      <c r="D4" s="86" t="s">
        <v>26</v>
      </c>
      <c r="E4" s="137" t="s">
        <v>416</v>
      </c>
      <c r="F4" s="137" t="s">
        <v>417</v>
      </c>
      <c r="G4" s="137">
        <v>8.6522687E9</v>
      </c>
      <c r="H4" s="137" t="s">
        <v>418</v>
      </c>
      <c r="I4" s="126" t="s">
        <v>419</v>
      </c>
      <c r="J4" s="137" t="s">
        <v>420</v>
      </c>
      <c r="K4" s="137" t="s">
        <v>421</v>
      </c>
      <c r="L4" s="86" t="s">
        <v>154</v>
      </c>
      <c r="M4" s="158" t="s">
        <v>422</v>
      </c>
      <c r="N4" s="141"/>
      <c r="O4" s="91"/>
      <c r="P4" s="91"/>
      <c r="Q4" s="91"/>
      <c r="R4" s="91"/>
      <c r="S4" s="91"/>
      <c r="T4" s="91"/>
      <c r="U4" s="91"/>
      <c r="V4" s="91"/>
      <c r="W4" s="91"/>
      <c r="X4" s="91"/>
    </row>
    <row r="5">
      <c r="A5" s="159">
        <v>4.0</v>
      </c>
      <c r="B5" s="159" t="s">
        <v>25</v>
      </c>
      <c r="C5" s="160">
        <v>46160.0</v>
      </c>
      <c r="D5" s="161" t="s">
        <v>26</v>
      </c>
      <c r="E5" s="159" t="s">
        <v>455</v>
      </c>
      <c r="F5" s="159" t="s">
        <v>456</v>
      </c>
      <c r="G5" s="159">
        <v>9.820292224E9</v>
      </c>
      <c r="H5" s="159" t="s">
        <v>457</v>
      </c>
      <c r="I5" s="154" t="s">
        <v>458</v>
      </c>
      <c r="J5" s="154" t="s">
        <v>459</v>
      </c>
      <c r="K5" s="159" t="s">
        <v>366</v>
      </c>
      <c r="L5" s="161" t="s">
        <v>46</v>
      </c>
      <c r="M5" s="162" t="s">
        <v>536</v>
      </c>
      <c r="N5" s="163" t="s">
        <v>461</v>
      </c>
      <c r="O5" s="164"/>
      <c r="P5" s="164"/>
      <c r="Q5" s="164"/>
      <c r="R5" s="164"/>
      <c r="S5" s="164"/>
      <c r="T5" s="164"/>
      <c r="U5" s="164"/>
      <c r="V5" s="164"/>
      <c r="W5" s="164"/>
      <c r="X5" s="164"/>
    </row>
    <row r="6">
      <c r="A6" s="150">
        <v>5.0</v>
      </c>
      <c r="B6" s="150" t="s">
        <v>25</v>
      </c>
      <c r="C6" s="152">
        <v>46162.0</v>
      </c>
      <c r="D6" s="153" t="s">
        <v>26</v>
      </c>
      <c r="E6" s="150" t="s">
        <v>462</v>
      </c>
      <c r="F6" s="150" t="s">
        <v>463</v>
      </c>
      <c r="G6" s="150">
        <v>9.76913473E9</v>
      </c>
      <c r="H6" s="150" t="s">
        <v>464</v>
      </c>
      <c r="I6" s="154" t="s">
        <v>56</v>
      </c>
      <c r="J6" s="154" t="s">
        <v>465</v>
      </c>
      <c r="K6" s="150" t="s">
        <v>216</v>
      </c>
      <c r="L6" s="153" t="s">
        <v>46</v>
      </c>
      <c r="M6" s="158" t="s">
        <v>537</v>
      </c>
      <c r="N6" s="165"/>
      <c r="O6" s="157"/>
      <c r="P6" s="157"/>
      <c r="Q6" s="157"/>
      <c r="R6" s="157"/>
      <c r="S6" s="157"/>
      <c r="T6" s="157"/>
      <c r="U6" s="157"/>
      <c r="V6" s="157"/>
      <c r="W6" s="157"/>
      <c r="X6" s="157"/>
    </row>
    <row r="7">
      <c r="A7" s="166">
        <v>6.0</v>
      </c>
      <c r="B7" s="166"/>
      <c r="E7" s="167"/>
      <c r="F7" s="167"/>
      <c r="G7" s="167"/>
      <c r="H7" s="167"/>
      <c r="I7" s="168"/>
      <c r="J7" s="169"/>
      <c r="K7" s="167"/>
      <c r="L7" s="170"/>
      <c r="M7" s="171"/>
      <c r="N7" s="171"/>
    </row>
  </sheetData>
  <dataValidations>
    <dataValidation type="list" allowBlank="1" sqref="L2:L6">
      <formula1>"Cold,Hot,Warm,Lost,Hold,Closed,Not Responding"</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5"/>
    <col customWidth="1" min="9" max="9" width="28.38"/>
    <col customWidth="1" min="10" max="10" width="31.38"/>
    <col customWidth="1" min="11" max="11" width="36.75"/>
    <col customWidth="1" min="12" max="13" width="23.25"/>
    <col customWidth="1" min="15" max="15" width="65.75"/>
  </cols>
  <sheetData>
    <row r="1">
      <c r="A1" s="33" t="s">
        <v>15</v>
      </c>
      <c r="B1" s="34" t="s">
        <v>9</v>
      </c>
      <c r="C1" s="172" t="s">
        <v>12</v>
      </c>
      <c r="D1" s="34" t="s">
        <v>6</v>
      </c>
      <c r="E1" s="34" t="s">
        <v>16</v>
      </c>
      <c r="F1" s="34" t="s">
        <v>17</v>
      </c>
      <c r="G1" s="35" t="s">
        <v>18</v>
      </c>
      <c r="H1" s="35" t="s">
        <v>19</v>
      </c>
      <c r="I1" s="35" t="s">
        <v>20</v>
      </c>
      <c r="J1" s="35" t="s">
        <v>21</v>
      </c>
      <c r="K1" s="35" t="s">
        <v>22</v>
      </c>
      <c r="L1" s="35" t="s">
        <v>23</v>
      </c>
      <c r="M1" s="35" t="s">
        <v>538</v>
      </c>
      <c r="N1" s="34" t="s">
        <v>12</v>
      </c>
      <c r="O1" s="34" t="s">
        <v>13</v>
      </c>
    </row>
    <row r="2">
      <c r="A2" s="173">
        <v>1.0</v>
      </c>
      <c r="B2" s="174" t="s">
        <v>539</v>
      </c>
      <c r="C2" s="175"/>
      <c r="D2" s="176">
        <v>46129.0</v>
      </c>
      <c r="E2" s="174" t="s">
        <v>540</v>
      </c>
      <c r="F2" s="174" t="s">
        <v>541</v>
      </c>
      <c r="G2" s="174" t="s">
        <v>61</v>
      </c>
      <c r="H2" s="174">
        <v>9.820810093E9</v>
      </c>
      <c r="I2" s="174" t="s">
        <v>542</v>
      </c>
      <c r="J2" s="174" t="s">
        <v>543</v>
      </c>
      <c r="K2" s="174" t="s">
        <v>544</v>
      </c>
      <c r="L2" s="174" t="s">
        <v>545</v>
      </c>
      <c r="M2" s="174"/>
      <c r="N2" s="175"/>
      <c r="O2" s="175"/>
    </row>
    <row r="3">
      <c r="A3" s="173">
        <v>2.0</v>
      </c>
      <c r="B3" s="174" t="s">
        <v>539</v>
      </c>
      <c r="C3" s="177"/>
      <c r="D3" s="176">
        <v>46132.0</v>
      </c>
      <c r="E3" s="174" t="s">
        <v>546</v>
      </c>
      <c r="F3" s="178" t="s">
        <v>547</v>
      </c>
      <c r="G3" s="178" t="s">
        <v>548</v>
      </c>
      <c r="H3" s="174">
        <v>8.727832671E9</v>
      </c>
      <c r="I3" s="178" t="s">
        <v>549</v>
      </c>
      <c r="J3" s="178" t="s">
        <v>550</v>
      </c>
      <c r="K3" s="178" t="s">
        <v>551</v>
      </c>
      <c r="L3" s="178" t="s">
        <v>552</v>
      </c>
      <c r="M3" s="178"/>
      <c r="N3" s="177"/>
      <c r="O3" s="179" t="s">
        <v>553</v>
      </c>
    </row>
    <row r="4">
      <c r="A4" s="180">
        <v>3.0</v>
      </c>
      <c r="B4" s="93" t="s">
        <v>539</v>
      </c>
      <c r="C4" s="181"/>
      <c r="D4" s="182">
        <v>46137.0</v>
      </c>
      <c r="E4" s="93" t="s">
        <v>546</v>
      </c>
      <c r="F4" s="108" t="s">
        <v>554</v>
      </c>
      <c r="G4" s="108" t="s">
        <v>555</v>
      </c>
      <c r="H4" s="108" t="s">
        <v>556</v>
      </c>
      <c r="I4" s="108" t="s">
        <v>557</v>
      </c>
      <c r="J4" s="108" t="s">
        <v>77</v>
      </c>
      <c r="K4" s="108" t="s">
        <v>558</v>
      </c>
      <c r="L4" s="108" t="s">
        <v>559</v>
      </c>
      <c r="M4" s="42" t="s">
        <v>32</v>
      </c>
      <c r="N4" s="40" t="s">
        <v>95</v>
      </c>
      <c r="O4" s="183" t="s">
        <v>560</v>
      </c>
      <c r="P4" s="184"/>
      <c r="Q4" s="184"/>
      <c r="R4" s="184"/>
      <c r="S4" s="184"/>
      <c r="T4" s="184"/>
      <c r="U4" s="184"/>
      <c r="V4" s="184"/>
      <c r="W4" s="184"/>
      <c r="X4" s="184"/>
      <c r="Y4" s="184"/>
      <c r="Z4" s="184"/>
      <c r="AA4" s="184"/>
    </row>
    <row r="5">
      <c r="A5" s="180">
        <v>4.0</v>
      </c>
      <c r="B5" s="93" t="s">
        <v>539</v>
      </c>
      <c r="C5" s="181"/>
      <c r="D5" s="182">
        <v>46138.0</v>
      </c>
      <c r="E5" s="93" t="s">
        <v>546</v>
      </c>
      <c r="F5" s="108" t="s">
        <v>561</v>
      </c>
      <c r="G5" s="108" t="s">
        <v>562</v>
      </c>
      <c r="H5" s="108" t="s">
        <v>563</v>
      </c>
      <c r="I5" s="108" t="s">
        <v>564</v>
      </c>
      <c r="J5" s="108" t="s">
        <v>565</v>
      </c>
      <c r="K5" s="108" t="s">
        <v>566</v>
      </c>
      <c r="L5" s="108" t="s">
        <v>559</v>
      </c>
      <c r="M5" s="42" t="s">
        <v>32</v>
      </c>
      <c r="N5" s="40" t="s">
        <v>33</v>
      </c>
      <c r="O5" s="43" t="s">
        <v>567</v>
      </c>
      <c r="P5" s="184"/>
      <c r="Q5" s="184"/>
      <c r="R5" s="184"/>
      <c r="S5" s="184"/>
      <c r="T5" s="184"/>
      <c r="U5" s="184"/>
      <c r="V5" s="184"/>
      <c r="W5" s="184"/>
      <c r="X5" s="184"/>
      <c r="Y5" s="184"/>
      <c r="Z5" s="184"/>
      <c r="AA5" s="184"/>
    </row>
    <row r="6">
      <c r="A6" s="180">
        <v>5.0</v>
      </c>
      <c r="B6" s="93" t="s">
        <v>539</v>
      </c>
      <c r="C6" s="181"/>
      <c r="D6" s="182">
        <v>46138.0</v>
      </c>
      <c r="E6" s="93" t="s">
        <v>546</v>
      </c>
      <c r="F6" s="108" t="s">
        <v>568</v>
      </c>
      <c r="G6" s="108" t="s">
        <v>569</v>
      </c>
      <c r="H6" s="108" t="s">
        <v>570</v>
      </c>
      <c r="I6" s="92" t="s">
        <v>571</v>
      </c>
      <c r="J6" s="108" t="s">
        <v>572</v>
      </c>
      <c r="K6" s="108" t="s">
        <v>573</v>
      </c>
      <c r="L6" s="108" t="s">
        <v>552</v>
      </c>
      <c r="M6" s="42" t="s">
        <v>32</v>
      </c>
      <c r="N6" s="40" t="s">
        <v>80</v>
      </c>
      <c r="O6" s="43" t="s">
        <v>574</v>
      </c>
      <c r="P6" s="184"/>
      <c r="Q6" s="184"/>
      <c r="R6" s="184"/>
      <c r="S6" s="184"/>
      <c r="T6" s="184"/>
      <c r="U6" s="184"/>
      <c r="V6" s="184"/>
      <c r="W6" s="184"/>
      <c r="X6" s="184"/>
      <c r="Y6" s="184"/>
      <c r="Z6" s="184"/>
      <c r="AA6" s="184"/>
    </row>
    <row r="7">
      <c r="A7" s="180">
        <v>6.0</v>
      </c>
      <c r="B7" s="93" t="s">
        <v>539</v>
      </c>
      <c r="C7" s="181"/>
      <c r="D7" s="182">
        <v>46139.0</v>
      </c>
      <c r="E7" s="93" t="s">
        <v>546</v>
      </c>
      <c r="F7" s="108" t="s">
        <v>405</v>
      </c>
      <c r="G7" s="108" t="s">
        <v>575</v>
      </c>
      <c r="H7" s="108" t="s">
        <v>576</v>
      </c>
      <c r="I7" s="108" t="s">
        <v>577</v>
      </c>
      <c r="J7" s="108" t="s">
        <v>578</v>
      </c>
      <c r="K7" s="108" t="s">
        <v>579</v>
      </c>
      <c r="L7" s="108" t="s">
        <v>580</v>
      </c>
      <c r="M7" s="108"/>
      <c r="N7" s="181"/>
      <c r="O7" s="113" t="s">
        <v>581</v>
      </c>
      <c r="P7" s="184"/>
      <c r="Q7" s="184"/>
      <c r="R7" s="184"/>
      <c r="S7" s="184"/>
      <c r="T7" s="184"/>
      <c r="U7" s="184"/>
      <c r="V7" s="184"/>
      <c r="W7" s="184"/>
      <c r="X7" s="184"/>
      <c r="Y7" s="184"/>
      <c r="Z7" s="184"/>
      <c r="AA7" s="184"/>
    </row>
    <row r="8">
      <c r="A8" s="180">
        <v>7.0</v>
      </c>
      <c r="B8" s="93" t="s">
        <v>539</v>
      </c>
      <c r="C8" s="181"/>
      <c r="D8" s="182">
        <v>46139.0</v>
      </c>
      <c r="E8" s="93" t="s">
        <v>546</v>
      </c>
      <c r="F8" s="108" t="s">
        <v>582</v>
      </c>
      <c r="G8" s="108" t="s">
        <v>494</v>
      </c>
      <c r="H8" s="93">
        <v>9.167415155E9</v>
      </c>
      <c r="I8" s="108" t="s">
        <v>583</v>
      </c>
      <c r="J8" s="108" t="s">
        <v>77</v>
      </c>
      <c r="K8" s="108" t="s">
        <v>584</v>
      </c>
      <c r="L8" s="108" t="s">
        <v>552</v>
      </c>
      <c r="M8" s="42" t="s">
        <v>32</v>
      </c>
      <c r="N8" s="40" t="s">
        <v>46</v>
      </c>
      <c r="O8" s="183" t="s">
        <v>585</v>
      </c>
      <c r="P8" s="184"/>
      <c r="Q8" s="184"/>
      <c r="R8" s="184"/>
      <c r="S8" s="184"/>
      <c r="T8" s="184"/>
      <c r="U8" s="184"/>
      <c r="V8" s="184"/>
      <c r="W8" s="184"/>
      <c r="X8" s="184"/>
      <c r="Y8" s="184"/>
      <c r="Z8" s="184"/>
      <c r="AA8" s="184"/>
    </row>
    <row r="9">
      <c r="A9" s="180">
        <v>8.0</v>
      </c>
      <c r="B9" s="93" t="s">
        <v>539</v>
      </c>
      <c r="C9" s="181"/>
      <c r="D9" s="182">
        <v>46141.0</v>
      </c>
      <c r="E9" s="93" t="s">
        <v>546</v>
      </c>
      <c r="F9" s="108" t="s">
        <v>586</v>
      </c>
      <c r="G9" s="108" t="s">
        <v>587</v>
      </c>
      <c r="H9" s="108" t="s">
        <v>588</v>
      </c>
      <c r="I9" s="108" t="s">
        <v>589</v>
      </c>
      <c r="J9" s="108" t="s">
        <v>63</v>
      </c>
      <c r="K9" s="108" t="s">
        <v>590</v>
      </c>
      <c r="L9" s="108" t="s">
        <v>552</v>
      </c>
      <c r="M9" s="42" t="s">
        <v>32</v>
      </c>
      <c r="N9" s="40" t="s">
        <v>95</v>
      </c>
      <c r="O9" s="183" t="s">
        <v>591</v>
      </c>
      <c r="P9" s="184"/>
      <c r="Q9" s="184"/>
      <c r="R9" s="184"/>
      <c r="S9" s="184"/>
      <c r="T9" s="184"/>
      <c r="U9" s="184"/>
      <c r="V9" s="184"/>
      <c r="W9" s="184"/>
      <c r="X9" s="184"/>
      <c r="Y9" s="184"/>
      <c r="Z9" s="184"/>
      <c r="AA9" s="184"/>
    </row>
    <row r="10">
      <c r="A10" s="180">
        <v>9.0</v>
      </c>
      <c r="B10" s="93" t="s">
        <v>539</v>
      </c>
      <c r="C10" s="181"/>
      <c r="D10" s="182">
        <v>46141.0</v>
      </c>
      <c r="E10" s="93" t="s">
        <v>546</v>
      </c>
      <c r="F10" s="108" t="s">
        <v>592</v>
      </c>
      <c r="G10" s="108" t="s">
        <v>36</v>
      </c>
      <c r="H10" s="108" t="s">
        <v>593</v>
      </c>
      <c r="I10" s="108" t="s">
        <v>594</v>
      </c>
      <c r="J10" s="108" t="s">
        <v>595</v>
      </c>
      <c r="K10" s="108" t="s">
        <v>596</v>
      </c>
      <c r="L10" s="108" t="s">
        <v>580</v>
      </c>
      <c r="M10" s="42" t="s">
        <v>32</v>
      </c>
      <c r="N10" s="40" t="s">
        <v>46</v>
      </c>
      <c r="O10" s="183" t="s">
        <v>597</v>
      </c>
      <c r="P10" s="184"/>
      <c r="Q10" s="184"/>
      <c r="R10" s="184"/>
      <c r="S10" s="184"/>
      <c r="T10" s="184"/>
      <c r="U10" s="184"/>
      <c r="V10" s="184"/>
      <c r="W10" s="184"/>
      <c r="X10" s="184"/>
      <c r="Y10" s="184"/>
      <c r="Z10" s="184"/>
      <c r="AA10" s="184"/>
    </row>
    <row r="11">
      <c r="A11" s="180">
        <v>10.0</v>
      </c>
      <c r="B11" s="93" t="s">
        <v>539</v>
      </c>
      <c r="C11" s="181"/>
      <c r="D11" s="182">
        <v>46141.0</v>
      </c>
      <c r="E11" s="93" t="s">
        <v>546</v>
      </c>
      <c r="F11" s="108" t="s">
        <v>292</v>
      </c>
      <c r="G11" s="108" t="s">
        <v>394</v>
      </c>
      <c r="H11" s="93">
        <v>9.820621378E9</v>
      </c>
      <c r="I11" s="108" t="s">
        <v>598</v>
      </c>
      <c r="J11" s="108" t="s">
        <v>70</v>
      </c>
      <c r="K11" s="108" t="s">
        <v>599</v>
      </c>
      <c r="L11" s="108" t="s">
        <v>600</v>
      </c>
      <c r="M11" s="42" t="s">
        <v>32</v>
      </c>
      <c r="N11" s="40" t="s">
        <v>33</v>
      </c>
      <c r="O11" s="115" t="s">
        <v>601</v>
      </c>
      <c r="P11" s="184"/>
      <c r="Q11" s="184"/>
      <c r="R11" s="184"/>
      <c r="S11" s="184"/>
      <c r="T11" s="184"/>
      <c r="U11" s="184"/>
      <c r="V11" s="184"/>
      <c r="W11" s="184"/>
      <c r="X11" s="184"/>
      <c r="Y11" s="184"/>
      <c r="Z11" s="184"/>
      <c r="AA11" s="184"/>
    </row>
    <row r="12">
      <c r="A12" s="180">
        <v>11.0</v>
      </c>
      <c r="B12" s="93" t="s">
        <v>539</v>
      </c>
      <c r="C12" s="181"/>
      <c r="D12" s="182">
        <v>46146.0</v>
      </c>
      <c r="E12" s="93" t="s">
        <v>546</v>
      </c>
      <c r="F12" s="108" t="s">
        <v>450</v>
      </c>
      <c r="G12" s="108" t="s">
        <v>602</v>
      </c>
      <c r="H12" s="93">
        <v>9.769938116E9</v>
      </c>
      <c r="I12" s="108" t="s">
        <v>603</v>
      </c>
      <c r="J12" s="108" t="s">
        <v>604</v>
      </c>
      <c r="K12" s="108" t="s">
        <v>605</v>
      </c>
      <c r="L12" s="108" t="s">
        <v>600</v>
      </c>
      <c r="M12" s="42" t="s">
        <v>32</v>
      </c>
      <c r="N12" s="40" t="s">
        <v>33</v>
      </c>
      <c r="O12" s="183" t="s">
        <v>606</v>
      </c>
      <c r="P12" s="184"/>
      <c r="Q12" s="184"/>
      <c r="R12" s="184"/>
      <c r="S12" s="184"/>
      <c r="T12" s="184"/>
      <c r="U12" s="184"/>
      <c r="V12" s="184"/>
      <c r="W12" s="184"/>
      <c r="X12" s="184"/>
      <c r="Y12" s="184"/>
      <c r="Z12" s="184"/>
      <c r="AA12" s="184"/>
    </row>
    <row r="13">
      <c r="A13" s="181"/>
      <c r="B13" s="181"/>
      <c r="C13" s="181"/>
      <c r="D13" s="185">
        <v>46143.0</v>
      </c>
      <c r="E13" s="93" t="s">
        <v>546</v>
      </c>
      <c r="F13" s="108" t="s">
        <v>292</v>
      </c>
      <c r="G13" s="108" t="s">
        <v>394</v>
      </c>
      <c r="H13" s="108">
        <v>9.820621378E9</v>
      </c>
      <c r="I13" s="108" t="s">
        <v>598</v>
      </c>
      <c r="J13" s="108" t="s">
        <v>396</v>
      </c>
      <c r="K13" s="108" t="s">
        <v>599</v>
      </c>
      <c r="L13" s="181"/>
      <c r="M13" s="181"/>
      <c r="N13" s="181"/>
      <c r="O13" s="115" t="s">
        <v>607</v>
      </c>
      <c r="P13" s="181"/>
      <c r="Q13" s="181"/>
      <c r="R13" s="181"/>
      <c r="S13" s="181"/>
      <c r="T13" s="181"/>
      <c r="U13" s="181"/>
      <c r="V13" s="181"/>
      <c r="W13" s="181"/>
      <c r="X13" s="181"/>
      <c r="Y13" s="181"/>
      <c r="Z13" s="181"/>
      <c r="AA13" s="181"/>
    </row>
    <row r="14">
      <c r="A14" s="184"/>
      <c r="B14" s="184"/>
      <c r="C14" s="184"/>
      <c r="D14" s="184"/>
      <c r="E14" s="184"/>
      <c r="F14" s="184"/>
      <c r="G14" s="184"/>
      <c r="H14" s="184"/>
      <c r="I14" s="184"/>
      <c r="J14" s="184"/>
      <c r="K14" s="184"/>
      <c r="L14" s="184"/>
      <c r="M14" s="184"/>
      <c r="N14" s="184"/>
      <c r="O14" s="184"/>
      <c r="P14" s="184"/>
      <c r="Q14" s="184"/>
      <c r="R14" s="184"/>
      <c r="S14" s="184"/>
      <c r="T14" s="184"/>
      <c r="U14" s="184"/>
      <c r="V14" s="184"/>
      <c r="W14" s="184"/>
      <c r="X14" s="184"/>
      <c r="Y14" s="184"/>
      <c r="Z14" s="184"/>
      <c r="AA14" s="184"/>
    </row>
    <row r="15">
      <c r="A15" s="184"/>
      <c r="B15" s="184"/>
      <c r="C15" s="184"/>
      <c r="D15" s="184"/>
      <c r="E15" s="184"/>
      <c r="F15" s="184"/>
      <c r="G15" s="184"/>
      <c r="H15" s="184"/>
      <c r="I15" s="184"/>
      <c r="J15" s="184"/>
      <c r="K15" s="184"/>
      <c r="L15" s="184"/>
      <c r="M15" s="184"/>
      <c r="N15" s="184"/>
      <c r="O15" s="184"/>
      <c r="P15" s="184"/>
      <c r="Q15" s="184"/>
      <c r="R15" s="184"/>
      <c r="S15" s="184"/>
      <c r="T15" s="184"/>
      <c r="U15" s="184"/>
      <c r="V15" s="184"/>
      <c r="W15" s="184"/>
      <c r="X15" s="184"/>
      <c r="Y15" s="184"/>
      <c r="Z15" s="184"/>
      <c r="AA15" s="184"/>
    </row>
    <row r="16">
      <c r="A16" s="184"/>
      <c r="B16" s="184"/>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row>
    <row r="17">
      <c r="A17" s="184"/>
      <c r="B17" s="184"/>
      <c r="C17" s="184"/>
      <c r="D17" s="184"/>
      <c r="E17" s="184"/>
      <c r="F17" s="184"/>
      <c r="G17" s="184"/>
      <c r="H17" s="184"/>
      <c r="I17" s="184"/>
      <c r="J17" s="184"/>
      <c r="K17" s="184"/>
      <c r="L17" s="184"/>
      <c r="M17" s="184"/>
      <c r="N17" s="184"/>
      <c r="O17" s="184"/>
      <c r="P17" s="184"/>
      <c r="Q17" s="184"/>
      <c r="R17" s="184"/>
      <c r="S17" s="184"/>
      <c r="T17" s="184"/>
      <c r="U17" s="184"/>
      <c r="V17" s="184"/>
      <c r="W17" s="184"/>
      <c r="X17" s="184"/>
      <c r="Y17" s="184"/>
      <c r="Z17" s="184"/>
      <c r="AA17" s="184"/>
    </row>
    <row r="18">
      <c r="A18" s="184"/>
      <c r="B18" s="184"/>
      <c r="C18" s="184"/>
      <c r="D18" s="184"/>
      <c r="E18" s="184"/>
      <c r="F18" s="184"/>
      <c r="G18" s="184"/>
      <c r="H18" s="184"/>
      <c r="I18" s="184"/>
      <c r="J18" s="184"/>
      <c r="K18" s="184"/>
      <c r="L18" s="184"/>
      <c r="M18" s="184"/>
      <c r="N18" s="184"/>
      <c r="O18" s="184"/>
      <c r="P18" s="184"/>
      <c r="Q18" s="184"/>
      <c r="R18" s="184"/>
      <c r="S18" s="184"/>
      <c r="T18" s="184"/>
      <c r="U18" s="184"/>
      <c r="V18" s="184"/>
      <c r="W18" s="184"/>
      <c r="X18" s="184"/>
      <c r="Y18" s="184"/>
      <c r="Z18" s="184"/>
      <c r="AA18" s="184"/>
    </row>
    <row r="19">
      <c r="A19" s="184"/>
      <c r="B19" s="184"/>
      <c r="C19" s="184"/>
      <c r="D19" s="184"/>
      <c r="E19" s="184"/>
      <c r="F19" s="184"/>
      <c r="G19" s="184"/>
      <c r="H19" s="184"/>
      <c r="I19" s="184"/>
      <c r="J19" s="184"/>
      <c r="K19" s="184"/>
      <c r="L19" s="184"/>
      <c r="M19" s="184"/>
      <c r="N19" s="184"/>
      <c r="O19" s="184"/>
      <c r="P19" s="184"/>
      <c r="Q19" s="184"/>
      <c r="R19" s="184"/>
      <c r="S19" s="184"/>
      <c r="T19" s="184"/>
      <c r="U19" s="184"/>
      <c r="V19" s="184"/>
      <c r="W19" s="184"/>
      <c r="X19" s="184"/>
      <c r="Y19" s="184"/>
      <c r="Z19" s="184"/>
      <c r="AA19" s="184"/>
    </row>
    <row r="20">
      <c r="A20" s="184"/>
      <c r="B20" s="184"/>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c r="AA20" s="184"/>
    </row>
    <row r="21">
      <c r="A21" s="184"/>
      <c r="B21" s="184"/>
      <c r="C21" s="184"/>
      <c r="D21" s="184"/>
      <c r="E21" s="184"/>
      <c r="F21" s="184"/>
      <c r="G21" s="184"/>
      <c r="H21" s="184"/>
      <c r="I21" s="184"/>
      <c r="J21" s="184"/>
      <c r="K21" s="184"/>
      <c r="L21" s="184"/>
      <c r="M21" s="184"/>
      <c r="N21" s="184"/>
      <c r="O21" s="184"/>
      <c r="P21" s="184"/>
      <c r="Q21" s="184"/>
      <c r="R21" s="184"/>
      <c r="S21" s="184"/>
      <c r="T21" s="184"/>
      <c r="U21" s="184"/>
      <c r="V21" s="184"/>
      <c r="W21" s="184"/>
      <c r="X21" s="184"/>
      <c r="Y21" s="184"/>
      <c r="Z21" s="184"/>
      <c r="AA21" s="184"/>
    </row>
    <row r="22">
      <c r="A22" s="184"/>
      <c r="B22" s="184"/>
      <c r="C22" s="184"/>
      <c r="D22" s="184"/>
      <c r="E22" s="184"/>
      <c r="F22" s="184"/>
      <c r="G22" s="184"/>
      <c r="H22" s="184"/>
      <c r="I22" s="184"/>
      <c r="J22" s="184"/>
      <c r="K22" s="184"/>
      <c r="L22" s="184"/>
      <c r="M22" s="184"/>
      <c r="N22" s="184"/>
      <c r="O22" s="184"/>
      <c r="P22" s="184"/>
      <c r="Q22" s="184"/>
      <c r="R22" s="184"/>
      <c r="S22" s="184"/>
      <c r="T22" s="184"/>
      <c r="U22" s="184"/>
      <c r="V22" s="184"/>
      <c r="W22" s="184"/>
      <c r="X22" s="184"/>
      <c r="Y22" s="184"/>
      <c r="Z22" s="184"/>
      <c r="AA22" s="184"/>
    </row>
    <row r="23">
      <c r="A23" s="184"/>
      <c r="B23" s="184"/>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row>
  </sheetData>
  <dataValidations>
    <dataValidation type="list" allowBlank="1" showErrorMessage="1" sqref="M4:M6 M8:M12">
      <formula1>"Done,Pending"</formula1>
    </dataValidation>
    <dataValidation type="list" allowBlank="1" sqref="N4:N6 N8:N12">
      <formula1>"Cold,Hot,Warm,Lost,Hold,Closed"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13" max="13" width="89.88"/>
  </cols>
  <sheetData>
    <row r="1">
      <c r="A1" s="186"/>
      <c r="B1" s="187" t="s">
        <v>9</v>
      </c>
      <c r="C1" s="188" t="s">
        <v>12</v>
      </c>
      <c r="D1" s="188" t="s">
        <v>6</v>
      </c>
      <c r="E1" s="189" t="s">
        <v>608</v>
      </c>
      <c r="F1" s="190" t="s">
        <v>17</v>
      </c>
      <c r="G1" s="189" t="s">
        <v>18</v>
      </c>
      <c r="H1" s="189" t="s">
        <v>19</v>
      </c>
      <c r="I1" s="189" t="s">
        <v>20</v>
      </c>
      <c r="J1" s="189" t="s">
        <v>21</v>
      </c>
      <c r="K1" s="189" t="s">
        <v>22</v>
      </c>
      <c r="L1" s="189" t="s">
        <v>23</v>
      </c>
      <c r="M1" s="190" t="s">
        <v>13</v>
      </c>
    </row>
    <row r="2">
      <c r="A2" s="191">
        <v>1.0</v>
      </c>
      <c r="B2" s="192" t="s">
        <v>609</v>
      </c>
      <c r="C2" s="193" t="s">
        <v>46</v>
      </c>
      <c r="D2" s="194">
        <v>46172.0</v>
      </c>
      <c r="E2" s="195" t="s">
        <v>610</v>
      </c>
      <c r="F2" s="196" t="s">
        <v>313</v>
      </c>
      <c r="G2" s="195" t="s">
        <v>611</v>
      </c>
      <c r="H2" s="195">
        <v>9.820903164E9</v>
      </c>
      <c r="I2" s="195" t="s">
        <v>612</v>
      </c>
      <c r="J2" s="195" t="s">
        <v>613</v>
      </c>
      <c r="K2" s="195" t="s">
        <v>614</v>
      </c>
      <c r="L2" s="195" t="s">
        <v>615</v>
      </c>
      <c r="M2" s="190" t="s">
        <v>616</v>
      </c>
    </row>
    <row r="3">
      <c r="A3" s="197">
        <v>2.0</v>
      </c>
      <c r="B3" s="192" t="s">
        <v>609</v>
      </c>
      <c r="C3" s="193" t="s">
        <v>617</v>
      </c>
      <c r="D3" s="194">
        <v>46172.0</v>
      </c>
      <c r="E3" s="195" t="s">
        <v>610</v>
      </c>
      <c r="F3" s="196" t="s">
        <v>618</v>
      </c>
      <c r="G3" s="195" t="s">
        <v>619</v>
      </c>
      <c r="H3" s="195">
        <v>9.699433617E9</v>
      </c>
      <c r="I3" s="195" t="s">
        <v>620</v>
      </c>
      <c r="J3" s="198"/>
      <c r="K3" s="195" t="s">
        <v>621</v>
      </c>
      <c r="L3" s="199">
        <v>46042.0</v>
      </c>
      <c r="M3" s="190" t="s">
        <v>622</v>
      </c>
    </row>
    <row r="4">
      <c r="A4" s="197">
        <v>3.0</v>
      </c>
      <c r="B4" s="192" t="s">
        <v>609</v>
      </c>
      <c r="C4" s="193" t="s">
        <v>80</v>
      </c>
      <c r="D4" s="194">
        <v>46172.0</v>
      </c>
      <c r="E4" s="195" t="s">
        <v>610</v>
      </c>
      <c r="F4" s="196" t="s">
        <v>623</v>
      </c>
      <c r="G4" s="195" t="s">
        <v>624</v>
      </c>
      <c r="H4" s="195">
        <v>9.021400453E9</v>
      </c>
      <c r="I4" s="195" t="s">
        <v>625</v>
      </c>
      <c r="J4" s="195" t="s">
        <v>626</v>
      </c>
      <c r="K4" s="195" t="s">
        <v>627</v>
      </c>
      <c r="L4" s="199">
        <v>46042.0</v>
      </c>
      <c r="M4" s="190" t="s">
        <v>628</v>
      </c>
    </row>
    <row r="5">
      <c r="A5" s="200">
        <v>4.0</v>
      </c>
      <c r="B5" s="192" t="s">
        <v>609</v>
      </c>
      <c r="C5" s="193" t="s">
        <v>46</v>
      </c>
      <c r="D5" s="194">
        <v>46172.0</v>
      </c>
      <c r="E5" s="195" t="s">
        <v>610</v>
      </c>
      <c r="F5" s="196" t="s">
        <v>629</v>
      </c>
      <c r="G5" s="195" t="s">
        <v>630</v>
      </c>
      <c r="H5" s="195">
        <v>8.329408537E9</v>
      </c>
      <c r="I5" s="195" t="s">
        <v>631</v>
      </c>
      <c r="J5" s="195" t="s">
        <v>632</v>
      </c>
      <c r="K5" s="195" t="s">
        <v>633</v>
      </c>
      <c r="L5" s="199">
        <v>46056.0</v>
      </c>
      <c r="M5" s="190" t="s">
        <v>634</v>
      </c>
    </row>
    <row r="6">
      <c r="A6" s="200">
        <v>5.0</v>
      </c>
      <c r="B6" s="192" t="s">
        <v>609</v>
      </c>
      <c r="C6" s="193" t="s">
        <v>33</v>
      </c>
      <c r="D6" s="194">
        <v>46172.0</v>
      </c>
      <c r="E6" s="195" t="s">
        <v>610</v>
      </c>
      <c r="F6" s="196" t="s">
        <v>635</v>
      </c>
      <c r="G6" s="195" t="s">
        <v>636</v>
      </c>
      <c r="H6" s="195">
        <v>9.619635321E9</v>
      </c>
      <c r="I6" s="195" t="s">
        <v>637</v>
      </c>
      <c r="J6" s="195" t="s">
        <v>390</v>
      </c>
      <c r="K6" s="195" t="s">
        <v>638</v>
      </c>
      <c r="L6" s="199">
        <v>46042.0</v>
      </c>
      <c r="M6" s="190" t="s">
        <v>639</v>
      </c>
    </row>
    <row r="7">
      <c r="A7" s="200">
        <v>6.0</v>
      </c>
      <c r="B7" s="192" t="s">
        <v>609</v>
      </c>
      <c r="C7" s="193" t="s">
        <v>617</v>
      </c>
      <c r="D7" s="194">
        <v>46172.0</v>
      </c>
      <c r="E7" s="195" t="s">
        <v>610</v>
      </c>
      <c r="F7" s="196" t="s">
        <v>640</v>
      </c>
      <c r="G7" s="195" t="s">
        <v>641</v>
      </c>
      <c r="H7" s="195">
        <v>8.898874884E9</v>
      </c>
      <c r="I7" s="195" t="s">
        <v>642</v>
      </c>
      <c r="J7" s="195" t="s">
        <v>626</v>
      </c>
      <c r="K7" s="195" t="s">
        <v>643</v>
      </c>
      <c r="L7" s="195" t="s">
        <v>644</v>
      </c>
      <c r="M7" s="190" t="s">
        <v>645</v>
      </c>
    </row>
    <row r="8">
      <c r="A8" s="200">
        <v>7.0</v>
      </c>
      <c r="B8" s="192" t="s">
        <v>609</v>
      </c>
      <c r="C8" s="193" t="s">
        <v>46</v>
      </c>
      <c r="D8" s="194">
        <v>46172.0</v>
      </c>
      <c r="E8" s="195" t="s">
        <v>610</v>
      </c>
      <c r="F8" s="196" t="s">
        <v>646</v>
      </c>
      <c r="G8" s="195" t="s">
        <v>647</v>
      </c>
      <c r="H8" s="195">
        <v>9.833866629E9</v>
      </c>
      <c r="I8" s="195" t="s">
        <v>648</v>
      </c>
      <c r="J8" s="195" t="s">
        <v>649</v>
      </c>
      <c r="K8" s="195" t="s">
        <v>650</v>
      </c>
      <c r="L8" s="195" t="s">
        <v>651</v>
      </c>
      <c r="M8" s="190" t="s">
        <v>652</v>
      </c>
    </row>
    <row r="9">
      <c r="A9" s="200">
        <v>8.0</v>
      </c>
      <c r="B9" s="192" t="s">
        <v>609</v>
      </c>
      <c r="C9" s="193" t="s">
        <v>46</v>
      </c>
      <c r="D9" s="194">
        <v>46174.0</v>
      </c>
      <c r="E9" s="195" t="s">
        <v>610</v>
      </c>
      <c r="F9" s="196" t="s">
        <v>653</v>
      </c>
      <c r="G9" s="195" t="s">
        <v>654</v>
      </c>
      <c r="H9" s="195">
        <v>9.819123769E9</v>
      </c>
      <c r="I9" s="195" t="s">
        <v>655</v>
      </c>
      <c r="J9" s="198"/>
      <c r="K9" s="195" t="s">
        <v>656</v>
      </c>
      <c r="L9" s="199">
        <v>46042.0</v>
      </c>
      <c r="M9" s="190" t="s">
        <v>657</v>
      </c>
    </row>
    <row r="10">
      <c r="A10" s="200">
        <v>9.0</v>
      </c>
      <c r="B10" s="192" t="s">
        <v>609</v>
      </c>
      <c r="C10" s="193" t="s">
        <v>154</v>
      </c>
      <c r="D10" s="194">
        <v>46174.0</v>
      </c>
      <c r="E10" s="195" t="s">
        <v>610</v>
      </c>
      <c r="F10" s="196" t="s">
        <v>658</v>
      </c>
      <c r="G10" s="195" t="s">
        <v>659</v>
      </c>
      <c r="H10" s="195">
        <v>7.304023053E9</v>
      </c>
      <c r="I10" s="195" t="s">
        <v>660</v>
      </c>
      <c r="J10" s="198"/>
      <c r="K10" s="195" t="s">
        <v>661</v>
      </c>
      <c r="L10" s="199">
        <v>46042.0</v>
      </c>
      <c r="M10" s="190" t="s">
        <v>662</v>
      </c>
    </row>
    <row r="11">
      <c r="A11" s="200">
        <v>10.0</v>
      </c>
      <c r="B11" s="192" t="s">
        <v>609</v>
      </c>
      <c r="C11" s="193" t="s">
        <v>33</v>
      </c>
      <c r="D11" s="194">
        <v>46174.0</v>
      </c>
      <c r="E11" s="195" t="s">
        <v>610</v>
      </c>
      <c r="F11" s="196" t="s">
        <v>663</v>
      </c>
      <c r="G11" s="195" t="s">
        <v>664</v>
      </c>
      <c r="H11" s="195">
        <v>9.594769942E9</v>
      </c>
      <c r="I11" s="195" t="s">
        <v>665</v>
      </c>
      <c r="J11" s="195" t="s">
        <v>666</v>
      </c>
      <c r="K11" s="195" t="s">
        <v>667</v>
      </c>
      <c r="L11" s="199">
        <v>46042.0</v>
      </c>
      <c r="M11" s="190" t="s">
        <v>668</v>
      </c>
    </row>
    <row r="12">
      <c r="A12" s="200">
        <v>11.0</v>
      </c>
      <c r="B12" s="192" t="s">
        <v>609</v>
      </c>
      <c r="C12" s="193" t="s">
        <v>33</v>
      </c>
      <c r="D12" s="194">
        <v>46174.0</v>
      </c>
      <c r="E12" s="195" t="s">
        <v>610</v>
      </c>
      <c r="F12" s="196" t="s">
        <v>669</v>
      </c>
      <c r="G12" s="195" t="s">
        <v>636</v>
      </c>
      <c r="H12" s="195">
        <v>8.104653285E9</v>
      </c>
      <c r="I12" s="195" t="s">
        <v>670</v>
      </c>
      <c r="J12" s="195" t="s">
        <v>671</v>
      </c>
      <c r="K12" s="195" t="s">
        <v>672</v>
      </c>
      <c r="L12" s="199">
        <v>46042.0</v>
      </c>
      <c r="M12" s="190" t="s">
        <v>673</v>
      </c>
    </row>
    <row r="13">
      <c r="A13" s="200">
        <v>12.0</v>
      </c>
      <c r="B13" s="192" t="s">
        <v>609</v>
      </c>
      <c r="C13" s="193" t="s">
        <v>617</v>
      </c>
      <c r="D13" s="194">
        <v>46174.0</v>
      </c>
      <c r="E13" s="195" t="s">
        <v>610</v>
      </c>
      <c r="F13" s="196" t="s">
        <v>623</v>
      </c>
      <c r="G13" s="195" t="s">
        <v>674</v>
      </c>
      <c r="H13" s="195">
        <v>9.665858463E9</v>
      </c>
      <c r="I13" s="195" t="s">
        <v>675</v>
      </c>
      <c r="J13" s="195" t="s">
        <v>626</v>
      </c>
      <c r="K13" s="195" t="s">
        <v>676</v>
      </c>
      <c r="L13" s="199">
        <v>46042.0</v>
      </c>
      <c r="M13" s="190" t="s">
        <v>677</v>
      </c>
    </row>
    <row r="14">
      <c r="A14" s="200">
        <v>13.0</v>
      </c>
      <c r="B14" s="192" t="s">
        <v>609</v>
      </c>
      <c r="C14" s="193" t="s">
        <v>80</v>
      </c>
      <c r="D14" s="194">
        <v>46174.0</v>
      </c>
      <c r="E14" s="195" t="s">
        <v>610</v>
      </c>
      <c r="F14" s="196" t="s">
        <v>678</v>
      </c>
      <c r="G14" s="195" t="s">
        <v>679</v>
      </c>
      <c r="H14" s="195">
        <v>7.567302578E9</v>
      </c>
      <c r="I14" s="195" t="s">
        <v>680</v>
      </c>
      <c r="J14" s="195" t="s">
        <v>681</v>
      </c>
      <c r="K14" s="195" t="s">
        <v>682</v>
      </c>
      <c r="L14" s="199">
        <v>46042.0</v>
      </c>
      <c r="M14" s="190" t="s">
        <v>683</v>
      </c>
    </row>
    <row r="15">
      <c r="A15" s="200">
        <v>14.0</v>
      </c>
      <c r="B15" s="192" t="s">
        <v>609</v>
      </c>
      <c r="C15" s="193" t="s">
        <v>33</v>
      </c>
      <c r="D15" s="194">
        <v>46174.0</v>
      </c>
      <c r="E15" s="195" t="s">
        <v>610</v>
      </c>
      <c r="F15" s="196" t="s">
        <v>684</v>
      </c>
      <c r="G15" s="195" t="s">
        <v>685</v>
      </c>
      <c r="H15" s="195">
        <v>8.082522595E9</v>
      </c>
      <c r="I15" s="195" t="s">
        <v>686</v>
      </c>
      <c r="J15" s="195" t="s">
        <v>687</v>
      </c>
      <c r="K15" s="195" t="s">
        <v>688</v>
      </c>
      <c r="L15" s="195" t="s">
        <v>651</v>
      </c>
      <c r="M15" s="190" t="s">
        <v>689</v>
      </c>
    </row>
    <row r="16">
      <c r="A16" s="200">
        <v>15.0</v>
      </c>
      <c r="B16" s="192" t="s">
        <v>609</v>
      </c>
      <c r="C16" s="193" t="s">
        <v>80</v>
      </c>
      <c r="D16" s="194">
        <v>46174.0</v>
      </c>
      <c r="E16" s="195" t="s">
        <v>610</v>
      </c>
      <c r="F16" s="196" t="s">
        <v>690</v>
      </c>
      <c r="G16" s="195" t="s">
        <v>691</v>
      </c>
      <c r="H16" s="195">
        <v>8.960565249E9</v>
      </c>
      <c r="I16" s="195" t="s">
        <v>692</v>
      </c>
      <c r="J16" s="195"/>
      <c r="K16" s="195" t="s">
        <v>693</v>
      </c>
      <c r="L16" s="195" t="s">
        <v>694</v>
      </c>
      <c r="M16" s="190" t="s">
        <v>695</v>
      </c>
    </row>
    <row r="17">
      <c r="A17" s="200">
        <v>16.0</v>
      </c>
      <c r="B17" s="192" t="s">
        <v>609</v>
      </c>
      <c r="C17" s="193" t="s">
        <v>617</v>
      </c>
      <c r="D17" s="194">
        <v>46174.0</v>
      </c>
      <c r="E17" s="195" t="s">
        <v>610</v>
      </c>
      <c r="F17" s="196" t="s">
        <v>696</v>
      </c>
      <c r="G17" s="195" t="s">
        <v>697</v>
      </c>
      <c r="H17" s="195">
        <v>9.022579414E9</v>
      </c>
      <c r="I17" s="195" t="s">
        <v>698</v>
      </c>
      <c r="J17" s="195" t="s">
        <v>77</v>
      </c>
      <c r="K17" s="195" t="s">
        <v>699</v>
      </c>
      <c r="L17" s="199">
        <v>46042.0</v>
      </c>
      <c r="M17" s="190" t="s">
        <v>700</v>
      </c>
    </row>
    <row r="18">
      <c r="A18" s="200">
        <v>17.0</v>
      </c>
      <c r="B18" s="192" t="s">
        <v>609</v>
      </c>
      <c r="C18" s="193" t="s">
        <v>617</v>
      </c>
      <c r="D18" s="194">
        <v>46174.0</v>
      </c>
      <c r="E18" s="195" t="s">
        <v>610</v>
      </c>
      <c r="F18" s="196" t="s">
        <v>701</v>
      </c>
      <c r="G18" s="195" t="s">
        <v>702</v>
      </c>
      <c r="H18" s="195">
        <v>9.004353218E9</v>
      </c>
      <c r="I18" s="195" t="s">
        <v>703</v>
      </c>
      <c r="J18" s="195" t="s">
        <v>666</v>
      </c>
      <c r="K18" s="195" t="s">
        <v>704</v>
      </c>
      <c r="L18" s="199">
        <v>46148.0</v>
      </c>
      <c r="M18" s="190" t="s">
        <v>705</v>
      </c>
    </row>
    <row r="19">
      <c r="A19" s="200">
        <v>18.0</v>
      </c>
      <c r="B19" s="192" t="s">
        <v>609</v>
      </c>
      <c r="C19" s="193" t="s">
        <v>46</v>
      </c>
      <c r="D19" s="194">
        <v>46174.0</v>
      </c>
      <c r="E19" s="195" t="s">
        <v>610</v>
      </c>
      <c r="F19" s="196" t="s">
        <v>706</v>
      </c>
      <c r="G19" s="195" t="s">
        <v>707</v>
      </c>
      <c r="H19" s="195">
        <v>9.545887669E9</v>
      </c>
      <c r="I19" s="195" t="s">
        <v>708</v>
      </c>
      <c r="J19" s="198"/>
      <c r="K19" s="195" t="s">
        <v>709</v>
      </c>
      <c r="L19" s="195" t="s">
        <v>710</v>
      </c>
      <c r="M19" s="190" t="s">
        <v>711</v>
      </c>
    </row>
  </sheetData>
  <dataValidations>
    <dataValidation type="list" allowBlank="1" sqref="C2:C19">
      <formula1>"Cold,Hot,Warm,Lost,Hold,Closed,Not responsive "</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8" max="8" width="17.0"/>
    <col customWidth="1" min="10" max="10" width="25.5"/>
    <col customWidth="1" min="11" max="11" width="20.63"/>
    <col customWidth="1" min="12" max="12" width="29.88"/>
    <col customWidth="1" min="13" max="13" width="25.0"/>
    <col customWidth="1" min="14" max="14" width="75.0"/>
  </cols>
  <sheetData>
    <row r="1">
      <c r="A1" s="186" t="s">
        <v>15</v>
      </c>
      <c r="B1" s="187" t="s">
        <v>9</v>
      </c>
      <c r="C1" s="188" t="s">
        <v>12</v>
      </c>
      <c r="D1" s="188" t="s">
        <v>712</v>
      </c>
      <c r="E1" s="188" t="s">
        <v>6</v>
      </c>
      <c r="F1" s="189" t="s">
        <v>608</v>
      </c>
      <c r="G1" s="190" t="s">
        <v>17</v>
      </c>
      <c r="H1" s="189" t="s">
        <v>18</v>
      </c>
      <c r="I1" s="189" t="s">
        <v>19</v>
      </c>
      <c r="J1" s="189" t="s">
        <v>20</v>
      </c>
      <c r="K1" s="189" t="s">
        <v>21</v>
      </c>
      <c r="L1" s="189" t="s">
        <v>22</v>
      </c>
      <c r="M1" s="189" t="s">
        <v>23</v>
      </c>
      <c r="N1" s="190" t="s">
        <v>13</v>
      </c>
      <c r="O1" s="201"/>
      <c r="P1" s="201"/>
      <c r="Q1" s="201"/>
      <c r="R1" s="201"/>
      <c r="S1" s="201"/>
      <c r="T1" s="201"/>
      <c r="U1" s="201"/>
      <c r="V1" s="201"/>
      <c r="W1" s="201"/>
      <c r="X1" s="201"/>
      <c r="Y1" s="201"/>
      <c r="Z1" s="201"/>
    </row>
    <row r="2" ht="62.25" customHeight="1">
      <c r="A2" s="191">
        <v>1.0</v>
      </c>
      <c r="B2" s="192" t="s">
        <v>713</v>
      </c>
      <c r="C2" s="193" t="s">
        <v>154</v>
      </c>
      <c r="D2" s="193" t="s">
        <v>714</v>
      </c>
      <c r="E2" s="194">
        <v>46131.0</v>
      </c>
      <c r="F2" s="195" t="s">
        <v>610</v>
      </c>
      <c r="G2" s="196" t="s">
        <v>715</v>
      </c>
      <c r="H2" s="195" t="s">
        <v>293</v>
      </c>
      <c r="I2" s="195">
        <v>9.821511126E9</v>
      </c>
      <c r="J2" s="195" t="s">
        <v>716</v>
      </c>
      <c r="K2" s="195" t="s">
        <v>717</v>
      </c>
      <c r="L2" s="195" t="s">
        <v>718</v>
      </c>
      <c r="M2" s="195" t="s">
        <v>719</v>
      </c>
      <c r="N2" s="190" t="s">
        <v>720</v>
      </c>
      <c r="O2" s="201"/>
      <c r="P2" s="201"/>
      <c r="Q2" s="201"/>
      <c r="R2" s="201"/>
      <c r="S2" s="201"/>
      <c r="T2" s="201"/>
      <c r="U2" s="201"/>
      <c r="V2" s="201"/>
      <c r="W2" s="201"/>
      <c r="X2" s="201"/>
      <c r="Y2" s="201"/>
      <c r="Z2" s="201"/>
    </row>
    <row r="3">
      <c r="A3" s="197">
        <v>2.0</v>
      </c>
      <c r="B3" s="192" t="s">
        <v>713</v>
      </c>
      <c r="C3" s="193" t="s">
        <v>721</v>
      </c>
      <c r="D3" s="193" t="s">
        <v>714</v>
      </c>
      <c r="E3" s="194">
        <v>46131.0</v>
      </c>
      <c r="F3" s="195" t="s">
        <v>610</v>
      </c>
      <c r="G3" s="196" t="s">
        <v>722</v>
      </c>
      <c r="H3" s="195" t="s">
        <v>723</v>
      </c>
      <c r="I3" s="195" t="s">
        <v>724</v>
      </c>
      <c r="J3" s="195" t="s">
        <v>725</v>
      </c>
      <c r="K3" s="195" t="s">
        <v>726</v>
      </c>
      <c r="L3" s="195" t="s">
        <v>727</v>
      </c>
      <c r="M3" s="195" t="s">
        <v>728</v>
      </c>
      <c r="N3" s="190" t="s">
        <v>729</v>
      </c>
      <c r="O3" s="201"/>
      <c r="P3" s="201"/>
      <c r="Q3" s="201"/>
      <c r="R3" s="201"/>
      <c r="S3" s="201"/>
      <c r="T3" s="201"/>
      <c r="U3" s="201"/>
      <c r="V3" s="201"/>
      <c r="W3" s="201"/>
      <c r="X3" s="201"/>
      <c r="Y3" s="201"/>
      <c r="Z3" s="201"/>
    </row>
    <row r="4">
      <c r="A4" s="197">
        <v>3.0</v>
      </c>
      <c r="B4" s="192" t="s">
        <v>713</v>
      </c>
      <c r="C4" s="193" t="s">
        <v>95</v>
      </c>
      <c r="D4" s="193" t="s">
        <v>730</v>
      </c>
      <c r="E4" s="194">
        <v>46131.0</v>
      </c>
      <c r="F4" s="195" t="s">
        <v>610</v>
      </c>
      <c r="G4" s="196" t="s">
        <v>731</v>
      </c>
      <c r="H4" s="195" t="s">
        <v>562</v>
      </c>
      <c r="I4" s="195" t="s">
        <v>563</v>
      </c>
      <c r="J4" s="195" t="s">
        <v>564</v>
      </c>
      <c r="K4" s="195" t="s">
        <v>565</v>
      </c>
      <c r="L4" s="195" t="s">
        <v>566</v>
      </c>
      <c r="M4" s="195" t="s">
        <v>732</v>
      </c>
      <c r="N4" s="190" t="s">
        <v>733</v>
      </c>
      <c r="O4" s="201"/>
      <c r="P4" s="201"/>
      <c r="Q4" s="201"/>
      <c r="R4" s="201"/>
      <c r="S4" s="201"/>
      <c r="T4" s="201"/>
      <c r="U4" s="201"/>
      <c r="V4" s="201"/>
      <c r="W4" s="201"/>
      <c r="X4" s="201"/>
      <c r="Y4" s="201"/>
      <c r="Z4" s="201"/>
    </row>
    <row r="5">
      <c r="A5" s="197">
        <v>4.0</v>
      </c>
      <c r="B5" s="192" t="s">
        <v>713</v>
      </c>
      <c r="C5" s="193" t="s">
        <v>33</v>
      </c>
      <c r="D5" s="193" t="s">
        <v>714</v>
      </c>
      <c r="E5" s="194">
        <v>46132.0</v>
      </c>
      <c r="F5" s="195" t="s">
        <v>610</v>
      </c>
      <c r="G5" s="196" t="s">
        <v>734</v>
      </c>
      <c r="H5" s="195" t="s">
        <v>735</v>
      </c>
      <c r="I5" s="195" t="s">
        <v>736</v>
      </c>
      <c r="J5" s="195" t="s">
        <v>737</v>
      </c>
      <c r="K5" s="195" t="s">
        <v>738</v>
      </c>
      <c r="L5" s="195" t="s">
        <v>739</v>
      </c>
      <c r="M5" s="195" t="s">
        <v>740</v>
      </c>
      <c r="N5" s="190" t="s">
        <v>741</v>
      </c>
      <c r="O5" s="201"/>
      <c r="P5" s="201"/>
      <c r="Q5" s="201"/>
      <c r="R5" s="201"/>
      <c r="S5" s="201"/>
      <c r="T5" s="201"/>
      <c r="U5" s="201"/>
      <c r="V5" s="201"/>
      <c r="W5" s="201"/>
      <c r="X5" s="201"/>
      <c r="Y5" s="201"/>
      <c r="Z5" s="201"/>
    </row>
    <row r="6">
      <c r="A6" s="197">
        <v>5.0</v>
      </c>
      <c r="B6" s="192" t="s">
        <v>713</v>
      </c>
      <c r="C6" s="193" t="s">
        <v>33</v>
      </c>
      <c r="D6" s="193"/>
      <c r="E6" s="194">
        <v>46134.0</v>
      </c>
      <c r="F6" s="195" t="s">
        <v>610</v>
      </c>
      <c r="G6" s="196" t="s">
        <v>742</v>
      </c>
      <c r="H6" s="195" t="s">
        <v>36</v>
      </c>
      <c r="I6" s="195" t="s">
        <v>743</v>
      </c>
      <c r="J6" s="195" t="s">
        <v>744</v>
      </c>
      <c r="K6" s="195" t="s">
        <v>745</v>
      </c>
      <c r="L6" s="195" t="s">
        <v>746</v>
      </c>
      <c r="M6" s="195" t="s">
        <v>747</v>
      </c>
      <c r="N6" s="190" t="s">
        <v>748</v>
      </c>
      <c r="O6" s="201"/>
      <c r="P6" s="201"/>
      <c r="Q6" s="201"/>
      <c r="R6" s="201"/>
      <c r="S6" s="201"/>
      <c r="T6" s="201"/>
      <c r="U6" s="201"/>
      <c r="V6" s="201"/>
      <c r="W6" s="201"/>
      <c r="X6" s="201"/>
      <c r="Y6" s="201"/>
      <c r="Z6" s="201"/>
    </row>
    <row r="7">
      <c r="A7" s="197">
        <v>6.0</v>
      </c>
      <c r="B7" s="192" t="s">
        <v>713</v>
      </c>
      <c r="C7" s="193" t="s">
        <v>33</v>
      </c>
      <c r="D7" s="193"/>
      <c r="E7" s="194">
        <v>46135.0</v>
      </c>
      <c r="F7" s="195" t="s">
        <v>610</v>
      </c>
      <c r="G7" s="197" t="s">
        <v>749</v>
      </c>
      <c r="H7" s="197" t="s">
        <v>750</v>
      </c>
      <c r="I7" s="197" t="s">
        <v>751</v>
      </c>
      <c r="J7" s="197" t="s">
        <v>752</v>
      </c>
      <c r="K7" s="197" t="s">
        <v>56</v>
      </c>
      <c r="L7" s="197" t="s">
        <v>753</v>
      </c>
      <c r="M7" s="195" t="s">
        <v>747</v>
      </c>
      <c r="N7" s="202" t="s">
        <v>754</v>
      </c>
      <c r="O7" s="201"/>
      <c r="P7" s="201"/>
      <c r="Q7" s="201"/>
      <c r="R7" s="201"/>
      <c r="S7" s="201"/>
      <c r="T7" s="201"/>
      <c r="U7" s="201"/>
      <c r="V7" s="201"/>
      <c r="W7" s="201"/>
      <c r="X7" s="201"/>
      <c r="Y7" s="201"/>
      <c r="Z7" s="201"/>
    </row>
    <row r="8">
      <c r="A8" s="197">
        <v>7.0</v>
      </c>
      <c r="B8" s="192" t="s">
        <v>713</v>
      </c>
      <c r="C8" s="193" t="s">
        <v>80</v>
      </c>
      <c r="D8" s="193" t="s">
        <v>730</v>
      </c>
      <c r="E8" s="203">
        <v>46165.0</v>
      </c>
      <c r="F8" s="195" t="s">
        <v>610</v>
      </c>
      <c r="G8" s="197" t="s">
        <v>755</v>
      </c>
      <c r="H8" s="197" t="s">
        <v>756</v>
      </c>
      <c r="I8" s="197" t="s">
        <v>757</v>
      </c>
      <c r="J8" s="197" t="s">
        <v>758</v>
      </c>
      <c r="K8" s="197" t="s">
        <v>56</v>
      </c>
      <c r="L8" s="197" t="s">
        <v>759</v>
      </c>
      <c r="M8" s="197" t="s">
        <v>760</v>
      </c>
      <c r="N8" s="202" t="s">
        <v>761</v>
      </c>
      <c r="O8" s="204"/>
      <c r="P8" s="201"/>
      <c r="Q8" s="201"/>
      <c r="R8" s="201"/>
      <c r="S8" s="201"/>
      <c r="T8" s="201"/>
      <c r="U8" s="201"/>
      <c r="V8" s="201"/>
      <c r="W8" s="201"/>
      <c r="X8" s="201"/>
      <c r="Y8" s="201"/>
      <c r="Z8" s="201"/>
    </row>
    <row r="9">
      <c r="A9" s="197">
        <v>8.0</v>
      </c>
      <c r="B9" s="192" t="s">
        <v>713</v>
      </c>
      <c r="C9" s="193" t="s">
        <v>46</v>
      </c>
      <c r="D9" s="193" t="s">
        <v>730</v>
      </c>
      <c r="E9" s="203">
        <v>46166.0</v>
      </c>
      <c r="F9" s="195" t="s">
        <v>610</v>
      </c>
      <c r="G9" s="197" t="s">
        <v>762</v>
      </c>
      <c r="H9" s="197" t="s">
        <v>763</v>
      </c>
      <c r="I9" s="197">
        <v>9.7140545E9</v>
      </c>
      <c r="J9" s="197" t="s">
        <v>764</v>
      </c>
      <c r="K9" s="197" t="s">
        <v>765</v>
      </c>
      <c r="L9" s="197" t="s">
        <v>766</v>
      </c>
      <c r="M9" s="197" t="s">
        <v>767</v>
      </c>
      <c r="N9" s="202" t="s">
        <v>768</v>
      </c>
      <c r="O9" s="201"/>
      <c r="P9" s="201"/>
      <c r="Q9" s="201"/>
      <c r="R9" s="201"/>
      <c r="S9" s="201"/>
      <c r="T9" s="201"/>
      <c r="U9" s="201"/>
      <c r="V9" s="201"/>
      <c r="W9" s="201"/>
      <c r="X9" s="201"/>
      <c r="Y9" s="201"/>
      <c r="Z9" s="201"/>
    </row>
    <row r="10">
      <c r="A10" s="197">
        <v>9.0</v>
      </c>
      <c r="B10" s="192" t="s">
        <v>713</v>
      </c>
      <c r="C10" s="193" t="s">
        <v>33</v>
      </c>
      <c r="D10" s="193"/>
      <c r="E10" s="203">
        <v>46166.0</v>
      </c>
      <c r="F10" s="195" t="s">
        <v>610</v>
      </c>
      <c r="G10" s="197" t="s">
        <v>769</v>
      </c>
      <c r="H10" s="197" t="s">
        <v>770</v>
      </c>
      <c r="I10" s="197" t="s">
        <v>771</v>
      </c>
      <c r="J10" s="197" t="s">
        <v>772</v>
      </c>
      <c r="K10" s="197" t="s">
        <v>63</v>
      </c>
      <c r="L10" s="197" t="s">
        <v>773</v>
      </c>
      <c r="M10" s="197" t="s">
        <v>774</v>
      </c>
      <c r="N10" s="202" t="s">
        <v>775</v>
      </c>
      <c r="O10" s="201"/>
      <c r="P10" s="201"/>
      <c r="Q10" s="201"/>
      <c r="R10" s="201"/>
      <c r="S10" s="201"/>
      <c r="T10" s="201"/>
      <c r="U10" s="201"/>
      <c r="V10" s="201"/>
      <c r="W10" s="201"/>
      <c r="X10" s="201"/>
      <c r="Y10" s="201"/>
      <c r="Z10" s="201"/>
    </row>
    <row r="11">
      <c r="A11" s="197">
        <v>10.0</v>
      </c>
      <c r="B11" s="192" t="s">
        <v>713</v>
      </c>
      <c r="C11" s="193" t="s">
        <v>80</v>
      </c>
      <c r="D11" s="193"/>
      <c r="E11" s="203">
        <v>46167.0</v>
      </c>
      <c r="F11" s="195" t="s">
        <v>610</v>
      </c>
      <c r="G11" s="197" t="s">
        <v>487</v>
      </c>
      <c r="H11" s="197" t="s">
        <v>776</v>
      </c>
      <c r="I11" s="197">
        <v>9.823006425E9</v>
      </c>
      <c r="J11" s="197" t="s">
        <v>777</v>
      </c>
      <c r="K11" s="197" t="s">
        <v>778</v>
      </c>
      <c r="L11" s="197" t="s">
        <v>779</v>
      </c>
      <c r="M11" s="197" t="s">
        <v>780</v>
      </c>
      <c r="N11" s="202" t="s">
        <v>781</v>
      </c>
      <c r="O11" s="201"/>
      <c r="P11" s="201"/>
      <c r="Q11" s="201"/>
      <c r="R11" s="201"/>
      <c r="S11" s="201"/>
      <c r="T11" s="201"/>
      <c r="U11" s="201"/>
      <c r="V11" s="201"/>
      <c r="W11" s="201"/>
      <c r="X11" s="201"/>
      <c r="Y11" s="201"/>
      <c r="Z11" s="201"/>
    </row>
    <row r="12">
      <c r="A12" s="197">
        <v>11.0</v>
      </c>
      <c r="B12" s="192" t="s">
        <v>713</v>
      </c>
      <c r="C12" s="193" t="s">
        <v>33</v>
      </c>
      <c r="D12" s="193"/>
      <c r="E12" s="203">
        <v>46168.0</v>
      </c>
      <c r="F12" s="195" t="s">
        <v>610</v>
      </c>
      <c r="G12" s="197" t="s">
        <v>782</v>
      </c>
      <c r="H12" s="197" t="s">
        <v>783</v>
      </c>
      <c r="I12" s="197">
        <v>9.76996677E9</v>
      </c>
      <c r="J12" s="197" t="s">
        <v>784</v>
      </c>
      <c r="K12" s="197" t="s">
        <v>626</v>
      </c>
      <c r="L12" s="197" t="s">
        <v>785</v>
      </c>
      <c r="M12" s="197">
        <v>25.0</v>
      </c>
      <c r="N12" s="202" t="s">
        <v>786</v>
      </c>
      <c r="O12" s="201"/>
      <c r="P12" s="201"/>
      <c r="Q12" s="201"/>
      <c r="R12" s="201"/>
      <c r="S12" s="201"/>
      <c r="T12" s="201"/>
      <c r="U12" s="201"/>
      <c r="V12" s="201"/>
      <c r="W12" s="201"/>
      <c r="X12" s="201"/>
      <c r="Y12" s="201"/>
      <c r="Z12" s="201"/>
    </row>
    <row r="13">
      <c r="A13" s="197">
        <v>12.0</v>
      </c>
      <c r="B13" s="192" t="s">
        <v>713</v>
      </c>
      <c r="C13" s="193" t="s">
        <v>46</v>
      </c>
      <c r="D13" s="193" t="s">
        <v>730</v>
      </c>
      <c r="E13" s="203">
        <v>46169.0</v>
      </c>
      <c r="F13" s="195" t="s">
        <v>610</v>
      </c>
      <c r="G13" s="197" t="s">
        <v>787</v>
      </c>
      <c r="H13" s="197" t="s">
        <v>788</v>
      </c>
      <c r="I13" s="197" t="s">
        <v>789</v>
      </c>
      <c r="J13" s="197" t="s">
        <v>790</v>
      </c>
      <c r="K13" s="197" t="s">
        <v>408</v>
      </c>
      <c r="L13" s="197" t="s">
        <v>791</v>
      </c>
      <c r="M13" s="197" t="s">
        <v>792</v>
      </c>
      <c r="N13" s="202" t="s">
        <v>793</v>
      </c>
      <c r="O13" s="201"/>
      <c r="P13" s="201"/>
      <c r="Q13" s="201"/>
      <c r="R13" s="201"/>
      <c r="S13" s="201"/>
      <c r="T13" s="201"/>
      <c r="U13" s="201"/>
      <c r="V13" s="201"/>
      <c r="W13" s="201"/>
      <c r="X13" s="201"/>
      <c r="Y13" s="201"/>
      <c r="Z13" s="201"/>
    </row>
    <row r="14">
      <c r="A14" s="197">
        <v>13.0</v>
      </c>
      <c r="B14" s="192" t="s">
        <v>713</v>
      </c>
      <c r="C14" s="193" t="s">
        <v>80</v>
      </c>
      <c r="D14" s="193"/>
      <c r="E14" s="205">
        <v>46175.0</v>
      </c>
      <c r="F14" s="195" t="s">
        <v>610</v>
      </c>
      <c r="G14" s="197" t="s">
        <v>794</v>
      </c>
      <c r="H14" s="197" t="s">
        <v>383</v>
      </c>
      <c r="I14" s="197">
        <v>9.619773311E9</v>
      </c>
      <c r="J14" s="197" t="s">
        <v>795</v>
      </c>
      <c r="K14" s="197" t="s">
        <v>796</v>
      </c>
      <c r="L14" s="197" t="s">
        <v>797</v>
      </c>
      <c r="M14" s="197">
        <v>25.0</v>
      </c>
      <c r="N14" s="202" t="s">
        <v>798</v>
      </c>
      <c r="O14" s="201"/>
      <c r="P14" s="201"/>
      <c r="Q14" s="201"/>
      <c r="R14" s="201"/>
      <c r="S14" s="201"/>
      <c r="T14" s="201"/>
      <c r="U14" s="201"/>
      <c r="V14" s="201"/>
      <c r="W14" s="201"/>
      <c r="X14" s="201"/>
      <c r="Y14" s="201"/>
      <c r="Z14" s="201"/>
    </row>
    <row r="15">
      <c r="A15" s="197">
        <v>14.0</v>
      </c>
      <c r="B15" s="192" t="s">
        <v>713</v>
      </c>
      <c r="C15" s="193" t="s">
        <v>154</v>
      </c>
      <c r="D15" s="193" t="s">
        <v>714</v>
      </c>
      <c r="E15" s="205">
        <v>46175.0</v>
      </c>
      <c r="F15" s="195" t="s">
        <v>610</v>
      </c>
      <c r="G15" s="197" t="s">
        <v>690</v>
      </c>
      <c r="H15" s="197" t="s">
        <v>799</v>
      </c>
      <c r="I15" s="197" t="s">
        <v>800</v>
      </c>
      <c r="J15" s="197" t="s">
        <v>801</v>
      </c>
      <c r="K15" s="197" t="s">
        <v>70</v>
      </c>
      <c r="L15" s="197" t="s">
        <v>802</v>
      </c>
      <c r="M15" s="197" t="s">
        <v>803</v>
      </c>
      <c r="N15" s="202" t="s">
        <v>804</v>
      </c>
      <c r="O15" s="201"/>
      <c r="P15" s="201"/>
      <c r="Q15" s="201"/>
      <c r="R15" s="201"/>
      <c r="S15" s="201"/>
      <c r="T15" s="201"/>
      <c r="U15" s="201"/>
      <c r="V15" s="201"/>
      <c r="W15" s="201"/>
      <c r="X15" s="201"/>
      <c r="Y15" s="201"/>
      <c r="Z15" s="201"/>
    </row>
    <row r="16">
      <c r="A16" s="197">
        <v>15.0</v>
      </c>
      <c r="B16" s="192" t="s">
        <v>713</v>
      </c>
      <c r="C16" s="193" t="s">
        <v>721</v>
      </c>
      <c r="D16" s="193"/>
      <c r="E16" s="205">
        <v>46176.0</v>
      </c>
      <c r="F16" s="195" t="s">
        <v>610</v>
      </c>
      <c r="G16" s="197" t="s">
        <v>805</v>
      </c>
      <c r="H16" s="197" t="s">
        <v>806</v>
      </c>
      <c r="I16" s="197" t="s">
        <v>807</v>
      </c>
      <c r="J16" s="197" t="s">
        <v>808</v>
      </c>
      <c r="K16" s="197" t="s">
        <v>809</v>
      </c>
      <c r="L16" s="197" t="s">
        <v>810</v>
      </c>
      <c r="M16" s="197" t="s">
        <v>811</v>
      </c>
      <c r="N16" s="202" t="s">
        <v>812</v>
      </c>
      <c r="O16" s="201"/>
      <c r="P16" s="201"/>
      <c r="Q16" s="201"/>
      <c r="R16" s="201"/>
      <c r="S16" s="201"/>
      <c r="T16" s="201"/>
      <c r="U16" s="201"/>
      <c r="V16" s="201"/>
      <c r="W16" s="201"/>
      <c r="X16" s="201"/>
      <c r="Y16" s="201"/>
      <c r="Z16" s="201"/>
    </row>
    <row r="17">
      <c r="A17" s="197">
        <v>16.0</v>
      </c>
      <c r="B17" s="192" t="s">
        <v>713</v>
      </c>
      <c r="C17" s="193" t="s">
        <v>95</v>
      </c>
      <c r="D17" s="193" t="s">
        <v>730</v>
      </c>
      <c r="E17" s="205">
        <v>46177.0</v>
      </c>
      <c r="F17" s="195" t="s">
        <v>610</v>
      </c>
      <c r="G17" s="197" t="s">
        <v>813</v>
      </c>
      <c r="H17" s="197" t="s">
        <v>814</v>
      </c>
      <c r="I17" s="197">
        <v>9.820400852E9</v>
      </c>
      <c r="J17" s="197" t="s">
        <v>815</v>
      </c>
      <c r="K17" s="197" t="s">
        <v>816</v>
      </c>
      <c r="L17" s="197" t="s">
        <v>817</v>
      </c>
      <c r="M17" s="206">
        <v>46152.0</v>
      </c>
      <c r="N17" s="202" t="s">
        <v>818</v>
      </c>
      <c r="O17" s="201"/>
      <c r="P17" s="201"/>
      <c r="Q17" s="201"/>
      <c r="R17" s="201"/>
      <c r="S17" s="201"/>
      <c r="T17" s="201"/>
      <c r="U17" s="201"/>
      <c r="V17" s="201"/>
      <c r="W17" s="201"/>
      <c r="X17" s="201"/>
      <c r="Y17" s="201"/>
      <c r="Z17" s="201"/>
    </row>
    <row r="18">
      <c r="A18" s="197">
        <v>17.0</v>
      </c>
      <c r="B18" s="192" t="s">
        <v>713</v>
      </c>
      <c r="C18" s="193" t="s">
        <v>80</v>
      </c>
      <c r="D18" s="193"/>
      <c r="E18" s="205">
        <v>46178.0</v>
      </c>
      <c r="F18" s="195" t="s">
        <v>610</v>
      </c>
      <c r="G18" s="197" t="s">
        <v>819</v>
      </c>
      <c r="H18" s="197" t="s">
        <v>820</v>
      </c>
      <c r="I18" s="197" t="s">
        <v>821</v>
      </c>
      <c r="J18" s="197" t="s">
        <v>822</v>
      </c>
      <c r="K18" s="197" t="s">
        <v>816</v>
      </c>
      <c r="L18" s="197" t="s">
        <v>823</v>
      </c>
      <c r="M18" s="197" t="s">
        <v>824</v>
      </c>
      <c r="N18" s="202" t="s">
        <v>825</v>
      </c>
      <c r="O18" s="201"/>
      <c r="P18" s="201"/>
      <c r="Q18" s="201"/>
      <c r="R18" s="201"/>
      <c r="S18" s="201"/>
      <c r="T18" s="201"/>
      <c r="U18" s="201"/>
      <c r="V18" s="201"/>
      <c r="W18" s="201"/>
      <c r="X18" s="201"/>
      <c r="Y18" s="201"/>
      <c r="Z18" s="201"/>
    </row>
    <row r="19">
      <c r="A19" s="197">
        <v>18.0</v>
      </c>
      <c r="B19" s="192" t="s">
        <v>713</v>
      </c>
      <c r="C19" s="193" t="s">
        <v>154</v>
      </c>
      <c r="D19" s="193" t="s">
        <v>714</v>
      </c>
      <c r="E19" s="205">
        <v>46181.0</v>
      </c>
      <c r="F19" s="195" t="s">
        <v>610</v>
      </c>
      <c r="G19" s="197" t="s">
        <v>826</v>
      </c>
      <c r="H19" s="197" t="s">
        <v>827</v>
      </c>
      <c r="I19" s="197">
        <v>9.167685112E9</v>
      </c>
      <c r="J19" s="197" t="s">
        <v>828</v>
      </c>
      <c r="K19" s="197" t="s">
        <v>765</v>
      </c>
      <c r="L19" s="197" t="s">
        <v>829</v>
      </c>
      <c r="M19" s="197" t="s">
        <v>830</v>
      </c>
      <c r="N19" s="202" t="s">
        <v>831</v>
      </c>
      <c r="O19" s="201"/>
      <c r="P19" s="201"/>
      <c r="Q19" s="201"/>
      <c r="R19" s="201"/>
      <c r="S19" s="201"/>
      <c r="T19" s="201"/>
      <c r="U19" s="201"/>
      <c r="V19" s="201"/>
      <c r="W19" s="201"/>
      <c r="X19" s="201"/>
      <c r="Y19" s="201"/>
      <c r="Z19" s="201"/>
    </row>
    <row r="20">
      <c r="A20" s="197">
        <v>19.0</v>
      </c>
      <c r="B20" s="192" t="s">
        <v>713</v>
      </c>
      <c r="C20" s="193" t="s">
        <v>80</v>
      </c>
      <c r="D20" s="193"/>
      <c r="E20" s="205">
        <v>46181.0</v>
      </c>
      <c r="F20" s="195" t="s">
        <v>610</v>
      </c>
      <c r="G20" s="207" t="s">
        <v>832</v>
      </c>
      <c r="H20" s="208"/>
      <c r="I20" s="207">
        <v>9.867447753E9</v>
      </c>
      <c r="J20" s="207" t="s">
        <v>833</v>
      </c>
      <c r="K20" s="197" t="s">
        <v>56</v>
      </c>
      <c r="L20" s="207" t="s">
        <v>834</v>
      </c>
      <c r="M20" s="207" t="s">
        <v>512</v>
      </c>
      <c r="N20" s="202" t="s">
        <v>835</v>
      </c>
      <c r="O20" s="201"/>
      <c r="P20" s="201"/>
      <c r="Q20" s="201"/>
      <c r="R20" s="201"/>
      <c r="S20" s="201"/>
      <c r="T20" s="201"/>
      <c r="U20" s="201"/>
      <c r="V20" s="201"/>
      <c r="W20" s="201"/>
      <c r="X20" s="201"/>
      <c r="Y20" s="201"/>
      <c r="Z20" s="201"/>
    </row>
    <row r="21">
      <c r="A21" s="197">
        <v>20.0</v>
      </c>
      <c r="B21" s="192" t="s">
        <v>713</v>
      </c>
      <c r="C21" s="193" t="s">
        <v>721</v>
      </c>
      <c r="D21" s="193"/>
      <c r="E21" s="205">
        <v>46181.0</v>
      </c>
      <c r="F21" s="195" t="s">
        <v>610</v>
      </c>
      <c r="G21" s="197" t="s">
        <v>629</v>
      </c>
      <c r="H21" s="197" t="s">
        <v>836</v>
      </c>
      <c r="I21" s="207" t="s">
        <v>837</v>
      </c>
      <c r="J21" s="207" t="s">
        <v>838</v>
      </c>
      <c r="K21" s="207" t="s">
        <v>839</v>
      </c>
      <c r="L21" s="207" t="s">
        <v>840</v>
      </c>
      <c r="M21" s="207" t="s">
        <v>841</v>
      </c>
      <c r="N21" s="202" t="s">
        <v>842</v>
      </c>
      <c r="O21" s="201"/>
      <c r="P21" s="201"/>
      <c r="Q21" s="201"/>
      <c r="R21" s="201"/>
      <c r="S21" s="201"/>
      <c r="T21" s="201"/>
      <c r="U21" s="201"/>
      <c r="V21" s="201"/>
      <c r="W21" s="201"/>
      <c r="X21" s="201"/>
      <c r="Y21" s="201"/>
      <c r="Z21" s="201"/>
    </row>
    <row r="22">
      <c r="A22" s="197">
        <v>21.0</v>
      </c>
      <c r="B22" s="192" t="s">
        <v>713</v>
      </c>
      <c r="C22" s="193" t="s">
        <v>154</v>
      </c>
      <c r="D22" s="193" t="s">
        <v>714</v>
      </c>
      <c r="E22" s="205">
        <v>46181.0</v>
      </c>
      <c r="F22" s="195" t="s">
        <v>610</v>
      </c>
      <c r="G22" s="207" t="s">
        <v>843</v>
      </c>
      <c r="H22" s="207" t="s">
        <v>844</v>
      </c>
      <c r="I22" s="197">
        <v>9.820708979E9</v>
      </c>
      <c r="J22" s="207" t="s">
        <v>845</v>
      </c>
      <c r="K22" s="207" t="s">
        <v>77</v>
      </c>
      <c r="L22" s="207" t="s">
        <v>846</v>
      </c>
      <c r="M22" s="207" t="s">
        <v>847</v>
      </c>
      <c r="N22" s="202" t="s">
        <v>848</v>
      </c>
      <c r="O22" s="201"/>
      <c r="P22" s="201"/>
      <c r="Q22" s="201"/>
      <c r="R22" s="201"/>
      <c r="S22" s="201"/>
      <c r="T22" s="201"/>
      <c r="U22" s="201"/>
      <c r="V22" s="201"/>
      <c r="W22" s="201"/>
      <c r="X22" s="201"/>
      <c r="Y22" s="201"/>
      <c r="Z22" s="201"/>
    </row>
    <row r="23">
      <c r="A23" s="197">
        <v>22.0</v>
      </c>
      <c r="B23" s="192" t="s">
        <v>713</v>
      </c>
      <c r="C23" s="193" t="s">
        <v>46</v>
      </c>
      <c r="D23" s="193" t="s">
        <v>730</v>
      </c>
      <c r="E23" s="205">
        <v>46182.0</v>
      </c>
      <c r="F23" s="195" t="s">
        <v>610</v>
      </c>
      <c r="G23" s="197" t="s">
        <v>849</v>
      </c>
      <c r="H23" s="197" t="s">
        <v>850</v>
      </c>
      <c r="I23" s="207" t="s">
        <v>851</v>
      </c>
      <c r="J23" s="207" t="s">
        <v>852</v>
      </c>
      <c r="K23" s="207" t="s">
        <v>56</v>
      </c>
      <c r="L23" s="207" t="s">
        <v>853</v>
      </c>
      <c r="M23" s="207" t="s">
        <v>854</v>
      </c>
      <c r="N23" s="202" t="s">
        <v>855</v>
      </c>
      <c r="O23" s="201"/>
      <c r="P23" s="201"/>
      <c r="Q23" s="201"/>
      <c r="R23" s="201"/>
      <c r="S23" s="201"/>
      <c r="T23" s="201"/>
      <c r="U23" s="201"/>
      <c r="V23" s="201"/>
      <c r="W23" s="201"/>
      <c r="X23" s="201"/>
      <c r="Y23" s="201"/>
      <c r="Z23" s="201"/>
    </row>
    <row r="24">
      <c r="A24" s="197">
        <v>23.0</v>
      </c>
      <c r="B24" s="197" t="s">
        <v>713</v>
      </c>
      <c r="C24" s="193" t="s">
        <v>154</v>
      </c>
      <c r="D24" s="193" t="s">
        <v>714</v>
      </c>
      <c r="E24" s="203">
        <v>46184.0</v>
      </c>
      <c r="F24" s="195" t="s">
        <v>610</v>
      </c>
      <c r="G24" s="197" t="s">
        <v>856</v>
      </c>
      <c r="H24" s="197" t="s">
        <v>857</v>
      </c>
      <c r="I24" s="197">
        <v>9.810885007E9</v>
      </c>
      <c r="J24" s="197" t="s">
        <v>858</v>
      </c>
      <c r="K24" s="197" t="s">
        <v>63</v>
      </c>
      <c r="L24" s="197" t="s">
        <v>859</v>
      </c>
      <c r="M24" s="197" t="s">
        <v>860</v>
      </c>
      <c r="N24" s="202" t="s">
        <v>861</v>
      </c>
      <c r="O24" s="201"/>
      <c r="P24" s="201"/>
      <c r="Q24" s="201"/>
      <c r="R24" s="201"/>
      <c r="S24" s="201"/>
      <c r="T24" s="201"/>
      <c r="U24" s="201"/>
      <c r="V24" s="201"/>
      <c r="W24" s="201"/>
      <c r="X24" s="201"/>
      <c r="Y24" s="201"/>
      <c r="Z24" s="201"/>
    </row>
    <row r="25">
      <c r="A25" s="197">
        <v>24.0</v>
      </c>
      <c r="B25" s="197" t="s">
        <v>713</v>
      </c>
      <c r="C25" s="193" t="s">
        <v>154</v>
      </c>
      <c r="D25" s="193" t="s">
        <v>730</v>
      </c>
      <c r="E25" s="203">
        <v>46185.0</v>
      </c>
      <c r="F25" s="195" t="s">
        <v>610</v>
      </c>
      <c r="G25" s="197" t="s">
        <v>862</v>
      </c>
      <c r="H25" s="197" t="s">
        <v>863</v>
      </c>
      <c r="I25" s="197">
        <v>9.82171713E9</v>
      </c>
      <c r="J25" s="197" t="s">
        <v>864</v>
      </c>
      <c r="K25" s="197" t="s">
        <v>765</v>
      </c>
      <c r="L25" s="197" t="s">
        <v>865</v>
      </c>
      <c r="M25" s="197" t="s">
        <v>866</v>
      </c>
      <c r="N25" s="202" t="s">
        <v>867</v>
      </c>
      <c r="O25" s="201"/>
      <c r="P25" s="201"/>
      <c r="Q25" s="201"/>
      <c r="R25" s="201"/>
      <c r="S25" s="201"/>
      <c r="T25" s="201"/>
      <c r="U25" s="201"/>
      <c r="V25" s="201"/>
      <c r="W25" s="201"/>
      <c r="X25" s="201"/>
      <c r="Y25" s="201"/>
      <c r="Z25" s="201"/>
    </row>
    <row r="26">
      <c r="A26" s="197">
        <v>25.0</v>
      </c>
      <c r="B26" s="197" t="s">
        <v>713</v>
      </c>
      <c r="C26" s="193" t="s">
        <v>154</v>
      </c>
      <c r="D26" s="193" t="s">
        <v>730</v>
      </c>
      <c r="E26" s="203">
        <v>46185.0</v>
      </c>
      <c r="F26" s="195" t="s">
        <v>610</v>
      </c>
      <c r="G26" s="197" t="s">
        <v>868</v>
      </c>
      <c r="H26" s="197" t="s">
        <v>869</v>
      </c>
      <c r="I26" s="197" t="s">
        <v>870</v>
      </c>
      <c r="J26" s="197" t="s">
        <v>871</v>
      </c>
      <c r="K26" s="197" t="s">
        <v>872</v>
      </c>
      <c r="L26" s="197" t="s">
        <v>873</v>
      </c>
      <c r="M26" s="207" t="s">
        <v>512</v>
      </c>
      <c r="N26" s="202" t="s">
        <v>874</v>
      </c>
      <c r="O26" s="201"/>
      <c r="P26" s="201"/>
      <c r="Q26" s="201"/>
      <c r="R26" s="201"/>
      <c r="S26" s="201"/>
      <c r="T26" s="201"/>
      <c r="U26" s="201"/>
      <c r="V26" s="201"/>
      <c r="W26" s="201"/>
      <c r="X26" s="201"/>
      <c r="Y26" s="201"/>
      <c r="Z26" s="201"/>
    </row>
    <row r="27">
      <c r="A27" s="209"/>
      <c r="B27" s="209"/>
      <c r="C27" s="209"/>
      <c r="D27" s="209"/>
      <c r="E27" s="209"/>
      <c r="F27" s="209"/>
      <c r="G27" s="209"/>
      <c r="H27" s="209"/>
      <c r="I27" s="209"/>
      <c r="J27" s="209"/>
      <c r="K27" s="209"/>
      <c r="L27" s="209"/>
      <c r="M27" s="209"/>
      <c r="N27" s="209"/>
      <c r="O27" s="201"/>
      <c r="P27" s="201"/>
      <c r="Q27" s="201"/>
      <c r="R27" s="201"/>
      <c r="S27" s="201"/>
      <c r="T27" s="201"/>
      <c r="U27" s="201"/>
      <c r="V27" s="201"/>
      <c r="W27" s="201"/>
      <c r="X27" s="201"/>
      <c r="Y27" s="201"/>
      <c r="Z27" s="201"/>
    </row>
    <row r="28">
      <c r="A28" s="201"/>
      <c r="B28" s="201"/>
      <c r="C28" s="201"/>
      <c r="D28" s="201"/>
      <c r="E28" s="201"/>
      <c r="F28" s="201"/>
      <c r="G28" s="201"/>
      <c r="H28" s="201"/>
      <c r="I28" s="201"/>
      <c r="J28" s="201"/>
      <c r="K28" s="201"/>
      <c r="L28" s="201"/>
      <c r="M28" s="201"/>
      <c r="N28" s="201"/>
      <c r="O28" s="201"/>
      <c r="P28" s="201"/>
      <c r="Q28" s="201"/>
      <c r="R28" s="201"/>
      <c r="S28" s="201"/>
      <c r="T28" s="201"/>
      <c r="U28" s="201"/>
      <c r="V28" s="201"/>
      <c r="W28" s="201"/>
      <c r="X28" s="201"/>
      <c r="Y28" s="201"/>
      <c r="Z28" s="201"/>
    </row>
    <row r="29">
      <c r="A29" s="201"/>
      <c r="B29" s="201"/>
      <c r="C29" s="201"/>
      <c r="D29" s="201"/>
      <c r="E29" s="201"/>
      <c r="F29" s="201"/>
      <c r="G29" s="201"/>
      <c r="H29" s="201"/>
      <c r="I29" s="201"/>
      <c r="J29" s="201"/>
      <c r="K29" s="201"/>
      <c r="L29" s="201"/>
      <c r="M29" s="201"/>
      <c r="N29" s="201"/>
      <c r="O29" s="201"/>
      <c r="P29" s="201"/>
      <c r="Q29" s="201"/>
      <c r="R29" s="201"/>
      <c r="S29" s="201"/>
      <c r="T29" s="201"/>
      <c r="U29" s="201"/>
      <c r="V29" s="201"/>
      <c r="W29" s="201"/>
      <c r="X29" s="201"/>
      <c r="Y29" s="201"/>
      <c r="Z29" s="201"/>
    </row>
    <row r="30">
      <c r="A30" s="201"/>
      <c r="B30" s="201"/>
      <c r="C30" s="201"/>
      <c r="D30" s="201"/>
      <c r="E30" s="201"/>
      <c r="F30" s="201"/>
      <c r="G30" s="201"/>
      <c r="H30" s="201"/>
      <c r="I30" s="201"/>
      <c r="J30" s="201"/>
      <c r="K30" s="201"/>
      <c r="L30" s="201"/>
      <c r="M30" s="201"/>
      <c r="N30" s="201"/>
      <c r="O30" s="201"/>
      <c r="P30" s="201"/>
      <c r="Q30" s="201"/>
      <c r="R30" s="201"/>
      <c r="S30" s="201"/>
      <c r="T30" s="201"/>
      <c r="U30" s="201"/>
      <c r="V30" s="201"/>
      <c r="W30" s="201"/>
      <c r="X30" s="201"/>
      <c r="Y30" s="201"/>
      <c r="Z30" s="201"/>
    </row>
    <row r="31">
      <c r="A31" s="201"/>
      <c r="B31" s="201"/>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row>
    <row r="32">
      <c r="A32" s="201"/>
      <c r="B32" s="201"/>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row>
    <row r="33">
      <c r="A33" s="201"/>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row>
    <row r="34">
      <c r="A34" s="201"/>
      <c r="B34" s="201"/>
      <c r="C34" s="201"/>
      <c r="D34" s="201"/>
      <c r="E34" s="201"/>
      <c r="F34" s="201"/>
      <c r="G34" s="201"/>
      <c r="H34" s="201"/>
      <c r="I34" s="201"/>
      <c r="J34" s="201"/>
      <c r="K34" s="201"/>
      <c r="L34" s="201"/>
      <c r="M34" s="201"/>
      <c r="N34" s="201"/>
      <c r="O34" s="201"/>
      <c r="P34" s="201"/>
      <c r="Q34" s="201"/>
      <c r="R34" s="201"/>
      <c r="S34" s="201"/>
      <c r="T34" s="201"/>
      <c r="U34" s="201"/>
      <c r="V34" s="201"/>
      <c r="W34" s="201"/>
      <c r="X34" s="201"/>
      <c r="Y34" s="201"/>
      <c r="Z34" s="201"/>
    </row>
    <row r="35">
      <c r="A35" s="201"/>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row>
    <row r="36">
      <c r="A36" s="201"/>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row>
    <row r="37">
      <c r="A37" s="201"/>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row>
    <row r="38">
      <c r="A38" s="201"/>
      <c r="B38" s="201"/>
      <c r="C38" s="201"/>
      <c r="D38" s="201"/>
      <c r="E38" s="201"/>
      <c r="F38" s="201"/>
      <c r="G38" s="201"/>
      <c r="H38" s="201"/>
      <c r="I38" s="201"/>
      <c r="J38" s="201"/>
      <c r="K38" s="201"/>
      <c r="L38" s="201"/>
      <c r="M38" s="201"/>
      <c r="N38" s="201"/>
      <c r="O38" s="201"/>
      <c r="P38" s="201"/>
      <c r="Q38" s="201"/>
      <c r="R38" s="201"/>
      <c r="S38" s="201"/>
      <c r="T38" s="201"/>
      <c r="U38" s="201"/>
      <c r="V38" s="201"/>
      <c r="W38" s="201"/>
      <c r="X38" s="201"/>
      <c r="Y38" s="201"/>
      <c r="Z38" s="201"/>
    </row>
    <row r="39">
      <c r="A39" s="201"/>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row>
    <row r="40">
      <c r="A40" s="201"/>
      <c r="B40" s="201"/>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row>
    <row r="41">
      <c r="A41" s="201"/>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row>
    <row r="42">
      <c r="A42" s="201"/>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row>
    <row r="43">
      <c r="A43" s="201"/>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row>
    <row r="44">
      <c r="A44" s="201"/>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row>
    <row r="45">
      <c r="A45" s="201"/>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row>
    <row r="46">
      <c r="A46" s="201"/>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row>
    <row r="47">
      <c r="A47" s="201"/>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row>
    <row r="48">
      <c r="A48" s="201"/>
      <c r="B48" s="201"/>
      <c r="C48" s="201"/>
      <c r="D48" s="201"/>
      <c r="E48" s="201"/>
      <c r="F48" s="201"/>
      <c r="G48" s="201"/>
      <c r="H48" s="201"/>
      <c r="I48" s="201"/>
      <c r="J48" s="201"/>
      <c r="K48" s="201"/>
      <c r="L48" s="201"/>
      <c r="M48" s="201"/>
      <c r="N48" s="201"/>
      <c r="O48" s="201"/>
      <c r="P48" s="201"/>
      <c r="Q48" s="201"/>
      <c r="R48" s="201"/>
      <c r="S48" s="201"/>
      <c r="T48" s="201"/>
      <c r="U48" s="201"/>
      <c r="V48" s="201"/>
      <c r="W48" s="201"/>
      <c r="X48" s="201"/>
      <c r="Y48" s="201"/>
      <c r="Z48" s="201"/>
    </row>
    <row r="49">
      <c r="A49" s="201"/>
      <c r="B49" s="201"/>
      <c r="C49" s="201"/>
      <c r="D49" s="201"/>
      <c r="E49" s="201"/>
      <c r="F49" s="201"/>
      <c r="G49" s="201"/>
      <c r="H49" s="201"/>
      <c r="I49" s="201"/>
      <c r="J49" s="201"/>
      <c r="K49" s="201"/>
      <c r="L49" s="201"/>
      <c r="M49" s="201"/>
      <c r="N49" s="201"/>
      <c r="O49" s="201"/>
      <c r="P49" s="201"/>
      <c r="Q49" s="201"/>
      <c r="R49" s="201"/>
      <c r="S49" s="201"/>
      <c r="T49" s="201"/>
      <c r="U49" s="201"/>
      <c r="V49" s="201"/>
      <c r="W49" s="201"/>
      <c r="X49" s="201"/>
      <c r="Y49" s="201"/>
      <c r="Z49" s="201"/>
    </row>
    <row r="50">
      <c r="A50" s="201"/>
      <c r="B50" s="201"/>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row>
    <row r="51">
      <c r="A51" s="201"/>
      <c r="B51" s="201"/>
      <c r="C51" s="201"/>
      <c r="D51" s="201"/>
      <c r="E51" s="201"/>
      <c r="F51" s="201"/>
      <c r="G51" s="201"/>
      <c r="H51" s="201"/>
      <c r="I51" s="201"/>
      <c r="J51" s="201"/>
      <c r="K51" s="201"/>
      <c r="L51" s="201"/>
      <c r="M51" s="201"/>
      <c r="N51" s="201"/>
      <c r="O51" s="201"/>
      <c r="P51" s="201"/>
      <c r="Q51" s="201"/>
      <c r="R51" s="201"/>
      <c r="S51" s="201"/>
      <c r="T51" s="201"/>
      <c r="U51" s="201"/>
      <c r="V51" s="201"/>
      <c r="W51" s="201"/>
      <c r="X51" s="201"/>
      <c r="Y51" s="201"/>
      <c r="Z51" s="201"/>
    </row>
    <row r="52">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row>
    <row r="53">
      <c r="A53" s="201"/>
      <c r="B53" s="201"/>
      <c r="C53" s="201"/>
      <c r="D53" s="201"/>
      <c r="E53" s="201"/>
      <c r="F53" s="201"/>
      <c r="G53" s="201"/>
      <c r="H53" s="201"/>
      <c r="I53" s="201"/>
      <c r="J53" s="201"/>
      <c r="K53" s="201"/>
      <c r="L53" s="201"/>
      <c r="M53" s="201"/>
      <c r="N53" s="201"/>
      <c r="O53" s="201"/>
      <c r="P53" s="201"/>
      <c r="Q53" s="201"/>
      <c r="R53" s="201"/>
      <c r="S53" s="201"/>
      <c r="T53" s="201"/>
      <c r="U53" s="201"/>
      <c r="V53" s="201"/>
      <c r="W53" s="201"/>
      <c r="X53" s="201"/>
      <c r="Y53" s="201"/>
      <c r="Z53" s="201"/>
    </row>
    <row r="54">
      <c r="A54" s="201"/>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row>
    <row r="55">
      <c r="A55" s="201"/>
      <c r="B55" s="201"/>
      <c r="C55" s="201"/>
      <c r="D55" s="201"/>
      <c r="E55" s="201"/>
      <c r="F55" s="201"/>
      <c r="G55" s="201"/>
      <c r="H55" s="201"/>
      <c r="I55" s="201"/>
      <c r="J55" s="201"/>
      <c r="K55" s="201"/>
      <c r="L55" s="201"/>
      <c r="M55" s="201"/>
      <c r="N55" s="201"/>
      <c r="O55" s="201"/>
      <c r="P55" s="201"/>
      <c r="Q55" s="201"/>
      <c r="R55" s="201"/>
      <c r="S55" s="201"/>
      <c r="T55" s="201"/>
      <c r="U55" s="201"/>
      <c r="V55" s="201"/>
      <c r="W55" s="201"/>
      <c r="X55" s="201"/>
      <c r="Y55" s="201"/>
      <c r="Z55" s="201"/>
    </row>
    <row r="56">
      <c r="A56" s="201"/>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row>
    <row r="57">
      <c r="A57" s="201"/>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row>
    <row r="58">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row>
    <row r="59">
      <c r="A59" s="201"/>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row>
    <row r="60">
      <c r="A60" s="201"/>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row>
    <row r="61">
      <c r="A61" s="201"/>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row>
    <row r="62">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row>
    <row r="63">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row>
    <row r="64">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row>
    <row r="65">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row>
    <row r="66">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row>
    <row r="67">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row>
    <row r="68">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row>
    <row r="69">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row>
    <row r="70">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row>
    <row r="7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row>
    <row r="72">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row>
    <row r="73">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row>
    <row r="74">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row>
    <row r="75">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row>
    <row r="76">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row>
    <row r="77">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row>
    <row r="78">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row>
    <row r="79">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row>
    <row r="80">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row>
    <row r="81">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row>
    <row r="82">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row>
    <row r="83">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row>
    <row r="84">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row>
    <row r="85">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row>
    <row r="86">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row>
    <row r="87">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row>
    <row r="88">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row>
    <row r="89">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row>
    <row r="90">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row>
    <row r="91">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row>
    <row r="92">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row>
    <row r="93">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row>
    <row r="94">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row>
    <row r="95">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row>
    <row r="96">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row>
    <row r="97">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row>
    <row r="98">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row>
    <row r="99">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row>
    <row r="100">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row>
    <row r="101">
      <c r="A101" s="201"/>
      <c r="B101" s="201"/>
      <c r="C101" s="201"/>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row>
    <row r="102">
      <c r="A102" s="201"/>
      <c r="B102" s="201"/>
      <c r="C102" s="201"/>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row>
    <row r="103">
      <c r="A103" s="201"/>
      <c r="B103" s="201"/>
      <c r="C103" s="201"/>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row>
    <row r="104">
      <c r="A104" s="201"/>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row>
    <row r="105">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row>
    <row r="106">
      <c r="A106" s="201"/>
      <c r="B106" s="201"/>
      <c r="C106" s="201"/>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row>
    <row r="107">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row>
    <row r="108">
      <c r="A108" s="201"/>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row>
    <row r="109">
      <c r="A109" s="201"/>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row>
    <row r="110">
      <c r="A110" s="201"/>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row>
    <row r="111">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row>
    <row r="112">
      <c r="A112" s="201"/>
      <c r="B112" s="201"/>
      <c r="C112" s="201"/>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row>
    <row r="113">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row>
    <row r="114">
      <c r="A114" s="201"/>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row>
    <row r="115">
      <c r="A115" s="201"/>
      <c r="B115" s="201"/>
      <c r="C115" s="201"/>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row>
    <row r="116">
      <c r="A116" s="20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row>
    <row r="117">
      <c r="A117" s="201"/>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row>
    <row r="118">
      <c r="A118" s="201"/>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row>
    <row r="119">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row>
    <row r="120">
      <c r="A120" s="201"/>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row>
    <row r="121">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row>
    <row r="122">
      <c r="A122" s="201"/>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row>
    <row r="123">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row>
    <row r="124">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row>
    <row r="125">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row>
    <row r="126">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row>
    <row r="127">
      <c r="A127" s="201"/>
      <c r="B127" s="201"/>
      <c r="C127" s="201"/>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row>
    <row r="128">
      <c r="A128" s="201"/>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row>
    <row r="129">
      <c r="A129" s="201"/>
      <c r="B129" s="201"/>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row>
    <row r="130">
      <c r="A130" s="201"/>
      <c r="B130" s="201"/>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row>
    <row r="131">
      <c r="A131" s="201"/>
      <c r="B131" s="201"/>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row>
    <row r="132">
      <c r="A132" s="201"/>
      <c r="B132" s="201"/>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row>
    <row r="133">
      <c r="A133" s="201"/>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row>
    <row r="134">
      <c r="A134" s="201"/>
      <c r="B134" s="201"/>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row>
    <row r="135">
      <c r="A135" s="201"/>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row>
    <row r="136">
      <c r="A136" s="201"/>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row>
    <row r="137">
      <c r="A137" s="201"/>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row>
    <row r="138">
      <c r="A138" s="201"/>
      <c r="B138" s="201"/>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row>
    <row r="139">
      <c r="A139" s="201"/>
      <c r="B139" s="201"/>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row>
    <row r="140">
      <c r="A140" s="201"/>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row>
    <row r="141">
      <c r="A141" s="201"/>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row>
    <row r="142">
      <c r="A142" s="201"/>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row>
    <row r="143">
      <c r="A143" s="201"/>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row>
    <row r="144">
      <c r="A144" s="201"/>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row>
    <row r="145">
      <c r="A145" s="201"/>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row>
    <row r="146">
      <c r="A146" s="201"/>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row>
    <row r="147">
      <c r="A147" s="201"/>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row>
    <row r="148">
      <c r="A148" s="201"/>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row>
    <row r="149">
      <c r="A149" s="201"/>
      <c r="B149" s="201"/>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row>
    <row r="150">
      <c r="A150" s="201"/>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row>
    <row r="151">
      <c r="A151" s="201"/>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row>
    <row r="152">
      <c r="A152" s="201"/>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row>
    <row r="153">
      <c r="A153" s="201"/>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row>
    <row r="154">
      <c r="A154" s="201"/>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row>
    <row r="155">
      <c r="A155" s="201"/>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row>
    <row r="156">
      <c r="A156" s="201"/>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row>
    <row r="157">
      <c r="A157" s="201"/>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row>
    <row r="158">
      <c r="A158" s="201"/>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row>
    <row r="159">
      <c r="A159" s="201"/>
      <c r="B159" s="201"/>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row>
    <row r="160">
      <c r="A160" s="201"/>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row>
    <row r="161">
      <c r="A161" s="201"/>
      <c r="B161" s="201"/>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row>
    <row r="162">
      <c r="A162" s="201"/>
      <c r="B162" s="201"/>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row>
    <row r="163">
      <c r="A163" s="201"/>
      <c r="B163" s="201"/>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row>
    <row r="164">
      <c r="A164" s="201"/>
      <c r="B164" s="201"/>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row>
    <row r="165">
      <c r="A165" s="201"/>
      <c r="B165" s="201"/>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row>
    <row r="166">
      <c r="A166" s="201"/>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row>
    <row r="167">
      <c r="A167" s="201"/>
      <c r="B167" s="201"/>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row>
    <row r="168">
      <c r="A168" s="201"/>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row>
    <row r="169">
      <c r="A169" s="201"/>
      <c r="B169" s="201"/>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row>
    <row r="170">
      <c r="A170" s="201"/>
      <c r="B170" s="201"/>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row>
    <row r="171">
      <c r="A171" s="201"/>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row>
    <row r="172">
      <c r="A172" s="201"/>
      <c r="B172" s="201"/>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row>
    <row r="173">
      <c r="A173" s="201"/>
      <c r="B173" s="201"/>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row>
    <row r="174">
      <c r="A174" s="201"/>
      <c r="B174" s="201"/>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row>
    <row r="175">
      <c r="A175" s="201"/>
      <c r="B175" s="201"/>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row>
    <row r="176">
      <c r="A176" s="201"/>
      <c r="B176" s="201"/>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row>
    <row r="177">
      <c r="A177" s="201"/>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row>
    <row r="178">
      <c r="A178" s="201"/>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row>
    <row r="179">
      <c r="A179" s="201"/>
      <c r="B179" s="201"/>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row>
    <row r="180">
      <c r="A180" s="201"/>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row>
    <row r="181">
      <c r="A181" s="201"/>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row>
    <row r="182">
      <c r="A182" s="201"/>
      <c r="B182" s="201"/>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row>
    <row r="183">
      <c r="A183" s="201"/>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row>
    <row r="184">
      <c r="A184" s="201"/>
      <c r="B184" s="201"/>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row>
    <row r="185">
      <c r="A185" s="201"/>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row>
    <row r="186">
      <c r="A186" s="201"/>
      <c r="B186" s="201"/>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row>
    <row r="187">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row>
    <row r="188">
      <c r="A188" s="201"/>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row>
    <row r="189">
      <c r="A189" s="201"/>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row>
    <row r="190">
      <c r="A190" s="201"/>
      <c r="B190" s="201"/>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row>
    <row r="191">
      <c r="A191" s="201"/>
      <c r="B191" s="201"/>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row>
    <row r="192">
      <c r="A192" s="201"/>
      <c r="B192" s="201"/>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row>
    <row r="193">
      <c r="A193" s="20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row>
    <row r="194">
      <c r="A194" s="201"/>
      <c r="B194" s="201"/>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row>
    <row r="195">
      <c r="A195" s="201"/>
      <c r="B195" s="201"/>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row>
    <row r="196">
      <c r="A196" s="201"/>
      <c r="B196" s="201"/>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row>
    <row r="197">
      <c r="A197" s="201"/>
      <c r="B197" s="201"/>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row>
    <row r="198">
      <c r="A198" s="201"/>
      <c r="B198" s="201"/>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row>
    <row r="199">
      <c r="A199" s="201"/>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row>
    <row r="200">
      <c r="A200" s="201"/>
      <c r="B200" s="201"/>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row>
    <row r="201">
      <c r="A201" s="201"/>
      <c r="B201" s="201"/>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row>
    <row r="202">
      <c r="A202" s="201"/>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row>
    <row r="203">
      <c r="A203" s="201"/>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row>
    <row r="204">
      <c r="A204" s="201"/>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row>
    <row r="205">
      <c r="A205" s="201"/>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row>
    <row r="206">
      <c r="A206" s="201"/>
      <c r="B206" s="201"/>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row>
    <row r="207">
      <c r="A207" s="201"/>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row>
    <row r="208">
      <c r="A208" s="201"/>
      <c r="B208" s="201"/>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row>
    <row r="209">
      <c r="A209" s="201"/>
      <c r="B209" s="201"/>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row>
    <row r="210">
      <c r="A210" s="201"/>
      <c r="B210" s="201"/>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row>
    <row r="211">
      <c r="A211" s="201"/>
      <c r="B211" s="201"/>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row>
    <row r="212">
      <c r="A212" s="201"/>
      <c r="B212" s="201"/>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row>
    <row r="213">
      <c r="A213" s="201"/>
      <c r="B213" s="201"/>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row>
    <row r="214">
      <c r="A214" s="201"/>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row>
    <row r="215">
      <c r="A215" s="201"/>
      <c r="B215" s="201"/>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row>
    <row r="216">
      <c r="A216" s="201"/>
      <c r="B216" s="201"/>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row>
    <row r="217">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row>
    <row r="218">
      <c r="A218" s="201"/>
      <c r="B218" s="201"/>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row>
    <row r="219">
      <c r="A219" s="201"/>
      <c r="B219" s="201"/>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row>
    <row r="220">
      <c r="A220" s="201"/>
      <c r="B220" s="201"/>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row>
    <row r="221">
      <c r="A221" s="201"/>
      <c r="B221" s="201"/>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row>
    <row r="222">
      <c r="A222" s="20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row>
    <row r="223">
      <c r="A223" s="201"/>
      <c r="B223" s="201"/>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row>
    <row r="224">
      <c r="A224" s="201"/>
      <c r="B224" s="201"/>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row>
    <row r="225">
      <c r="A225" s="201"/>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row>
    <row r="226">
      <c r="A226" s="201"/>
      <c r="B226" s="201"/>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row>
    <row r="227">
      <c r="A227" s="201"/>
      <c r="B227" s="201"/>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row>
    <row r="228">
      <c r="A228" s="201"/>
      <c r="B228" s="201"/>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row>
    <row r="229">
      <c r="A229" s="201"/>
      <c r="B229" s="201"/>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row>
    <row r="230">
      <c r="A230" s="201"/>
      <c r="B230" s="201"/>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row>
    <row r="231">
      <c r="A231" s="201"/>
      <c r="B231" s="201"/>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row>
    <row r="232">
      <c r="A232" s="201"/>
      <c r="B232" s="201"/>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row>
    <row r="233">
      <c r="A233" s="201"/>
      <c r="B233" s="201"/>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row>
    <row r="234">
      <c r="A234" s="201"/>
      <c r="B234" s="201"/>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row>
    <row r="235">
      <c r="A235" s="201"/>
      <c r="B235" s="201"/>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row>
    <row r="236">
      <c r="A236" s="20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row>
    <row r="237">
      <c r="A237" s="201"/>
      <c r="B237" s="201"/>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row>
    <row r="238">
      <c r="A238" s="201"/>
      <c r="B238" s="201"/>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row>
    <row r="239">
      <c r="A239" s="201"/>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row>
    <row r="240">
      <c r="A240" s="201"/>
      <c r="B240" s="201"/>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row>
    <row r="241">
      <c r="A241" s="201"/>
      <c r="B241" s="201"/>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row>
    <row r="242">
      <c r="A242" s="201"/>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row>
    <row r="243">
      <c r="A243" s="201"/>
      <c r="B243" s="201"/>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row>
    <row r="244">
      <c r="A244" s="201"/>
      <c r="B244" s="201"/>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row>
    <row r="245">
      <c r="A245" s="201"/>
      <c r="B245" s="201"/>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row>
    <row r="246">
      <c r="A246" s="201"/>
      <c r="B246" s="201"/>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row>
    <row r="247">
      <c r="A247" s="201"/>
      <c r="B247" s="201"/>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row>
    <row r="248">
      <c r="A248" s="201"/>
      <c r="B248" s="201"/>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row>
    <row r="249">
      <c r="A249" s="201"/>
      <c r="B249" s="201"/>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row>
    <row r="250">
      <c r="A250" s="201"/>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row>
    <row r="25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row>
    <row r="252">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row>
    <row r="253">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row>
    <row r="254">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row>
    <row r="255">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row>
    <row r="256">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row>
    <row r="257">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row>
    <row r="258">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row>
    <row r="259">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row>
    <row r="260">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row>
    <row r="26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row>
    <row r="262">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row>
    <row r="263">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row>
    <row r="264">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row>
    <row r="265">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row>
    <row r="266">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row>
    <row r="267">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row>
    <row r="268">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row>
    <row r="269">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row>
    <row r="270">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row>
    <row r="27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row>
    <row r="272">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row>
    <row r="273">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row>
    <row r="274">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row>
    <row r="275">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row>
    <row r="276">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row>
    <row r="277">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row>
    <row r="278">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row>
    <row r="279">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row>
    <row r="280">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row>
    <row r="28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row>
    <row r="282">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row>
    <row r="283">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row>
    <row r="284">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row>
    <row r="285">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row>
    <row r="286">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row>
    <row r="287">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row>
    <row r="288">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row>
    <row r="289">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row>
    <row r="290">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row>
    <row r="29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row>
    <row r="292">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row>
    <row r="293">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row>
    <row r="294">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row>
    <row r="295">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row>
    <row r="296">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row>
    <row r="297">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row>
    <row r="298">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row>
    <row r="299">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row>
    <row r="300">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row>
    <row r="30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row>
    <row r="302">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row>
    <row r="303">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row>
    <row r="304">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row>
    <row r="305">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row>
    <row r="306">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row>
    <row r="307">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row>
    <row r="308">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row>
    <row r="309">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row>
    <row r="310">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row>
    <row r="31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row>
    <row r="312">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row>
    <row r="313">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row>
    <row r="314">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row>
    <row r="315">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row>
    <row r="316">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row>
    <row r="317">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row>
    <row r="318">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row>
    <row r="319">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row>
    <row r="320">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row>
    <row r="32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row>
    <row r="322">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row>
    <row r="323">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row>
    <row r="324">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row>
    <row r="325">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row>
    <row r="326">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row>
    <row r="327">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row>
    <row r="328">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row>
    <row r="329">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row>
    <row r="330">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row>
    <row r="33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row>
    <row r="332">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row>
    <row r="333">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row>
    <row r="334">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row>
    <row r="335">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row>
    <row r="336">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row>
    <row r="337">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row>
    <row r="338">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row>
    <row r="339">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row>
    <row r="340">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row>
    <row r="34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row>
    <row r="342">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row>
    <row r="343">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row>
    <row r="344">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row>
    <row r="345">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row>
    <row r="346">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row>
    <row r="347">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row>
    <row r="348">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row>
    <row r="349">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row>
    <row r="350">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row>
    <row r="35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row>
    <row r="352">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row>
    <row r="353">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row>
    <row r="354">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row>
    <row r="355">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row>
    <row r="356">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row>
    <row r="357">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row>
    <row r="358">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row>
    <row r="359">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row>
    <row r="360">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row>
    <row r="36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row>
    <row r="362">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row>
    <row r="363">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row>
    <row r="364">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row>
    <row r="365">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row>
    <row r="366">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row>
    <row r="367">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row>
    <row r="368">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row>
    <row r="369">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row>
    <row r="370">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row>
    <row r="37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row>
    <row r="372">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row>
    <row r="373">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row>
    <row r="374">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row>
    <row r="375">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row>
    <row r="376">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row>
    <row r="377">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row>
    <row r="378">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row>
    <row r="379">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row>
    <row r="380">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row>
    <row r="38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row>
    <row r="382">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row>
    <row r="383">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row>
    <row r="384">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row>
    <row r="385">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row>
    <row r="386">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row>
    <row r="387">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row>
    <row r="388">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row>
    <row r="389">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row>
    <row r="390">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row>
    <row r="39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row>
    <row r="392">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row>
    <row r="393">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row>
    <row r="394">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row>
    <row r="395">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row>
    <row r="396">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row>
    <row r="397">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row>
    <row r="398">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row>
    <row r="399">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row>
    <row r="400">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row>
    <row r="40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row>
    <row r="402">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row>
    <row r="403">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row>
    <row r="404">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row>
    <row r="405">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row>
    <row r="406">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row>
    <row r="407">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row>
    <row r="408">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row>
    <row r="409">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row>
    <row r="410">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row>
    <row r="41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row>
    <row r="412">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row>
    <row r="413">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row>
    <row r="414">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row>
    <row r="415">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row>
    <row r="416">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row>
    <row r="417">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row>
    <row r="418">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row>
    <row r="419">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row>
    <row r="420">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row>
    <row r="42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row>
    <row r="422">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row>
    <row r="423">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row>
    <row r="424">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row>
    <row r="425">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row>
    <row r="426">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row>
    <row r="427">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row>
    <row r="428">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row>
    <row r="429">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row>
    <row r="430">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row>
    <row r="43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row>
    <row r="432">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row>
    <row r="433">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row>
    <row r="434">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row>
    <row r="435">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row>
    <row r="436">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row>
    <row r="437">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row>
    <row r="438">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row>
    <row r="439">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row>
    <row r="440">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row>
    <row r="44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row>
    <row r="442">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row>
    <row r="443">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row>
    <row r="444">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row>
    <row r="445">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row>
    <row r="446">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row>
    <row r="447">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row>
    <row r="448">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row>
    <row r="449">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row>
    <row r="450">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row>
    <row r="45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row>
    <row r="452">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row>
    <row r="453">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row>
    <row r="454">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row>
    <row r="455">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row>
    <row r="456">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row>
    <row r="457">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row>
    <row r="458">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row>
    <row r="459">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row>
    <row r="460">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row>
    <row r="46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row>
    <row r="462">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row>
    <row r="463">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row>
    <row r="464">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row>
    <row r="465">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row>
    <row r="466">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row>
    <row r="467">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row>
    <row r="468">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row>
    <row r="469">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row>
    <row r="470">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row>
    <row r="47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row>
    <row r="472">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row>
    <row r="473">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row>
    <row r="474">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row>
    <row r="475">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row>
    <row r="476">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row>
    <row r="477">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row>
    <row r="478">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row>
    <row r="479">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row>
    <row r="480">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row>
    <row r="48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row>
    <row r="482">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row>
    <row r="483">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row>
    <row r="484">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row>
    <row r="485">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row>
    <row r="486">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row>
    <row r="487">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row>
    <row r="488">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row>
    <row r="489">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row>
    <row r="490">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row>
    <row r="49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row>
    <row r="492">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row>
    <row r="493">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row>
    <row r="494">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row>
    <row r="495">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row>
    <row r="496">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row>
    <row r="497">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row>
    <row r="498">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row>
    <row r="499">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row>
    <row r="500">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row>
    <row r="50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row>
    <row r="502">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row>
    <row r="503">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row>
    <row r="504">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row>
    <row r="505">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row>
    <row r="506">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row>
    <row r="507">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row>
    <row r="508">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row>
    <row r="509">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row>
    <row r="510">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row>
    <row r="51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row>
    <row r="512">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row>
    <row r="513">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row>
    <row r="514">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row>
    <row r="515">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row>
    <row r="516">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row>
    <row r="517">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row>
    <row r="518">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row>
    <row r="519">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row>
    <row r="520">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row>
    <row r="52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row>
    <row r="522">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row>
    <row r="523">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row>
    <row r="524">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row>
    <row r="525">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row>
    <row r="526">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row>
    <row r="527">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row>
    <row r="528">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row>
    <row r="529">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row>
    <row r="530">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row>
    <row r="53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row>
    <row r="532">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row>
    <row r="533">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row>
    <row r="534">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row>
    <row r="535">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row>
    <row r="536">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row>
    <row r="537">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row>
    <row r="538">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row>
    <row r="539">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row>
    <row r="540">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row>
    <row r="54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row>
    <row r="542">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row>
    <row r="543">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row>
    <row r="544">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row>
    <row r="545">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row>
    <row r="546">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row>
    <row r="547">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row>
    <row r="548">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row>
    <row r="549">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row>
    <row r="550">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row>
    <row r="55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row>
    <row r="552">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row>
    <row r="553">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row>
    <row r="554">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row>
    <row r="555">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row>
    <row r="556">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row>
    <row r="557">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row>
    <row r="558">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row>
    <row r="559">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row>
    <row r="560">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row>
    <row r="56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row>
    <row r="562">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row>
    <row r="563">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row>
    <row r="564">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row>
    <row r="565">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row>
    <row r="566">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row>
    <row r="567">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row>
    <row r="568">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row>
    <row r="569">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row>
    <row r="570">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row>
    <row r="57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row>
    <row r="572">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row>
    <row r="573">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row>
    <row r="574">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row>
    <row r="575">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row>
    <row r="576">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row>
    <row r="577">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row>
    <row r="578">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row>
    <row r="579">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row>
    <row r="580">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row>
    <row r="58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row>
    <row r="582">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row>
    <row r="583">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row>
    <row r="584">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row>
    <row r="585">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row>
    <row r="586">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row>
    <row r="587">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row>
    <row r="588">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row>
    <row r="589">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row>
    <row r="590">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row>
    <row r="59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row>
    <row r="592">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row>
    <row r="593">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row>
    <row r="594">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row>
    <row r="595">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row>
    <row r="596">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row>
    <row r="597">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row>
    <row r="598">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row>
    <row r="599">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row>
    <row r="600">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row>
    <row r="60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row>
    <row r="602">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row>
    <row r="603">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row>
    <row r="604">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row>
    <row r="605">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row>
    <row r="606">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row>
    <row r="607">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row>
    <row r="608">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row>
    <row r="609">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row>
    <row r="610">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row>
    <row r="61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row>
    <row r="612">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row>
    <row r="613">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row>
    <row r="614">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row>
    <row r="615">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row>
    <row r="616">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row>
    <row r="617">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row>
    <row r="618">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row>
    <row r="619">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row>
    <row r="620">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row>
    <row r="62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row>
    <row r="622">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row>
    <row r="623">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row>
    <row r="624">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row>
    <row r="625">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row>
    <row r="626">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row>
    <row r="627">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row>
    <row r="628">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row>
    <row r="629">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row>
    <row r="630">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row>
    <row r="63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row>
    <row r="632">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row>
    <row r="633">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row>
    <row r="634">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row>
    <row r="635">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row>
    <row r="636">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row>
    <row r="637">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row>
    <row r="638">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row>
    <row r="639">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row>
    <row r="640">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row>
    <row r="64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row>
    <row r="642">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row>
    <row r="643">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row>
    <row r="644">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row>
    <row r="645">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row>
    <row r="646">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row>
    <row r="647">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row>
    <row r="648">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row>
    <row r="649">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row>
    <row r="650">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row>
    <row r="65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row>
    <row r="652">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row>
    <row r="653">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row>
    <row r="654">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row>
    <row r="655">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row>
    <row r="656">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row>
    <row r="657">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row>
    <row r="658">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row>
    <row r="659">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row>
    <row r="660">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row>
    <row r="66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row>
    <row r="662">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row>
    <row r="663">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row>
    <row r="664">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row>
    <row r="665">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row>
    <row r="666">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row>
    <row r="667">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row>
    <row r="668">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row>
    <row r="669">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row>
    <row r="670">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row>
    <row r="67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row>
    <row r="672">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row>
    <row r="673">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row>
    <row r="674">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row>
    <row r="675">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row>
    <row r="676">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row>
    <row r="677">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row>
    <row r="678">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row>
    <row r="679">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row>
    <row r="680">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row>
    <row r="68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row>
    <row r="682">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row>
    <row r="683">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row>
    <row r="684">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row>
    <row r="685">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row>
    <row r="686">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row>
    <row r="687">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row>
    <row r="688">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row>
    <row r="689">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row>
    <row r="690">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row>
    <row r="69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row>
    <row r="692">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row>
    <row r="693">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row>
    <row r="694">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row>
    <row r="695">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row>
    <row r="696">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row>
    <row r="697">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row>
    <row r="698">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row>
    <row r="699">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row>
    <row r="700">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row>
    <row r="70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row>
    <row r="702">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row>
    <row r="703">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row>
    <row r="704">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row>
    <row r="705">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row>
    <row r="706">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row>
    <row r="707">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row>
    <row r="708">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row>
    <row r="709">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row>
    <row r="710">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row>
    <row r="71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row>
    <row r="712">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row>
    <row r="713">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row>
    <row r="714">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row>
    <row r="715">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row>
    <row r="716">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row>
    <row r="717">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row>
    <row r="718">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row>
    <row r="719">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row>
    <row r="720">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row>
    <row r="72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row>
    <row r="722">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row>
    <row r="723">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row>
    <row r="724">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row>
    <row r="725">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row>
    <row r="726">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row>
    <row r="727">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row>
    <row r="728">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row>
    <row r="729">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row>
    <row r="730">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row>
    <row r="73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row>
    <row r="732">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row>
    <row r="733">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row>
    <row r="734">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row>
    <row r="735">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row>
    <row r="736">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row>
    <row r="737">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row>
    <row r="738">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row>
    <row r="739">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row>
    <row r="740">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row>
    <row r="74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row>
    <row r="742">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row>
    <row r="743">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row>
    <row r="744">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row>
    <row r="745">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row>
    <row r="746">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row>
    <row r="747">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row>
    <row r="748">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row>
    <row r="749">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row>
    <row r="750">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row>
    <row r="75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row>
    <row r="752">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row>
    <row r="753">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row>
    <row r="754">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row>
    <row r="755">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row>
    <row r="756">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row>
    <row r="757">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row>
    <row r="758">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row>
    <row r="759">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row>
    <row r="760">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row>
    <row r="76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row>
    <row r="762">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row>
    <row r="763">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row>
    <row r="764">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row>
    <row r="765">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row>
    <row r="766">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row>
    <row r="767">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row>
    <row r="768">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row>
    <row r="769">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row>
    <row r="770">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row>
    <row r="77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row>
    <row r="772">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row>
    <row r="773">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row>
    <row r="774">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row>
    <row r="775">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row>
    <row r="776">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row>
    <row r="777">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row>
    <row r="778">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row>
    <row r="779">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row>
    <row r="780">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row>
    <row r="78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row>
    <row r="782">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row>
    <row r="783">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row>
    <row r="784">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row>
    <row r="785">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row>
    <row r="786">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row>
    <row r="787">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row>
    <row r="788">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row>
    <row r="789">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row>
    <row r="790">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row>
    <row r="79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row>
    <row r="792">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row>
    <row r="793">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row>
    <row r="794">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row>
    <row r="795">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row>
    <row r="796">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row>
    <row r="797">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row>
    <row r="798">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row>
    <row r="799">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row>
    <row r="800">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row>
    <row r="80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row>
    <row r="802">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row>
    <row r="803">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row>
    <row r="804">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row>
    <row r="805">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row>
    <row r="806">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row>
    <row r="807">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row>
    <row r="808">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row>
    <row r="809">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row>
    <row r="810">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row>
    <row r="81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row>
    <row r="812">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row>
    <row r="813">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row>
    <row r="814">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row>
    <row r="815">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row>
    <row r="816">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row>
    <row r="817">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row>
    <row r="818">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row>
    <row r="819">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row>
    <row r="820">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row>
    <row r="82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row>
    <row r="822">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row>
    <row r="823">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row>
    <row r="824">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row>
    <row r="825">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row>
    <row r="826">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row>
    <row r="827">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row>
    <row r="828">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row>
    <row r="829">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row>
    <row r="830">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row>
    <row r="83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row>
    <row r="832">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row>
    <row r="833">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row>
    <row r="834">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row>
    <row r="835">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row>
    <row r="836">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row>
    <row r="837">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row>
    <row r="838">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row>
    <row r="839">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row>
    <row r="840">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row>
    <row r="84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row>
    <row r="842">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row>
    <row r="843">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row>
    <row r="844">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row>
    <row r="845">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row>
    <row r="846">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row>
    <row r="847">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row>
    <row r="848">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row>
    <row r="849">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row>
    <row r="850">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row>
    <row r="85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row>
    <row r="852">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row>
    <row r="853">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row>
    <row r="854">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row>
    <row r="855">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row>
    <row r="856">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row>
    <row r="857">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row>
    <row r="858">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row>
    <row r="859">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row>
    <row r="860">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row>
    <row r="86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row>
    <row r="862">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row>
    <row r="863">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row>
    <row r="864">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row>
    <row r="865">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row>
    <row r="866">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row>
    <row r="867">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row>
    <row r="868">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row>
    <row r="869">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row>
    <row r="870">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row>
    <row r="87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row>
    <row r="872">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row>
    <row r="873">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row>
    <row r="874">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row>
    <row r="875">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row>
    <row r="876">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row>
    <row r="877">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row>
    <row r="878">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row>
    <row r="879">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row>
    <row r="880">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row>
    <row r="88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row>
    <row r="882">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row>
    <row r="883">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row>
    <row r="884">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row>
    <row r="885">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row>
    <row r="886">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row>
    <row r="887">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row>
    <row r="888">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row>
    <row r="889">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row>
    <row r="890">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row>
    <row r="89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row>
    <row r="892">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row>
    <row r="893">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row>
    <row r="894">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row>
    <row r="895">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row>
    <row r="896">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row>
    <row r="897">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row>
    <row r="898">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row>
    <row r="899">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row>
    <row r="900">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row>
    <row r="90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row>
    <row r="902">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row>
    <row r="903">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row>
    <row r="904">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row>
    <row r="905">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row>
    <row r="906">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row>
    <row r="907">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row>
    <row r="908">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row>
    <row r="909">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row>
    <row r="910">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row>
    <row r="91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row>
    <row r="912">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row>
    <row r="913">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row>
    <row r="914">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row>
    <row r="915">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row>
    <row r="916">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row>
    <row r="917">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row>
    <row r="918">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row>
    <row r="919">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row>
    <row r="920">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row>
    <row r="92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row>
    <row r="922">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row>
    <row r="923">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row>
    <row r="924">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row>
    <row r="925">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row>
    <row r="926">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row>
    <row r="927">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row>
    <row r="928">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row>
    <row r="929">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row>
    <row r="930">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row>
    <row r="93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row>
    <row r="932">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row>
    <row r="933">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row>
    <row r="934">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row>
    <row r="935">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row>
    <row r="936">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row>
    <row r="937">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row>
    <row r="938">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row>
    <row r="939">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row>
    <row r="940">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row>
    <row r="94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row>
    <row r="942">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row>
    <row r="943">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row>
    <row r="944">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row>
    <row r="945">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row>
    <row r="946">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row>
    <row r="947">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row>
    <row r="948">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row>
    <row r="949">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row>
    <row r="950">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row>
    <row r="95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row>
    <row r="952">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row>
    <row r="953">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row>
    <row r="954">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row>
    <row r="955">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row>
    <row r="956">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row>
    <row r="957">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row>
    <row r="958">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row>
    <row r="959">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row>
    <row r="960">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row>
    <row r="96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row>
    <row r="962">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row>
    <row r="963">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row>
    <row r="964">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row>
    <row r="965">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row>
    <row r="966">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row>
    <row r="967">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row>
    <row r="968">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row>
    <row r="969">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row>
    <row r="970">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row>
    <row r="97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row>
    <row r="972">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row>
    <row r="973">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row>
    <row r="974">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row>
    <row r="975">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row>
    <row r="976">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row>
    <row r="977">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row>
    <row r="978">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row>
    <row r="979">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row>
    <row r="980">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row>
    <row r="98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row>
    <row r="982">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row>
    <row r="983">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row>
    <row r="984">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row>
    <row r="985">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row>
    <row r="986">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row>
    <row r="987">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row>
    <row r="988">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row>
    <row r="989">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row>
    <row r="990">
      <c r="A990" s="201"/>
      <c r="B990" s="201"/>
      <c r="C990" s="201"/>
      <c r="D990" s="201"/>
      <c r="E990" s="201"/>
      <c r="F990" s="201"/>
      <c r="G990" s="201"/>
      <c r="H990" s="201"/>
      <c r="I990" s="201"/>
      <c r="J990" s="201"/>
      <c r="K990" s="201"/>
      <c r="L990" s="201"/>
      <c r="M990" s="201"/>
      <c r="N990" s="201"/>
      <c r="O990" s="201"/>
      <c r="P990" s="201"/>
      <c r="Q990" s="201"/>
      <c r="R990" s="201"/>
      <c r="S990" s="201"/>
      <c r="T990" s="201"/>
      <c r="U990" s="201"/>
      <c r="V990" s="201"/>
      <c r="W990" s="201"/>
      <c r="X990" s="201"/>
      <c r="Y990" s="201"/>
      <c r="Z990" s="201"/>
    </row>
    <row r="991">
      <c r="A991" s="201"/>
      <c r="B991" s="201"/>
      <c r="C991" s="201"/>
      <c r="D991" s="201"/>
      <c r="E991" s="201"/>
      <c r="F991" s="201"/>
      <c r="G991" s="201"/>
      <c r="H991" s="201"/>
      <c r="I991" s="201"/>
      <c r="J991" s="201"/>
      <c r="K991" s="201"/>
      <c r="L991" s="201"/>
      <c r="M991" s="201"/>
      <c r="N991" s="201"/>
      <c r="O991" s="201"/>
      <c r="P991" s="201"/>
      <c r="Q991" s="201"/>
      <c r="R991" s="201"/>
      <c r="S991" s="201"/>
      <c r="T991" s="201"/>
      <c r="U991" s="201"/>
      <c r="V991" s="201"/>
      <c r="W991" s="201"/>
      <c r="X991" s="201"/>
      <c r="Y991" s="201"/>
      <c r="Z991" s="201"/>
    </row>
    <row r="992">
      <c r="A992" s="201"/>
      <c r="B992" s="201"/>
      <c r="C992" s="201"/>
      <c r="D992" s="201"/>
      <c r="E992" s="201"/>
      <c r="F992" s="201"/>
      <c r="G992" s="201"/>
      <c r="H992" s="201"/>
      <c r="I992" s="201"/>
      <c r="J992" s="201"/>
      <c r="K992" s="201"/>
      <c r="L992" s="201"/>
      <c r="M992" s="201"/>
      <c r="N992" s="201"/>
      <c r="O992" s="201"/>
      <c r="P992" s="201"/>
      <c r="Q992" s="201"/>
      <c r="R992" s="201"/>
      <c r="S992" s="201"/>
      <c r="T992" s="201"/>
      <c r="U992" s="201"/>
      <c r="V992" s="201"/>
      <c r="W992" s="201"/>
      <c r="X992" s="201"/>
      <c r="Y992" s="201"/>
      <c r="Z992" s="201"/>
    </row>
    <row r="993">
      <c r="A993" s="201"/>
      <c r="B993" s="201"/>
      <c r="C993" s="201"/>
      <c r="D993" s="201"/>
      <c r="E993" s="201"/>
      <c r="F993" s="201"/>
      <c r="G993" s="201"/>
      <c r="H993" s="201"/>
      <c r="I993" s="201"/>
      <c r="J993" s="201"/>
      <c r="K993" s="201"/>
      <c r="L993" s="201"/>
      <c r="M993" s="201"/>
      <c r="N993" s="201"/>
      <c r="O993" s="201"/>
      <c r="P993" s="201"/>
      <c r="Q993" s="201"/>
      <c r="R993" s="201"/>
      <c r="S993" s="201"/>
      <c r="T993" s="201"/>
      <c r="U993" s="201"/>
      <c r="V993" s="201"/>
      <c r="W993" s="201"/>
      <c r="X993" s="201"/>
      <c r="Y993" s="201"/>
      <c r="Z993" s="201"/>
    </row>
    <row r="994">
      <c r="A994" s="201"/>
      <c r="B994" s="201"/>
      <c r="C994" s="201"/>
      <c r="D994" s="201"/>
      <c r="E994" s="201"/>
      <c r="F994" s="201"/>
      <c r="G994" s="201"/>
      <c r="H994" s="201"/>
      <c r="I994" s="201"/>
      <c r="J994" s="201"/>
      <c r="K994" s="201"/>
      <c r="L994" s="201"/>
      <c r="M994" s="201"/>
      <c r="N994" s="201"/>
      <c r="O994" s="201"/>
      <c r="P994" s="201"/>
      <c r="Q994" s="201"/>
      <c r="R994" s="201"/>
      <c r="S994" s="201"/>
      <c r="T994" s="201"/>
      <c r="U994" s="201"/>
      <c r="V994" s="201"/>
      <c r="W994" s="201"/>
      <c r="X994" s="201"/>
      <c r="Y994" s="201"/>
      <c r="Z994" s="201"/>
    </row>
    <row r="995">
      <c r="A995" s="201"/>
      <c r="B995" s="201"/>
      <c r="C995" s="201"/>
      <c r="D995" s="201"/>
      <c r="E995" s="201"/>
      <c r="F995" s="201"/>
      <c r="G995" s="201"/>
      <c r="H995" s="201"/>
      <c r="I995" s="201"/>
      <c r="J995" s="201"/>
      <c r="K995" s="201"/>
      <c r="L995" s="201"/>
      <c r="M995" s="201"/>
      <c r="N995" s="201"/>
      <c r="O995" s="201"/>
      <c r="P995" s="201"/>
      <c r="Q995" s="201"/>
      <c r="R995" s="201"/>
      <c r="S995" s="201"/>
      <c r="T995" s="201"/>
      <c r="U995" s="201"/>
      <c r="V995" s="201"/>
      <c r="W995" s="201"/>
      <c r="X995" s="201"/>
      <c r="Y995" s="201"/>
      <c r="Z995" s="201"/>
    </row>
    <row r="996">
      <c r="A996" s="201"/>
      <c r="B996" s="201"/>
      <c r="C996" s="201"/>
      <c r="D996" s="201"/>
      <c r="E996" s="201"/>
      <c r="F996" s="201"/>
      <c r="G996" s="201"/>
      <c r="H996" s="201"/>
      <c r="I996" s="201"/>
      <c r="J996" s="201"/>
      <c r="K996" s="201"/>
      <c r="L996" s="201"/>
      <c r="M996" s="201"/>
      <c r="N996" s="201"/>
      <c r="O996" s="201"/>
      <c r="P996" s="201"/>
      <c r="Q996" s="201"/>
      <c r="R996" s="201"/>
      <c r="S996" s="201"/>
      <c r="T996" s="201"/>
      <c r="U996" s="201"/>
      <c r="V996" s="201"/>
      <c r="W996" s="201"/>
      <c r="X996" s="201"/>
      <c r="Y996" s="201"/>
      <c r="Z996" s="201"/>
    </row>
    <row r="997">
      <c r="A997" s="201"/>
      <c r="B997" s="201"/>
      <c r="C997" s="201"/>
      <c r="D997" s="201"/>
      <c r="E997" s="201"/>
      <c r="F997" s="201"/>
      <c r="G997" s="201"/>
      <c r="H997" s="201"/>
      <c r="I997" s="201"/>
      <c r="J997" s="201"/>
      <c r="K997" s="201"/>
      <c r="L997" s="201"/>
      <c r="M997" s="201"/>
      <c r="N997" s="201"/>
      <c r="O997" s="201"/>
      <c r="P997" s="201"/>
      <c r="Q997" s="201"/>
      <c r="R997" s="201"/>
      <c r="S997" s="201"/>
      <c r="T997" s="201"/>
      <c r="U997" s="201"/>
      <c r="V997" s="201"/>
      <c r="W997" s="201"/>
      <c r="X997" s="201"/>
      <c r="Y997" s="201"/>
      <c r="Z997" s="201"/>
    </row>
    <row r="998">
      <c r="A998" s="201"/>
      <c r="B998" s="201"/>
      <c r="C998" s="201"/>
      <c r="D998" s="201"/>
      <c r="E998" s="201"/>
      <c r="F998" s="201"/>
      <c r="G998" s="201"/>
      <c r="H998" s="201"/>
      <c r="I998" s="201"/>
      <c r="J998" s="201"/>
      <c r="K998" s="201"/>
      <c r="L998" s="201"/>
      <c r="M998" s="201"/>
      <c r="N998" s="201"/>
      <c r="O998" s="201"/>
      <c r="P998" s="201"/>
      <c r="Q998" s="201"/>
      <c r="R998" s="201"/>
      <c r="S998" s="201"/>
      <c r="T998" s="201"/>
      <c r="U998" s="201"/>
      <c r="V998" s="201"/>
      <c r="W998" s="201"/>
      <c r="X998" s="201"/>
      <c r="Y998" s="201"/>
      <c r="Z998" s="201"/>
    </row>
    <row r="999">
      <c r="A999" s="201"/>
      <c r="B999" s="201"/>
      <c r="C999" s="201"/>
      <c r="D999" s="201"/>
      <c r="E999" s="201"/>
      <c r="F999" s="201"/>
      <c r="G999" s="201"/>
      <c r="H999" s="201"/>
      <c r="I999" s="201"/>
      <c r="J999" s="201"/>
      <c r="K999" s="201"/>
      <c r="L999" s="201"/>
      <c r="M999" s="201"/>
      <c r="N999" s="201"/>
      <c r="O999" s="201"/>
      <c r="P999" s="201"/>
      <c r="Q999" s="201"/>
      <c r="R999" s="201"/>
      <c r="S999" s="201"/>
      <c r="T999" s="201"/>
      <c r="U999" s="201"/>
      <c r="V999" s="201"/>
      <c r="W999" s="201"/>
      <c r="X999" s="201"/>
      <c r="Y999" s="201"/>
      <c r="Z999" s="201"/>
    </row>
    <row r="1000">
      <c r="A1000" s="201"/>
      <c r="B1000" s="201"/>
      <c r="C1000" s="201"/>
      <c r="D1000" s="201"/>
      <c r="E1000" s="201"/>
      <c r="F1000" s="201"/>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row>
  </sheetData>
  <dataValidations>
    <dataValidation type="list" allowBlank="1" sqref="D2:D26">
      <formula1>"Crescent Solitaire,Other Andheri Properties"</formula1>
    </dataValidation>
    <dataValidation type="list" allowBlank="1" sqref="C2:C26">
      <formula1>"Cold,Hot,Warm,Lost,Hold,Closed,Not responsive"</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63"/>
    <col customWidth="1" min="9" max="9" width="19.0"/>
    <col customWidth="1" min="10" max="12" width="40.75"/>
    <col customWidth="1" min="13" max="13" width="22.38"/>
    <col customWidth="1" min="14" max="14" width="63.5"/>
  </cols>
  <sheetData>
    <row r="1" ht="34.5" customHeight="1">
      <c r="A1" s="186" t="s">
        <v>15</v>
      </c>
      <c r="B1" s="187" t="s">
        <v>9</v>
      </c>
      <c r="C1" s="188" t="s">
        <v>12</v>
      </c>
      <c r="D1" s="188"/>
      <c r="E1" s="188" t="s">
        <v>6</v>
      </c>
      <c r="F1" s="189" t="s">
        <v>608</v>
      </c>
      <c r="G1" s="190" t="s">
        <v>17</v>
      </c>
      <c r="H1" s="189" t="s">
        <v>18</v>
      </c>
      <c r="I1" s="189" t="s">
        <v>19</v>
      </c>
      <c r="J1" s="189" t="s">
        <v>20</v>
      </c>
      <c r="K1" s="189" t="s">
        <v>21</v>
      </c>
      <c r="L1" s="189" t="s">
        <v>22</v>
      </c>
      <c r="M1" s="189" t="s">
        <v>23</v>
      </c>
      <c r="N1" s="190" t="s">
        <v>13</v>
      </c>
      <c r="O1" s="210"/>
      <c r="P1" s="211"/>
      <c r="Q1" s="211"/>
      <c r="R1" s="211"/>
      <c r="S1" s="211"/>
      <c r="T1" s="211"/>
      <c r="U1" s="211"/>
      <c r="V1" s="211"/>
      <c r="W1" s="211"/>
      <c r="X1" s="211"/>
    </row>
    <row r="2">
      <c r="A2" s="191">
        <v>1.0</v>
      </c>
      <c r="B2" s="192" t="s">
        <v>713</v>
      </c>
      <c r="C2" s="193" t="s">
        <v>33</v>
      </c>
      <c r="D2" s="193" t="s">
        <v>714</v>
      </c>
      <c r="E2" s="194">
        <v>46114.0</v>
      </c>
      <c r="F2" s="195" t="s">
        <v>610</v>
      </c>
      <c r="G2" s="196" t="s">
        <v>875</v>
      </c>
      <c r="H2" s="195" t="s">
        <v>876</v>
      </c>
      <c r="I2" s="195">
        <v>8.828847359E9</v>
      </c>
      <c r="J2" s="195"/>
      <c r="K2" s="195"/>
      <c r="L2" s="195" t="s">
        <v>877</v>
      </c>
      <c r="M2" s="195" t="s">
        <v>878</v>
      </c>
      <c r="N2" s="190" t="s">
        <v>879</v>
      </c>
      <c r="O2" s="212"/>
      <c r="P2" s="213"/>
      <c r="Q2" s="213"/>
      <c r="R2" s="213"/>
      <c r="S2" s="213"/>
      <c r="T2" s="213"/>
      <c r="U2" s="213"/>
      <c r="V2" s="213"/>
      <c r="W2" s="213"/>
      <c r="X2" s="213"/>
    </row>
    <row r="3">
      <c r="A3" s="191">
        <v>2.0</v>
      </c>
      <c r="B3" s="192" t="s">
        <v>713</v>
      </c>
      <c r="C3" s="193" t="s">
        <v>33</v>
      </c>
      <c r="D3" s="193"/>
      <c r="E3" s="194">
        <v>46114.0</v>
      </c>
      <c r="F3" s="195" t="s">
        <v>610</v>
      </c>
      <c r="G3" s="196" t="s">
        <v>880</v>
      </c>
      <c r="H3" s="195" t="s">
        <v>383</v>
      </c>
      <c r="I3" s="195">
        <v>9.82200127E9</v>
      </c>
      <c r="J3" s="195"/>
      <c r="K3" s="195"/>
      <c r="L3" s="195" t="s">
        <v>881</v>
      </c>
      <c r="M3" s="195"/>
      <c r="N3" s="190" t="s">
        <v>882</v>
      </c>
      <c r="O3" s="212"/>
      <c r="P3" s="213"/>
      <c r="Q3" s="213"/>
      <c r="R3" s="213"/>
      <c r="S3" s="213"/>
      <c r="T3" s="213"/>
      <c r="U3" s="213"/>
      <c r="V3" s="213"/>
      <c r="W3" s="213"/>
      <c r="X3" s="213"/>
    </row>
    <row r="4">
      <c r="A4" s="191">
        <v>3.0</v>
      </c>
      <c r="B4" s="192" t="s">
        <v>713</v>
      </c>
      <c r="C4" s="193" t="s">
        <v>33</v>
      </c>
      <c r="D4" s="193" t="s">
        <v>730</v>
      </c>
      <c r="E4" s="194">
        <v>46114.0</v>
      </c>
      <c r="F4" s="195" t="s">
        <v>610</v>
      </c>
      <c r="G4" s="196" t="s">
        <v>592</v>
      </c>
      <c r="H4" s="195" t="s">
        <v>723</v>
      </c>
      <c r="I4" s="195">
        <v>9.323961535E9</v>
      </c>
      <c r="J4" s="195"/>
      <c r="K4" s="195"/>
      <c r="L4" s="195"/>
      <c r="M4" s="192" t="s">
        <v>883</v>
      </c>
      <c r="N4" s="190" t="s">
        <v>884</v>
      </c>
      <c r="O4" s="212"/>
      <c r="P4" s="213"/>
      <c r="Q4" s="213"/>
      <c r="R4" s="213"/>
      <c r="S4" s="213"/>
      <c r="T4" s="213"/>
      <c r="U4" s="213"/>
      <c r="V4" s="213"/>
      <c r="W4" s="213"/>
      <c r="X4" s="213"/>
    </row>
    <row r="5">
      <c r="A5" s="191">
        <v>4.0</v>
      </c>
      <c r="B5" s="192" t="s">
        <v>713</v>
      </c>
      <c r="C5" s="193" t="s">
        <v>46</v>
      </c>
      <c r="D5" s="193" t="s">
        <v>714</v>
      </c>
      <c r="E5" s="194">
        <v>46114.0</v>
      </c>
      <c r="F5" s="195" t="s">
        <v>610</v>
      </c>
      <c r="G5" s="196" t="s">
        <v>885</v>
      </c>
      <c r="H5" s="195"/>
      <c r="I5" s="195">
        <v>9.9309451E8</v>
      </c>
      <c r="J5" s="195"/>
      <c r="K5" s="195"/>
      <c r="L5" s="195" t="s">
        <v>886</v>
      </c>
      <c r="M5" s="192" t="s">
        <v>887</v>
      </c>
      <c r="N5" s="190" t="s">
        <v>888</v>
      </c>
      <c r="O5" s="212"/>
      <c r="P5" s="213"/>
      <c r="Q5" s="213"/>
      <c r="R5" s="213"/>
      <c r="S5" s="213"/>
      <c r="T5" s="213"/>
      <c r="U5" s="213"/>
      <c r="V5" s="213"/>
      <c r="W5" s="213"/>
      <c r="X5" s="213"/>
    </row>
    <row r="6">
      <c r="A6" s="191">
        <v>5.0</v>
      </c>
      <c r="B6" s="192" t="s">
        <v>713</v>
      </c>
      <c r="C6" s="193" t="s">
        <v>46</v>
      </c>
      <c r="D6" s="193" t="s">
        <v>730</v>
      </c>
      <c r="E6" s="194">
        <v>46114.0</v>
      </c>
      <c r="F6" s="195" t="s">
        <v>610</v>
      </c>
      <c r="G6" s="196" t="s">
        <v>889</v>
      </c>
      <c r="H6" s="195" t="s">
        <v>890</v>
      </c>
      <c r="I6" s="195">
        <v>9.773112486E9</v>
      </c>
      <c r="J6" s="195"/>
      <c r="K6" s="195"/>
      <c r="L6" s="195" t="s">
        <v>891</v>
      </c>
      <c r="M6" s="192" t="s">
        <v>892</v>
      </c>
      <c r="N6" s="190" t="s">
        <v>893</v>
      </c>
      <c r="O6" s="212"/>
      <c r="P6" s="213"/>
      <c r="Q6" s="213"/>
      <c r="R6" s="213"/>
      <c r="S6" s="213"/>
      <c r="T6" s="213"/>
      <c r="U6" s="213"/>
      <c r="V6" s="213"/>
      <c r="W6" s="213"/>
      <c r="X6" s="213"/>
    </row>
    <row r="7">
      <c r="A7" s="191">
        <v>6.0</v>
      </c>
      <c r="B7" s="192" t="s">
        <v>713</v>
      </c>
      <c r="C7" s="193" t="s">
        <v>33</v>
      </c>
      <c r="D7" s="193"/>
      <c r="E7" s="194">
        <v>46114.0</v>
      </c>
      <c r="F7" s="195" t="s">
        <v>610</v>
      </c>
      <c r="G7" s="196" t="s">
        <v>894</v>
      </c>
      <c r="H7" s="195" t="s">
        <v>230</v>
      </c>
      <c r="I7" s="195">
        <v>8.097097916E9</v>
      </c>
      <c r="J7" s="195"/>
      <c r="K7" s="195"/>
      <c r="L7" s="195" t="s">
        <v>895</v>
      </c>
      <c r="M7" s="192" t="s">
        <v>896</v>
      </c>
      <c r="N7" s="190" t="s">
        <v>897</v>
      </c>
      <c r="O7" s="212"/>
      <c r="P7" s="213"/>
      <c r="Q7" s="213"/>
      <c r="R7" s="213"/>
      <c r="S7" s="213"/>
      <c r="T7" s="213"/>
      <c r="U7" s="213"/>
      <c r="V7" s="213"/>
      <c r="W7" s="213"/>
      <c r="X7" s="213"/>
    </row>
    <row r="8">
      <c r="A8" s="191">
        <v>7.0</v>
      </c>
      <c r="B8" s="192" t="s">
        <v>713</v>
      </c>
      <c r="C8" s="193" t="s">
        <v>33</v>
      </c>
      <c r="D8" s="193"/>
      <c r="E8" s="194">
        <v>46114.0</v>
      </c>
      <c r="F8" s="195" t="s">
        <v>610</v>
      </c>
      <c r="G8" s="196" t="s">
        <v>696</v>
      </c>
      <c r="H8" s="195" t="s">
        <v>898</v>
      </c>
      <c r="I8" s="195">
        <v>9.820058854E9</v>
      </c>
      <c r="J8" s="195"/>
      <c r="K8" s="195"/>
      <c r="L8" s="195" t="s">
        <v>899</v>
      </c>
      <c r="M8" s="192" t="s">
        <v>900</v>
      </c>
      <c r="N8" s="190" t="s">
        <v>901</v>
      </c>
      <c r="O8" s="212"/>
      <c r="P8" s="213"/>
      <c r="Q8" s="213"/>
      <c r="R8" s="213"/>
      <c r="S8" s="213"/>
      <c r="T8" s="213"/>
      <c r="U8" s="213"/>
      <c r="V8" s="213"/>
      <c r="W8" s="213"/>
      <c r="X8" s="213"/>
    </row>
    <row r="9">
      <c r="A9" s="191">
        <v>8.0</v>
      </c>
      <c r="B9" s="192" t="s">
        <v>713</v>
      </c>
      <c r="C9" s="193" t="s">
        <v>33</v>
      </c>
      <c r="D9" s="193"/>
      <c r="E9" s="194">
        <v>46116.0</v>
      </c>
      <c r="F9" s="195" t="s">
        <v>610</v>
      </c>
      <c r="G9" s="196" t="s">
        <v>902</v>
      </c>
      <c r="H9" s="195" t="s">
        <v>903</v>
      </c>
      <c r="I9" s="195">
        <v>9.004695256E9</v>
      </c>
      <c r="J9" s="195"/>
      <c r="K9" s="195"/>
      <c r="L9" s="195" t="s">
        <v>904</v>
      </c>
      <c r="M9" s="192"/>
      <c r="N9" s="190" t="s">
        <v>905</v>
      </c>
      <c r="O9" s="212"/>
      <c r="P9" s="213"/>
      <c r="Q9" s="213"/>
      <c r="R9" s="213"/>
      <c r="S9" s="213"/>
      <c r="T9" s="213"/>
      <c r="U9" s="213"/>
      <c r="V9" s="213"/>
      <c r="W9" s="213"/>
      <c r="X9" s="213"/>
    </row>
    <row r="10">
      <c r="A10" s="191">
        <v>9.0</v>
      </c>
      <c r="B10" s="192" t="s">
        <v>713</v>
      </c>
      <c r="C10" s="193" t="s">
        <v>33</v>
      </c>
      <c r="D10" s="193"/>
      <c r="E10" s="194">
        <v>46116.0</v>
      </c>
      <c r="F10" s="195" t="s">
        <v>610</v>
      </c>
      <c r="G10" s="196" t="s">
        <v>906</v>
      </c>
      <c r="H10" s="195" t="s">
        <v>907</v>
      </c>
      <c r="I10" s="195">
        <v>8.169616773E9</v>
      </c>
      <c r="J10" s="195"/>
      <c r="K10" s="195"/>
      <c r="L10" s="195" t="s">
        <v>908</v>
      </c>
      <c r="M10" s="192" t="s">
        <v>909</v>
      </c>
      <c r="N10" s="190" t="s">
        <v>910</v>
      </c>
      <c r="O10" s="212"/>
      <c r="P10" s="213"/>
      <c r="Q10" s="213"/>
      <c r="R10" s="213"/>
      <c r="S10" s="213"/>
      <c r="T10" s="213"/>
      <c r="U10" s="213"/>
      <c r="V10" s="213"/>
      <c r="W10" s="213"/>
      <c r="X10" s="213"/>
    </row>
    <row r="11">
      <c r="A11" s="191">
        <v>10.0</v>
      </c>
      <c r="B11" s="192" t="s">
        <v>713</v>
      </c>
      <c r="C11" s="193" t="s">
        <v>33</v>
      </c>
      <c r="D11" s="193"/>
      <c r="E11" s="194">
        <v>46116.0</v>
      </c>
      <c r="F11" s="195" t="s">
        <v>610</v>
      </c>
      <c r="G11" s="196" t="s">
        <v>911</v>
      </c>
      <c r="H11" s="195" t="s">
        <v>857</v>
      </c>
      <c r="I11" s="195">
        <v>9.920707623E9</v>
      </c>
      <c r="J11" s="195"/>
      <c r="K11" s="195"/>
      <c r="L11" s="195" t="s">
        <v>912</v>
      </c>
      <c r="M11" s="192"/>
      <c r="N11" s="190" t="s">
        <v>913</v>
      </c>
      <c r="O11" s="212"/>
      <c r="P11" s="213"/>
      <c r="Q11" s="213"/>
      <c r="R11" s="213"/>
      <c r="S11" s="213"/>
      <c r="T11" s="213"/>
      <c r="U11" s="213"/>
      <c r="V11" s="213"/>
      <c r="W11" s="213"/>
      <c r="X11" s="213"/>
    </row>
    <row r="12">
      <c r="A12" s="191">
        <v>11.0</v>
      </c>
      <c r="B12" s="192" t="s">
        <v>713</v>
      </c>
      <c r="C12" s="193" t="s">
        <v>914</v>
      </c>
      <c r="D12" s="193"/>
      <c r="E12" s="194">
        <v>46118.0</v>
      </c>
      <c r="F12" s="195" t="s">
        <v>610</v>
      </c>
      <c r="G12" s="196" t="s">
        <v>915</v>
      </c>
      <c r="H12" s="195" t="s">
        <v>916</v>
      </c>
      <c r="I12" s="195">
        <v>9.867676786E9</v>
      </c>
      <c r="J12" s="195"/>
      <c r="K12" s="195"/>
      <c r="L12" s="195" t="s">
        <v>917</v>
      </c>
      <c r="M12" s="192" t="s">
        <v>918</v>
      </c>
      <c r="N12" s="190" t="s">
        <v>919</v>
      </c>
      <c r="O12" s="212"/>
      <c r="P12" s="213"/>
      <c r="Q12" s="213"/>
      <c r="R12" s="213"/>
      <c r="S12" s="213"/>
      <c r="T12" s="213"/>
      <c r="U12" s="213"/>
      <c r="V12" s="213"/>
      <c r="W12" s="213"/>
      <c r="X12" s="213"/>
    </row>
    <row r="13">
      <c r="A13" s="191">
        <v>12.0</v>
      </c>
      <c r="B13" s="192" t="s">
        <v>713</v>
      </c>
      <c r="C13" s="193" t="s">
        <v>33</v>
      </c>
      <c r="D13" s="193"/>
      <c r="E13" s="194">
        <v>46118.0</v>
      </c>
      <c r="F13" s="195" t="s">
        <v>610</v>
      </c>
      <c r="G13" s="196" t="s">
        <v>920</v>
      </c>
      <c r="H13" s="195" t="s">
        <v>921</v>
      </c>
      <c r="I13" s="195">
        <v>9.930942579E9</v>
      </c>
      <c r="J13" s="195"/>
      <c r="K13" s="195"/>
      <c r="L13" s="195" t="s">
        <v>922</v>
      </c>
      <c r="M13" s="192"/>
      <c r="N13" s="190" t="s">
        <v>923</v>
      </c>
      <c r="O13" s="212"/>
      <c r="P13" s="213"/>
      <c r="Q13" s="213"/>
      <c r="R13" s="213"/>
      <c r="S13" s="213"/>
      <c r="T13" s="213"/>
      <c r="U13" s="213"/>
      <c r="V13" s="213"/>
      <c r="W13" s="213"/>
      <c r="X13" s="213"/>
    </row>
    <row r="14">
      <c r="A14" s="214">
        <v>13.0</v>
      </c>
      <c r="B14" s="192" t="s">
        <v>713</v>
      </c>
      <c r="C14" s="193" t="s">
        <v>33</v>
      </c>
      <c r="D14" s="193"/>
      <c r="E14" s="194">
        <v>46121.0</v>
      </c>
      <c r="F14" s="195" t="s">
        <v>610</v>
      </c>
      <c r="G14" s="196" t="s">
        <v>924</v>
      </c>
      <c r="H14" s="215" t="s">
        <v>925</v>
      </c>
      <c r="I14" s="215">
        <v>8.108055554E9</v>
      </c>
      <c r="J14" s="216" t="s">
        <v>926</v>
      </c>
      <c r="K14" s="216" t="s">
        <v>70</v>
      </c>
      <c r="L14" s="216" t="s">
        <v>927</v>
      </c>
      <c r="M14" s="192" t="s">
        <v>928</v>
      </c>
      <c r="N14" s="190" t="s">
        <v>929</v>
      </c>
      <c r="O14" s="213"/>
      <c r="P14" s="213"/>
      <c r="Q14" s="213"/>
      <c r="R14" s="213"/>
      <c r="S14" s="213"/>
      <c r="T14" s="213"/>
      <c r="U14" s="213"/>
      <c r="V14" s="213"/>
      <c r="W14" s="213"/>
      <c r="X14" s="213"/>
    </row>
    <row r="15">
      <c r="A15" s="214">
        <v>14.0</v>
      </c>
      <c r="B15" s="192" t="s">
        <v>713</v>
      </c>
      <c r="C15" s="193" t="s">
        <v>33</v>
      </c>
      <c r="D15" s="193"/>
      <c r="E15" s="194">
        <v>46121.0</v>
      </c>
      <c r="F15" s="195" t="s">
        <v>610</v>
      </c>
      <c r="G15" s="196" t="s">
        <v>930</v>
      </c>
      <c r="H15" s="215" t="s">
        <v>36</v>
      </c>
      <c r="I15" s="215">
        <v>7.302111111E9</v>
      </c>
      <c r="J15" s="217" t="s">
        <v>931</v>
      </c>
      <c r="K15" s="217" t="s">
        <v>551</v>
      </c>
      <c r="L15" s="217" t="s">
        <v>551</v>
      </c>
      <c r="M15" s="192" t="s">
        <v>932</v>
      </c>
      <c r="N15" s="190" t="s">
        <v>933</v>
      </c>
      <c r="O15" s="213"/>
      <c r="P15" s="213"/>
      <c r="Q15" s="213"/>
      <c r="R15" s="213"/>
      <c r="S15" s="213"/>
      <c r="T15" s="213"/>
      <c r="U15" s="213"/>
      <c r="V15" s="213"/>
      <c r="W15" s="213"/>
      <c r="X15" s="213"/>
    </row>
    <row r="16">
      <c r="A16" s="214">
        <v>15.0</v>
      </c>
      <c r="B16" s="192" t="s">
        <v>713</v>
      </c>
      <c r="C16" s="193" t="s">
        <v>33</v>
      </c>
      <c r="D16" s="193" t="s">
        <v>730</v>
      </c>
      <c r="E16" s="194">
        <v>46121.0</v>
      </c>
      <c r="F16" s="195" t="s">
        <v>610</v>
      </c>
      <c r="G16" s="196" t="s">
        <v>934</v>
      </c>
      <c r="H16" s="215" t="s">
        <v>935</v>
      </c>
      <c r="I16" s="215">
        <v>9.833389133E9</v>
      </c>
      <c r="J16" s="217" t="s">
        <v>936</v>
      </c>
      <c r="K16" s="217" t="s">
        <v>442</v>
      </c>
      <c r="L16" s="217" t="s">
        <v>937</v>
      </c>
      <c r="M16" s="192" t="s">
        <v>938</v>
      </c>
      <c r="N16" s="190" t="s">
        <v>939</v>
      </c>
      <c r="O16" s="213"/>
      <c r="P16" s="213"/>
      <c r="Q16" s="213"/>
      <c r="R16" s="213"/>
      <c r="S16" s="213"/>
      <c r="T16" s="213"/>
      <c r="U16" s="213"/>
      <c r="V16" s="213"/>
      <c r="W16" s="213"/>
      <c r="X16" s="213"/>
    </row>
    <row r="17">
      <c r="A17" s="214">
        <v>16.0</v>
      </c>
      <c r="B17" s="192" t="s">
        <v>713</v>
      </c>
      <c r="C17" s="193" t="s">
        <v>914</v>
      </c>
      <c r="D17" s="193" t="s">
        <v>730</v>
      </c>
      <c r="E17" s="194">
        <v>46121.0</v>
      </c>
      <c r="F17" s="195" t="s">
        <v>610</v>
      </c>
      <c r="G17" s="196" t="s">
        <v>74</v>
      </c>
      <c r="H17" s="215" t="s">
        <v>75</v>
      </c>
      <c r="I17" s="215">
        <v>9.819576467E9</v>
      </c>
      <c r="J17" s="197" t="s">
        <v>76</v>
      </c>
      <c r="K17" s="197" t="s">
        <v>77</v>
      </c>
      <c r="L17" s="217" t="s">
        <v>78</v>
      </c>
      <c r="M17" s="192" t="s">
        <v>918</v>
      </c>
      <c r="N17" s="190" t="s">
        <v>940</v>
      </c>
      <c r="O17" s="213"/>
      <c r="P17" s="213"/>
      <c r="Q17" s="213"/>
      <c r="R17" s="213"/>
      <c r="S17" s="213"/>
      <c r="T17" s="213"/>
      <c r="U17" s="213"/>
      <c r="V17" s="213"/>
      <c r="W17" s="213"/>
      <c r="X17" s="213"/>
    </row>
    <row r="18">
      <c r="A18" s="214">
        <v>17.0</v>
      </c>
      <c r="B18" s="192" t="s">
        <v>713</v>
      </c>
      <c r="C18" s="193" t="s">
        <v>33</v>
      </c>
      <c r="D18" s="193"/>
      <c r="E18" s="194">
        <v>46121.0</v>
      </c>
      <c r="F18" s="195" t="s">
        <v>610</v>
      </c>
      <c r="G18" s="196" t="s">
        <v>941</v>
      </c>
      <c r="H18" s="215" t="s">
        <v>942</v>
      </c>
      <c r="I18" s="215">
        <v>9.967063715E9</v>
      </c>
      <c r="J18" s="197" t="s">
        <v>943</v>
      </c>
      <c r="K18" s="197" t="s">
        <v>77</v>
      </c>
      <c r="L18" s="217" t="s">
        <v>944</v>
      </c>
      <c r="M18" s="192" t="s">
        <v>945</v>
      </c>
      <c r="N18" s="190" t="s">
        <v>946</v>
      </c>
      <c r="O18" s="213"/>
      <c r="P18" s="213"/>
      <c r="Q18" s="213"/>
      <c r="R18" s="213"/>
      <c r="S18" s="213"/>
      <c r="T18" s="213"/>
      <c r="U18" s="213"/>
      <c r="V18" s="213"/>
      <c r="W18" s="213"/>
      <c r="X18" s="213"/>
    </row>
    <row r="19">
      <c r="A19" s="214">
        <v>18.0</v>
      </c>
      <c r="B19" s="192" t="s">
        <v>713</v>
      </c>
      <c r="C19" s="193" t="s">
        <v>33</v>
      </c>
      <c r="D19" s="193"/>
      <c r="E19" s="194">
        <v>46121.0</v>
      </c>
      <c r="F19" s="195" t="s">
        <v>610</v>
      </c>
      <c r="G19" s="196" t="s">
        <v>947</v>
      </c>
      <c r="H19" s="215" t="s">
        <v>948</v>
      </c>
      <c r="I19" s="215">
        <v>9.223407006E9</v>
      </c>
      <c r="J19" s="218" t="s">
        <v>949</v>
      </c>
      <c r="K19" s="218" t="s">
        <v>950</v>
      </c>
      <c r="L19" s="217" t="s">
        <v>951</v>
      </c>
      <c r="M19" s="192" t="s">
        <v>79</v>
      </c>
      <c r="N19" s="190" t="s">
        <v>952</v>
      </c>
      <c r="O19" s="213"/>
      <c r="P19" s="213"/>
      <c r="Q19" s="213"/>
      <c r="R19" s="213"/>
      <c r="S19" s="213"/>
      <c r="T19" s="213"/>
      <c r="U19" s="213"/>
      <c r="V19" s="213"/>
      <c r="W19" s="213"/>
      <c r="X19" s="213"/>
    </row>
    <row r="20">
      <c r="A20" s="214">
        <v>19.0</v>
      </c>
      <c r="B20" s="192" t="s">
        <v>713</v>
      </c>
      <c r="C20" s="193" t="s">
        <v>33</v>
      </c>
      <c r="D20" s="193"/>
      <c r="E20" s="194">
        <v>46122.0</v>
      </c>
      <c r="F20" s="195" t="s">
        <v>610</v>
      </c>
      <c r="G20" s="215" t="s">
        <v>953</v>
      </c>
      <c r="H20" s="215" t="s">
        <v>954</v>
      </c>
      <c r="I20" s="215">
        <v>9.503441199E9</v>
      </c>
      <c r="J20" s="218" t="s">
        <v>955</v>
      </c>
      <c r="K20" s="218" t="s">
        <v>956</v>
      </c>
      <c r="L20" s="217" t="s">
        <v>957</v>
      </c>
      <c r="M20" s="192" t="s">
        <v>945</v>
      </c>
      <c r="N20" s="190" t="s">
        <v>958</v>
      </c>
      <c r="O20" s="213"/>
      <c r="P20" s="213"/>
      <c r="Q20" s="213"/>
      <c r="R20" s="213"/>
      <c r="S20" s="213"/>
      <c r="T20" s="213"/>
      <c r="U20" s="213"/>
      <c r="V20" s="213"/>
      <c r="W20" s="213"/>
      <c r="X20" s="213"/>
    </row>
    <row r="21">
      <c r="A21" s="214">
        <v>20.0</v>
      </c>
      <c r="B21" s="192" t="s">
        <v>713</v>
      </c>
      <c r="C21" s="193" t="s">
        <v>95</v>
      </c>
      <c r="D21" s="193" t="s">
        <v>714</v>
      </c>
      <c r="E21" s="194">
        <v>46122.0</v>
      </c>
      <c r="F21" s="195" t="s">
        <v>610</v>
      </c>
      <c r="G21" s="216" t="s">
        <v>959</v>
      </c>
      <c r="H21" s="216" t="s">
        <v>960</v>
      </c>
      <c r="I21" s="215">
        <v>9.820075749E9</v>
      </c>
      <c r="J21" s="218" t="s">
        <v>961</v>
      </c>
      <c r="K21" s="218" t="s">
        <v>63</v>
      </c>
      <c r="L21" s="217" t="s">
        <v>962</v>
      </c>
      <c r="M21" s="192" t="s">
        <v>963</v>
      </c>
      <c r="N21" s="190" t="s">
        <v>964</v>
      </c>
      <c r="O21" s="213"/>
      <c r="P21" s="213"/>
      <c r="Q21" s="213"/>
      <c r="R21" s="213"/>
      <c r="S21" s="213"/>
      <c r="T21" s="213"/>
      <c r="U21" s="213"/>
      <c r="V21" s="213"/>
      <c r="W21" s="213"/>
      <c r="X21" s="213"/>
    </row>
    <row r="22">
      <c r="A22" s="214">
        <v>21.0</v>
      </c>
      <c r="B22" s="192" t="s">
        <v>713</v>
      </c>
      <c r="C22" s="193" t="s">
        <v>33</v>
      </c>
      <c r="D22" s="193"/>
      <c r="E22" s="194">
        <v>46123.0</v>
      </c>
      <c r="F22" s="195" t="s">
        <v>610</v>
      </c>
      <c r="G22" s="217" t="s">
        <v>965</v>
      </c>
      <c r="H22" s="217" t="s">
        <v>966</v>
      </c>
      <c r="I22" s="215">
        <v>9.920600676E9</v>
      </c>
      <c r="J22" s="218" t="s">
        <v>967</v>
      </c>
      <c r="K22" s="218" t="s">
        <v>968</v>
      </c>
      <c r="L22" s="217" t="s">
        <v>969</v>
      </c>
      <c r="M22" s="192" t="s">
        <v>945</v>
      </c>
      <c r="N22" s="190" t="s">
        <v>970</v>
      </c>
      <c r="O22" s="213"/>
      <c r="P22" s="213"/>
      <c r="Q22" s="213"/>
      <c r="R22" s="213"/>
      <c r="S22" s="213"/>
      <c r="T22" s="213"/>
      <c r="U22" s="213"/>
      <c r="V22" s="213"/>
      <c r="W22" s="213"/>
      <c r="X22" s="213"/>
    </row>
    <row r="23">
      <c r="A23" s="214">
        <v>22.0</v>
      </c>
      <c r="B23" s="192" t="s">
        <v>713</v>
      </c>
      <c r="C23" s="193" t="s">
        <v>95</v>
      </c>
      <c r="D23" s="193"/>
      <c r="E23" s="194">
        <v>46123.0</v>
      </c>
      <c r="F23" s="195" t="s">
        <v>610</v>
      </c>
      <c r="G23" s="217" t="s">
        <v>971</v>
      </c>
      <c r="H23" s="217" t="s">
        <v>972</v>
      </c>
      <c r="I23" s="215">
        <v>9.049677746E9</v>
      </c>
      <c r="J23" s="218" t="s">
        <v>973</v>
      </c>
      <c r="K23" s="218" t="s">
        <v>974</v>
      </c>
      <c r="L23" s="217" t="s">
        <v>975</v>
      </c>
      <c r="M23" s="192" t="s">
        <v>976</v>
      </c>
      <c r="N23" s="190" t="s">
        <v>977</v>
      </c>
      <c r="O23" s="213"/>
      <c r="P23" s="213"/>
      <c r="Q23" s="213"/>
      <c r="R23" s="213"/>
      <c r="S23" s="213"/>
      <c r="T23" s="213"/>
      <c r="U23" s="213"/>
      <c r="V23" s="213"/>
      <c r="W23" s="213"/>
      <c r="X23" s="213"/>
    </row>
    <row r="24">
      <c r="A24" s="214">
        <v>23.0</v>
      </c>
      <c r="B24" s="192" t="s">
        <v>713</v>
      </c>
      <c r="C24" s="193" t="s">
        <v>80</v>
      </c>
      <c r="D24" s="193"/>
      <c r="E24" s="194">
        <v>46124.0</v>
      </c>
      <c r="F24" s="195" t="s">
        <v>610</v>
      </c>
      <c r="G24" s="217" t="s">
        <v>978</v>
      </c>
      <c r="H24" s="217" t="s">
        <v>330</v>
      </c>
      <c r="I24" s="215">
        <v>8.356955361E9</v>
      </c>
      <c r="J24" s="218" t="s">
        <v>979</v>
      </c>
      <c r="K24" s="197" t="s">
        <v>77</v>
      </c>
      <c r="L24" s="218" t="s">
        <v>980</v>
      </c>
      <c r="M24" s="192" t="s">
        <v>945</v>
      </c>
      <c r="N24" s="190" t="s">
        <v>981</v>
      </c>
      <c r="O24" s="213"/>
      <c r="P24" s="213"/>
      <c r="Q24" s="213"/>
      <c r="R24" s="213"/>
      <c r="S24" s="213"/>
      <c r="T24" s="213"/>
      <c r="U24" s="213"/>
      <c r="V24" s="213"/>
      <c r="W24" s="213"/>
      <c r="X24" s="213"/>
    </row>
    <row r="25">
      <c r="A25" s="219">
        <v>25.0</v>
      </c>
      <c r="B25" s="192" t="s">
        <v>713</v>
      </c>
      <c r="C25" s="193" t="s">
        <v>95</v>
      </c>
      <c r="D25" s="193" t="s">
        <v>714</v>
      </c>
      <c r="E25" s="194">
        <v>46125.0</v>
      </c>
      <c r="F25" s="195" t="s">
        <v>610</v>
      </c>
      <c r="G25" s="220" t="s">
        <v>982</v>
      </c>
      <c r="H25" s="220" t="s">
        <v>983</v>
      </c>
      <c r="I25" s="220">
        <v>9.820969006E9</v>
      </c>
      <c r="J25" s="220" t="s">
        <v>984</v>
      </c>
      <c r="K25" s="220" t="s">
        <v>985</v>
      </c>
      <c r="L25" s="220" t="s">
        <v>986</v>
      </c>
      <c r="M25" s="192" t="s">
        <v>987</v>
      </c>
      <c r="N25" s="190" t="s">
        <v>988</v>
      </c>
      <c r="O25" s="213"/>
      <c r="P25" s="213"/>
      <c r="Q25" s="213"/>
      <c r="R25" s="213"/>
      <c r="S25" s="213"/>
      <c r="T25" s="213"/>
      <c r="U25" s="213"/>
      <c r="V25" s="213"/>
      <c r="W25" s="213"/>
      <c r="X25" s="213"/>
    </row>
    <row r="26">
      <c r="A26" s="219">
        <v>26.0</v>
      </c>
      <c r="B26" s="192" t="s">
        <v>713</v>
      </c>
      <c r="C26" s="193" t="s">
        <v>33</v>
      </c>
      <c r="D26" s="193"/>
      <c r="E26" s="194">
        <v>46128.0</v>
      </c>
      <c r="F26" s="195" t="s">
        <v>610</v>
      </c>
      <c r="G26" s="221" t="s">
        <v>989</v>
      </c>
      <c r="H26" s="200" t="s">
        <v>990</v>
      </c>
      <c r="I26" s="221">
        <v>9.769264537E9</v>
      </c>
      <c r="J26" s="221" t="s">
        <v>991</v>
      </c>
      <c r="K26" s="221" t="s">
        <v>992</v>
      </c>
      <c r="L26" s="221" t="s">
        <v>993</v>
      </c>
      <c r="M26" s="192" t="s">
        <v>79</v>
      </c>
      <c r="N26" s="190" t="s">
        <v>994</v>
      </c>
      <c r="O26" s="222"/>
      <c r="P26" s="222"/>
      <c r="Q26" s="222"/>
      <c r="R26" s="222"/>
      <c r="S26" s="222"/>
      <c r="T26" s="222"/>
      <c r="U26" s="222"/>
      <c r="V26" s="222"/>
      <c r="W26" s="222"/>
      <c r="X26" s="222"/>
    </row>
    <row r="27">
      <c r="A27" s="223">
        <v>27.0</v>
      </c>
      <c r="B27" s="192" t="s">
        <v>713</v>
      </c>
      <c r="C27" s="193" t="s">
        <v>33</v>
      </c>
      <c r="D27" s="193" t="s">
        <v>730</v>
      </c>
      <c r="E27" s="194">
        <v>46129.0</v>
      </c>
      <c r="F27" s="195" t="s">
        <v>610</v>
      </c>
      <c r="G27" s="224" t="s">
        <v>995</v>
      </c>
      <c r="H27" s="225" t="s">
        <v>996</v>
      </c>
      <c r="I27" s="224">
        <v>9.820404401E9</v>
      </c>
      <c r="J27" s="224" t="s">
        <v>997</v>
      </c>
      <c r="K27" s="224" t="s">
        <v>998</v>
      </c>
      <c r="L27" s="224" t="s">
        <v>999</v>
      </c>
      <c r="M27" s="226" t="s">
        <v>1000</v>
      </c>
      <c r="N27" s="190" t="s">
        <v>1001</v>
      </c>
      <c r="O27" s="227"/>
      <c r="P27" s="227"/>
      <c r="Q27" s="227"/>
      <c r="R27" s="227"/>
      <c r="S27" s="227"/>
      <c r="T27" s="227"/>
      <c r="U27" s="227"/>
      <c r="V27" s="227"/>
      <c r="W27" s="227"/>
      <c r="X27" s="227"/>
    </row>
    <row r="28">
      <c r="A28" s="228">
        <v>28.0</v>
      </c>
      <c r="B28" s="192" t="s">
        <v>713</v>
      </c>
      <c r="C28" s="193" t="s">
        <v>33</v>
      </c>
      <c r="D28" s="229"/>
      <c r="E28" s="194">
        <v>46132.0</v>
      </c>
      <c r="F28" s="195" t="s">
        <v>610</v>
      </c>
      <c r="G28" s="224" t="s">
        <v>1002</v>
      </c>
      <c r="H28" s="224" t="s">
        <v>1003</v>
      </c>
      <c r="I28" s="224">
        <v>9.702739555E9</v>
      </c>
      <c r="J28" s="224" t="s">
        <v>1004</v>
      </c>
      <c r="K28" s="224" t="s">
        <v>738</v>
      </c>
      <c r="L28" s="224" t="s">
        <v>1005</v>
      </c>
      <c r="M28" s="230" t="s">
        <v>1006</v>
      </c>
      <c r="N28" s="231" t="s">
        <v>1007</v>
      </c>
      <c r="O28" s="232"/>
      <c r="P28" s="233"/>
      <c r="Q28" s="233"/>
      <c r="R28" s="233"/>
      <c r="S28" s="233"/>
      <c r="T28" s="233"/>
      <c r="U28" s="233"/>
      <c r="V28" s="233"/>
      <c r="W28" s="233"/>
      <c r="X28" s="233"/>
    </row>
    <row r="29">
      <c r="A29" s="220">
        <v>29.0</v>
      </c>
      <c r="B29" s="192" t="s">
        <v>713</v>
      </c>
      <c r="C29" s="193" t="s">
        <v>33</v>
      </c>
      <c r="D29" s="193" t="s">
        <v>730</v>
      </c>
      <c r="E29" s="194">
        <v>46133.0</v>
      </c>
      <c r="F29" s="195" t="s">
        <v>610</v>
      </c>
      <c r="G29" s="224" t="s">
        <v>1008</v>
      </c>
      <c r="H29" s="224" t="s">
        <v>1009</v>
      </c>
      <c r="I29" s="224">
        <v>9.8927111E9</v>
      </c>
      <c r="J29" s="224" t="s">
        <v>1010</v>
      </c>
      <c r="K29" s="224" t="s">
        <v>1011</v>
      </c>
      <c r="L29" s="224" t="s">
        <v>1012</v>
      </c>
      <c r="M29" s="230" t="s">
        <v>1013</v>
      </c>
      <c r="N29" s="231" t="s">
        <v>1014</v>
      </c>
      <c r="O29" s="234"/>
      <c r="P29" s="213"/>
      <c r="Q29" s="213"/>
      <c r="R29" s="213"/>
      <c r="S29" s="213"/>
      <c r="T29" s="213"/>
      <c r="U29" s="213"/>
      <c r="V29" s="213"/>
      <c r="W29" s="213"/>
      <c r="X29" s="213"/>
    </row>
    <row r="30">
      <c r="A30" s="219">
        <v>30.0</v>
      </c>
      <c r="B30" s="192" t="s">
        <v>713</v>
      </c>
      <c r="C30" s="193" t="s">
        <v>914</v>
      </c>
      <c r="D30" s="193"/>
      <c r="E30" s="194">
        <v>46133.0</v>
      </c>
      <c r="F30" s="195" t="s">
        <v>610</v>
      </c>
      <c r="G30" s="224" t="s">
        <v>930</v>
      </c>
      <c r="H30" s="224" t="s">
        <v>1015</v>
      </c>
      <c r="I30" s="224">
        <v>9.820669082E9</v>
      </c>
      <c r="J30" s="224" t="s">
        <v>1016</v>
      </c>
      <c r="K30" s="224" t="s">
        <v>551</v>
      </c>
      <c r="L30" s="224" t="s">
        <v>1017</v>
      </c>
      <c r="M30" s="230" t="s">
        <v>216</v>
      </c>
      <c r="N30" s="231" t="s">
        <v>1018</v>
      </c>
      <c r="O30" s="213"/>
      <c r="P30" s="213"/>
      <c r="Q30" s="213"/>
      <c r="R30" s="213"/>
      <c r="S30" s="213"/>
      <c r="T30" s="213"/>
      <c r="U30" s="213"/>
      <c r="V30" s="213"/>
      <c r="W30" s="213"/>
      <c r="X30" s="213"/>
    </row>
    <row r="31">
      <c r="A31" s="219">
        <v>31.0</v>
      </c>
      <c r="B31" s="192" t="s">
        <v>713</v>
      </c>
      <c r="C31" s="193" t="s">
        <v>95</v>
      </c>
      <c r="D31" s="193" t="s">
        <v>730</v>
      </c>
      <c r="E31" s="194">
        <v>46133.0</v>
      </c>
      <c r="F31" s="195" t="s">
        <v>610</v>
      </c>
      <c r="G31" s="224" t="s">
        <v>1019</v>
      </c>
      <c r="H31" s="224" t="s">
        <v>1020</v>
      </c>
      <c r="I31" s="224">
        <v>9.022117987E9</v>
      </c>
      <c r="J31" s="224" t="s">
        <v>1021</v>
      </c>
      <c r="K31" s="224" t="s">
        <v>56</v>
      </c>
      <c r="L31" s="224" t="s">
        <v>1022</v>
      </c>
      <c r="M31" s="230" t="s">
        <v>1023</v>
      </c>
      <c r="N31" s="231" t="s">
        <v>1024</v>
      </c>
      <c r="O31" s="213"/>
      <c r="P31" s="213"/>
      <c r="Q31" s="213"/>
      <c r="R31" s="213"/>
      <c r="S31" s="213"/>
      <c r="T31" s="213"/>
      <c r="U31" s="213"/>
      <c r="V31" s="213"/>
      <c r="W31" s="213"/>
      <c r="X31" s="213"/>
    </row>
    <row r="32">
      <c r="A32" s="219">
        <v>32.0</v>
      </c>
      <c r="B32" s="192" t="s">
        <v>713</v>
      </c>
      <c r="C32" s="193" t="s">
        <v>33</v>
      </c>
      <c r="D32" s="193"/>
      <c r="E32" s="194">
        <v>46135.0</v>
      </c>
      <c r="F32" s="195" t="s">
        <v>610</v>
      </c>
      <c r="G32" s="224" t="s">
        <v>242</v>
      </c>
      <c r="H32" s="224" t="s">
        <v>1025</v>
      </c>
      <c r="I32" s="224">
        <v>8.433889506E9</v>
      </c>
      <c r="J32" s="224" t="s">
        <v>1026</v>
      </c>
      <c r="K32" s="224" t="s">
        <v>1027</v>
      </c>
      <c r="L32" s="224" t="s">
        <v>1028</v>
      </c>
      <c r="M32" s="230" t="s">
        <v>476</v>
      </c>
      <c r="N32" s="231" t="s">
        <v>1029</v>
      </c>
      <c r="O32" s="213"/>
      <c r="P32" s="213"/>
      <c r="Q32" s="213"/>
      <c r="R32" s="213"/>
      <c r="S32" s="213"/>
      <c r="T32" s="213"/>
      <c r="U32" s="213"/>
      <c r="V32" s="213"/>
      <c r="W32" s="213"/>
      <c r="X32" s="213"/>
    </row>
    <row r="33">
      <c r="A33" s="219">
        <v>33.0</v>
      </c>
      <c r="B33" s="192" t="s">
        <v>713</v>
      </c>
      <c r="C33" s="193" t="s">
        <v>914</v>
      </c>
      <c r="D33" s="193" t="s">
        <v>714</v>
      </c>
      <c r="E33" s="194">
        <v>46135.0</v>
      </c>
      <c r="F33" s="195" t="s">
        <v>610</v>
      </c>
      <c r="G33" s="224" t="s">
        <v>218</v>
      </c>
      <c r="H33" s="224" t="s">
        <v>219</v>
      </c>
      <c r="I33" s="224">
        <v>9.82002422E9</v>
      </c>
      <c r="J33" s="224" t="s">
        <v>220</v>
      </c>
      <c r="K33" s="224" t="s">
        <v>221</v>
      </c>
      <c r="L33" s="224" t="s">
        <v>222</v>
      </c>
      <c r="M33" s="230" t="s">
        <v>141</v>
      </c>
      <c r="N33" s="231" t="s">
        <v>1030</v>
      </c>
      <c r="O33" s="213"/>
      <c r="P33" s="213"/>
      <c r="Q33" s="213"/>
      <c r="R33" s="213"/>
      <c r="S33" s="213"/>
      <c r="T33" s="213"/>
      <c r="U33" s="213"/>
      <c r="V33" s="213"/>
      <c r="W33" s="213"/>
      <c r="X33" s="213"/>
    </row>
    <row r="34">
      <c r="A34" s="219">
        <v>34.0</v>
      </c>
      <c r="B34" s="192" t="s">
        <v>713</v>
      </c>
      <c r="C34" s="193" t="s">
        <v>914</v>
      </c>
      <c r="D34" s="193"/>
      <c r="E34" s="235">
        <v>46147.0</v>
      </c>
      <c r="F34" s="195" t="s">
        <v>610</v>
      </c>
      <c r="G34" s="224" t="s">
        <v>1031</v>
      </c>
      <c r="H34" s="224" t="s">
        <v>1032</v>
      </c>
      <c r="I34" s="224">
        <v>9.820224115E9</v>
      </c>
      <c r="J34" s="224" t="s">
        <v>1033</v>
      </c>
      <c r="K34" s="224" t="s">
        <v>77</v>
      </c>
      <c r="L34" s="224" t="s">
        <v>1034</v>
      </c>
      <c r="M34" s="230" t="s">
        <v>1035</v>
      </c>
      <c r="N34" s="231" t="s">
        <v>1036</v>
      </c>
      <c r="O34" s="213"/>
      <c r="P34" s="213"/>
      <c r="Q34" s="213"/>
      <c r="R34" s="213"/>
      <c r="S34" s="213"/>
      <c r="T34" s="213"/>
      <c r="U34" s="213"/>
      <c r="V34" s="213"/>
      <c r="W34" s="213"/>
      <c r="X34" s="213"/>
    </row>
    <row r="35">
      <c r="A35" s="219">
        <v>35.0</v>
      </c>
      <c r="B35" s="192" t="s">
        <v>713</v>
      </c>
      <c r="C35" s="193" t="s">
        <v>33</v>
      </c>
      <c r="D35" s="193"/>
      <c r="E35" s="235">
        <v>46147.0</v>
      </c>
      <c r="F35" s="195" t="s">
        <v>610</v>
      </c>
      <c r="G35" s="224" t="s">
        <v>1037</v>
      </c>
      <c r="H35" s="224" t="s">
        <v>90</v>
      </c>
      <c r="I35" s="224">
        <v>9.821230896E9</v>
      </c>
      <c r="J35" s="224" t="s">
        <v>1038</v>
      </c>
      <c r="K35" s="224" t="s">
        <v>77</v>
      </c>
      <c r="L35" s="224" t="s">
        <v>1039</v>
      </c>
      <c r="M35" s="230" t="s">
        <v>285</v>
      </c>
      <c r="N35" s="231" t="s">
        <v>1040</v>
      </c>
      <c r="O35" s="213"/>
      <c r="P35" s="213"/>
      <c r="Q35" s="213"/>
      <c r="R35" s="213"/>
      <c r="S35" s="213"/>
      <c r="T35" s="213"/>
      <c r="U35" s="213"/>
      <c r="V35" s="213"/>
      <c r="W35" s="213"/>
      <c r="X35" s="213"/>
    </row>
    <row r="36">
      <c r="A36" s="219">
        <v>36.0</v>
      </c>
      <c r="B36" s="192" t="s">
        <v>713</v>
      </c>
      <c r="C36" s="193" t="s">
        <v>33</v>
      </c>
      <c r="D36" s="193" t="s">
        <v>730</v>
      </c>
      <c r="E36" s="236">
        <v>46163.0</v>
      </c>
      <c r="F36" s="195" t="s">
        <v>610</v>
      </c>
      <c r="G36" s="224" t="s">
        <v>1041</v>
      </c>
      <c r="H36" s="224" t="s">
        <v>1042</v>
      </c>
      <c r="I36" s="224" t="s">
        <v>1043</v>
      </c>
      <c r="J36" s="224" t="s">
        <v>1044</v>
      </c>
      <c r="K36" s="224" t="s">
        <v>316</v>
      </c>
      <c r="L36" s="224" t="s">
        <v>1045</v>
      </c>
      <c r="M36" s="230" t="s">
        <v>1046</v>
      </c>
      <c r="N36" s="231" t="s">
        <v>1047</v>
      </c>
      <c r="O36" s="213"/>
      <c r="P36" s="213"/>
      <c r="Q36" s="213"/>
      <c r="R36" s="213"/>
      <c r="S36" s="213"/>
      <c r="T36" s="213"/>
      <c r="U36" s="213"/>
      <c r="V36" s="213"/>
      <c r="W36" s="213"/>
      <c r="X36" s="213"/>
    </row>
    <row r="37">
      <c r="A37" s="219">
        <v>36.0</v>
      </c>
      <c r="B37" s="192" t="s">
        <v>713</v>
      </c>
      <c r="C37" s="193" t="s">
        <v>46</v>
      </c>
      <c r="D37" s="193" t="s">
        <v>730</v>
      </c>
      <c r="E37" s="236">
        <v>46163.0</v>
      </c>
      <c r="F37" s="195" t="s">
        <v>610</v>
      </c>
      <c r="G37" s="224" t="s">
        <v>1048</v>
      </c>
      <c r="H37" s="224" t="s">
        <v>1049</v>
      </c>
      <c r="I37" s="224">
        <v>8.961993482E9</v>
      </c>
      <c r="J37" s="224" t="s">
        <v>1050</v>
      </c>
      <c r="K37" s="224" t="s">
        <v>1051</v>
      </c>
      <c r="L37" s="224" t="s">
        <v>1052</v>
      </c>
      <c r="M37" s="230" t="s">
        <v>1053</v>
      </c>
      <c r="N37" s="231" t="s">
        <v>1054</v>
      </c>
      <c r="O37" s="213"/>
      <c r="P37" s="213"/>
      <c r="Q37" s="213"/>
      <c r="R37" s="213"/>
      <c r="S37" s="213"/>
      <c r="T37" s="213"/>
      <c r="U37" s="213"/>
      <c r="V37" s="213"/>
      <c r="W37" s="213"/>
      <c r="X37" s="213"/>
    </row>
    <row r="38">
      <c r="A38" s="219">
        <v>37.0</v>
      </c>
      <c r="B38" s="192" t="s">
        <v>713</v>
      </c>
      <c r="C38" s="193" t="s">
        <v>33</v>
      </c>
      <c r="D38" s="193" t="s">
        <v>730</v>
      </c>
      <c r="E38" s="236">
        <v>46164.0</v>
      </c>
      <c r="F38" s="195" t="s">
        <v>610</v>
      </c>
      <c r="G38" s="224" t="s">
        <v>1055</v>
      </c>
      <c r="H38" s="224" t="s">
        <v>707</v>
      </c>
      <c r="I38" s="224">
        <v>9.167391581E9</v>
      </c>
      <c r="J38" s="224" t="s">
        <v>1056</v>
      </c>
      <c r="K38" s="237"/>
      <c r="L38" s="224" t="s">
        <v>1057</v>
      </c>
      <c r="M38" s="238"/>
      <c r="N38" s="231" t="s">
        <v>1058</v>
      </c>
      <c r="O38" s="213"/>
      <c r="P38" s="213"/>
      <c r="Q38" s="213"/>
      <c r="R38" s="213"/>
      <c r="S38" s="213"/>
      <c r="T38" s="213"/>
      <c r="U38" s="213"/>
      <c r="V38" s="213"/>
      <c r="W38" s="213"/>
      <c r="X38" s="213"/>
    </row>
    <row r="39">
      <c r="A39" s="219">
        <v>38.0</v>
      </c>
      <c r="B39" s="192" t="s">
        <v>713</v>
      </c>
      <c r="C39" s="193" t="s">
        <v>95</v>
      </c>
      <c r="D39" s="193" t="s">
        <v>714</v>
      </c>
      <c r="E39" s="236">
        <v>46164.0</v>
      </c>
      <c r="F39" s="195" t="s">
        <v>610</v>
      </c>
      <c r="G39" s="224" t="s">
        <v>849</v>
      </c>
      <c r="H39" s="224" t="s">
        <v>1059</v>
      </c>
      <c r="I39" s="224">
        <v>9.1671818E9</v>
      </c>
      <c r="J39" s="239" t="s">
        <v>1060</v>
      </c>
      <c r="K39" s="224"/>
      <c r="L39" s="224" t="s">
        <v>1061</v>
      </c>
      <c r="M39" s="230" t="s">
        <v>1062</v>
      </c>
      <c r="N39" s="231" t="s">
        <v>1063</v>
      </c>
      <c r="O39" s="213"/>
      <c r="P39" s="213"/>
      <c r="Q39" s="213"/>
      <c r="R39" s="213"/>
      <c r="S39" s="213"/>
      <c r="T39" s="213"/>
      <c r="U39" s="213"/>
      <c r="V39" s="213"/>
      <c r="W39" s="213"/>
      <c r="X39" s="213"/>
    </row>
    <row r="40">
      <c r="A40" s="219">
        <v>39.0</v>
      </c>
      <c r="B40" s="192" t="s">
        <v>713</v>
      </c>
      <c r="C40" s="193" t="s">
        <v>80</v>
      </c>
      <c r="D40" s="193" t="s">
        <v>714</v>
      </c>
      <c r="E40" s="236">
        <v>46164.0</v>
      </c>
      <c r="F40" s="195" t="s">
        <v>610</v>
      </c>
      <c r="G40" s="224" t="s">
        <v>1064</v>
      </c>
      <c r="H40" s="224" t="s">
        <v>1065</v>
      </c>
      <c r="I40" s="224">
        <v>9.323784794E9</v>
      </c>
      <c r="J40" s="240" t="s">
        <v>1066</v>
      </c>
      <c r="K40" s="237"/>
      <c r="L40" s="240" t="s">
        <v>1067</v>
      </c>
      <c r="M40" s="238"/>
      <c r="N40" s="231" t="s">
        <v>1068</v>
      </c>
      <c r="O40" s="213"/>
      <c r="P40" s="213"/>
      <c r="Q40" s="213"/>
      <c r="R40" s="213"/>
      <c r="S40" s="213"/>
      <c r="T40" s="213"/>
      <c r="U40" s="213"/>
      <c r="V40" s="213"/>
      <c r="W40" s="213"/>
      <c r="X40" s="213"/>
    </row>
    <row r="41">
      <c r="A41" s="219">
        <v>40.0</v>
      </c>
      <c r="B41" s="192" t="s">
        <v>713</v>
      </c>
      <c r="C41" s="193" t="s">
        <v>80</v>
      </c>
      <c r="D41" s="193" t="s">
        <v>730</v>
      </c>
      <c r="E41" s="236">
        <v>46165.0</v>
      </c>
      <c r="F41" s="195" t="s">
        <v>610</v>
      </c>
      <c r="G41" s="224" t="s">
        <v>1069</v>
      </c>
      <c r="H41" s="224" t="s">
        <v>1070</v>
      </c>
      <c r="I41" s="224">
        <v>8.45189908E9</v>
      </c>
      <c r="J41" s="240" t="s">
        <v>1071</v>
      </c>
      <c r="K41" s="224" t="s">
        <v>1072</v>
      </c>
      <c r="L41" s="240" t="s">
        <v>1073</v>
      </c>
      <c r="M41" s="230" t="s">
        <v>1074</v>
      </c>
      <c r="N41" s="231" t="s">
        <v>1075</v>
      </c>
      <c r="O41" s="213"/>
      <c r="P41" s="213"/>
      <c r="Q41" s="213"/>
      <c r="R41" s="213"/>
      <c r="S41" s="213"/>
      <c r="T41" s="213"/>
      <c r="U41" s="213"/>
      <c r="V41" s="213"/>
      <c r="W41" s="213"/>
      <c r="X41" s="213"/>
    </row>
    <row r="42">
      <c r="A42" s="219">
        <v>41.0</v>
      </c>
      <c r="B42" s="192" t="s">
        <v>713</v>
      </c>
      <c r="C42" s="193" t="s">
        <v>914</v>
      </c>
      <c r="D42" s="193" t="s">
        <v>714</v>
      </c>
      <c r="E42" s="236">
        <v>46168.0</v>
      </c>
      <c r="F42" s="195" t="s">
        <v>610</v>
      </c>
      <c r="G42" s="224" t="s">
        <v>1076</v>
      </c>
      <c r="H42" s="224" t="s">
        <v>1077</v>
      </c>
      <c r="I42" s="224">
        <v>9.718101234E9</v>
      </c>
      <c r="J42" s="240" t="s">
        <v>1078</v>
      </c>
      <c r="K42" s="224" t="s">
        <v>56</v>
      </c>
      <c r="L42" s="240" t="s">
        <v>1079</v>
      </c>
      <c r="M42" s="230" t="s">
        <v>1080</v>
      </c>
      <c r="N42" s="231" t="s">
        <v>1081</v>
      </c>
      <c r="O42" s="213"/>
      <c r="P42" s="213"/>
      <c r="Q42" s="213"/>
      <c r="R42" s="213"/>
      <c r="S42" s="213"/>
      <c r="T42" s="213"/>
      <c r="U42" s="213"/>
      <c r="V42" s="213"/>
      <c r="W42" s="213"/>
      <c r="X42" s="213"/>
    </row>
    <row r="43">
      <c r="A43" s="219">
        <v>42.0</v>
      </c>
      <c r="B43" s="192" t="s">
        <v>713</v>
      </c>
      <c r="C43" s="193" t="s">
        <v>80</v>
      </c>
      <c r="D43" s="193" t="s">
        <v>714</v>
      </c>
      <c r="E43" s="236">
        <v>46168.0</v>
      </c>
      <c r="F43" s="195" t="s">
        <v>610</v>
      </c>
      <c r="G43" s="224" t="s">
        <v>1082</v>
      </c>
      <c r="H43" s="224" t="s">
        <v>1083</v>
      </c>
      <c r="I43" s="224">
        <v>9.820022272E9</v>
      </c>
      <c r="J43" s="240" t="s">
        <v>1084</v>
      </c>
      <c r="K43" s="224" t="s">
        <v>1085</v>
      </c>
      <c r="L43" s="239" t="s">
        <v>1086</v>
      </c>
      <c r="M43" s="230" t="s">
        <v>1087</v>
      </c>
      <c r="N43" s="231" t="s">
        <v>1088</v>
      </c>
      <c r="O43" s="213"/>
      <c r="P43" s="213"/>
      <c r="Q43" s="213"/>
      <c r="R43" s="213"/>
      <c r="S43" s="213"/>
      <c r="T43" s="213"/>
      <c r="U43" s="213"/>
      <c r="V43" s="213"/>
      <c r="W43" s="213"/>
      <c r="X43" s="213"/>
    </row>
    <row r="44">
      <c r="A44" s="219">
        <v>43.0</v>
      </c>
      <c r="B44" s="192" t="s">
        <v>713</v>
      </c>
      <c r="C44" s="193" t="s">
        <v>46</v>
      </c>
      <c r="D44" s="193" t="s">
        <v>714</v>
      </c>
      <c r="E44" s="236">
        <v>46168.0</v>
      </c>
      <c r="F44" s="195" t="s">
        <v>610</v>
      </c>
      <c r="G44" s="224" t="s">
        <v>1089</v>
      </c>
      <c r="H44" s="224" t="s">
        <v>353</v>
      </c>
      <c r="I44" s="224">
        <v>7.498165886E9</v>
      </c>
      <c r="J44" s="240" t="s">
        <v>1090</v>
      </c>
      <c r="K44" s="237"/>
      <c r="L44" s="240" t="s">
        <v>1091</v>
      </c>
      <c r="M44" s="230" t="s">
        <v>1092</v>
      </c>
      <c r="N44" s="231" t="s">
        <v>1093</v>
      </c>
      <c r="O44" s="213"/>
      <c r="P44" s="213"/>
      <c r="Q44" s="213"/>
      <c r="R44" s="213"/>
      <c r="S44" s="213"/>
      <c r="T44" s="213"/>
      <c r="U44" s="213"/>
      <c r="V44" s="213"/>
      <c r="W44" s="213"/>
      <c r="X44" s="213"/>
    </row>
    <row r="45">
      <c r="A45" s="219">
        <v>44.0</v>
      </c>
      <c r="B45" s="192" t="s">
        <v>713</v>
      </c>
      <c r="C45" s="193" t="s">
        <v>154</v>
      </c>
      <c r="D45" s="193"/>
      <c r="E45" s="235">
        <v>46178.0</v>
      </c>
      <c r="F45" s="195" t="s">
        <v>610</v>
      </c>
      <c r="G45" s="224" t="s">
        <v>1094</v>
      </c>
      <c r="H45" s="224" t="s">
        <v>1095</v>
      </c>
      <c r="I45" s="224">
        <v>9.902435733E9</v>
      </c>
      <c r="J45" s="240" t="s">
        <v>1096</v>
      </c>
      <c r="K45" s="224" t="s">
        <v>1097</v>
      </c>
      <c r="L45" s="240" t="s">
        <v>1098</v>
      </c>
      <c r="M45" s="230" t="s">
        <v>760</v>
      </c>
      <c r="N45" s="231" t="s">
        <v>1099</v>
      </c>
      <c r="O45" s="213"/>
      <c r="P45" s="213"/>
      <c r="Q45" s="213"/>
      <c r="R45" s="213"/>
      <c r="S45" s="213"/>
      <c r="T45" s="213"/>
      <c r="U45" s="213"/>
      <c r="V45" s="213"/>
      <c r="W45" s="213"/>
      <c r="X45" s="213"/>
    </row>
    <row r="46">
      <c r="A46" s="219">
        <v>45.0</v>
      </c>
      <c r="B46" s="192" t="s">
        <v>713</v>
      </c>
      <c r="C46" s="193" t="s">
        <v>80</v>
      </c>
      <c r="D46" s="193"/>
      <c r="E46" s="235">
        <v>46178.0</v>
      </c>
      <c r="F46" s="195" t="s">
        <v>610</v>
      </c>
      <c r="G46" s="224" t="s">
        <v>1100</v>
      </c>
      <c r="H46" s="224" t="s">
        <v>1101</v>
      </c>
      <c r="I46" s="224">
        <v>9.820525108E9</v>
      </c>
      <c r="J46" s="240" t="s">
        <v>1102</v>
      </c>
      <c r="K46" s="224" t="s">
        <v>626</v>
      </c>
      <c r="L46" s="240" t="s">
        <v>1103</v>
      </c>
      <c r="M46" s="230" t="s">
        <v>1104</v>
      </c>
      <c r="N46" s="231" t="s">
        <v>1105</v>
      </c>
      <c r="O46" s="213"/>
      <c r="P46" s="213"/>
      <c r="Q46" s="213"/>
      <c r="R46" s="213"/>
      <c r="S46" s="213"/>
      <c r="T46" s="213"/>
      <c r="U46" s="213"/>
      <c r="V46" s="213"/>
      <c r="W46" s="213"/>
      <c r="X46" s="213"/>
    </row>
    <row r="47">
      <c r="A47" s="219">
        <v>46.0</v>
      </c>
      <c r="B47" s="192" t="s">
        <v>713</v>
      </c>
      <c r="C47" s="193" t="s">
        <v>80</v>
      </c>
      <c r="D47" s="193"/>
      <c r="E47" s="235">
        <v>46181.0</v>
      </c>
      <c r="F47" s="195" t="s">
        <v>610</v>
      </c>
      <c r="G47" s="224" t="s">
        <v>1106</v>
      </c>
      <c r="H47" s="224" t="s">
        <v>1107</v>
      </c>
      <c r="I47" s="224">
        <v>9.136552816E9</v>
      </c>
      <c r="J47" s="240" t="s">
        <v>1108</v>
      </c>
      <c r="K47" s="224" t="s">
        <v>1109</v>
      </c>
      <c r="L47" s="240" t="s">
        <v>1110</v>
      </c>
      <c r="M47" s="230" t="s">
        <v>1111</v>
      </c>
      <c r="N47" s="231" t="s">
        <v>1112</v>
      </c>
      <c r="O47" s="213"/>
      <c r="P47" s="213"/>
      <c r="Q47" s="213"/>
      <c r="R47" s="213"/>
      <c r="S47" s="213"/>
      <c r="T47" s="213"/>
      <c r="U47" s="213"/>
      <c r="V47" s="213"/>
      <c r="W47" s="213"/>
      <c r="X47" s="213"/>
    </row>
    <row r="48">
      <c r="A48" s="219">
        <v>47.0</v>
      </c>
      <c r="B48" s="192" t="s">
        <v>713</v>
      </c>
      <c r="C48" s="193" t="s">
        <v>46</v>
      </c>
      <c r="D48" s="193"/>
      <c r="E48" s="235">
        <v>46181.0</v>
      </c>
      <c r="F48" s="195" t="s">
        <v>610</v>
      </c>
      <c r="G48" s="224" t="s">
        <v>1113</v>
      </c>
      <c r="H48" s="224" t="s">
        <v>707</v>
      </c>
      <c r="I48" s="224">
        <v>8.976066999E9</v>
      </c>
      <c r="J48" s="240" t="s">
        <v>1114</v>
      </c>
      <c r="K48" s="224" t="s">
        <v>1115</v>
      </c>
      <c r="L48" s="240" t="s">
        <v>1116</v>
      </c>
      <c r="M48" s="230" t="s">
        <v>506</v>
      </c>
      <c r="N48" s="231" t="s">
        <v>1117</v>
      </c>
      <c r="O48" s="213"/>
      <c r="P48" s="213"/>
      <c r="Q48" s="213"/>
      <c r="R48" s="213"/>
      <c r="S48" s="213"/>
      <c r="T48" s="213"/>
      <c r="U48" s="213"/>
      <c r="V48" s="213"/>
      <c r="W48" s="213"/>
      <c r="X48" s="213"/>
    </row>
    <row r="49">
      <c r="A49" s="219">
        <v>48.0</v>
      </c>
      <c r="B49" s="192" t="s">
        <v>713</v>
      </c>
      <c r="C49" s="193" t="s">
        <v>80</v>
      </c>
      <c r="D49" s="193"/>
      <c r="E49" s="235">
        <v>46181.0</v>
      </c>
      <c r="F49" s="195" t="s">
        <v>610</v>
      </c>
      <c r="G49" s="224" t="s">
        <v>1118</v>
      </c>
      <c r="H49" s="224" t="s">
        <v>1119</v>
      </c>
      <c r="I49" s="224">
        <v>8.108989891E9</v>
      </c>
      <c r="J49" s="240" t="s">
        <v>1120</v>
      </c>
      <c r="K49" s="224" t="s">
        <v>208</v>
      </c>
      <c r="L49" s="240" t="s">
        <v>1121</v>
      </c>
      <c r="M49" s="230" t="s">
        <v>1122</v>
      </c>
      <c r="N49" s="231" t="s">
        <v>1123</v>
      </c>
      <c r="O49" s="213"/>
      <c r="P49" s="213"/>
      <c r="Q49" s="213"/>
      <c r="R49" s="213"/>
      <c r="S49" s="213"/>
      <c r="T49" s="213"/>
      <c r="U49" s="213"/>
      <c r="V49" s="213"/>
      <c r="W49" s="213"/>
      <c r="X49" s="213"/>
    </row>
    <row r="50">
      <c r="A50" s="219">
        <v>49.0</v>
      </c>
      <c r="B50" s="192" t="s">
        <v>713</v>
      </c>
      <c r="C50" s="193" t="s">
        <v>46</v>
      </c>
      <c r="D50" s="193"/>
      <c r="E50" s="235">
        <v>46182.0</v>
      </c>
      <c r="F50" s="195" t="s">
        <v>610</v>
      </c>
      <c r="G50" s="224" t="s">
        <v>782</v>
      </c>
      <c r="H50" s="224" t="s">
        <v>783</v>
      </c>
      <c r="I50" s="224" t="s">
        <v>1124</v>
      </c>
      <c r="J50" s="240" t="s">
        <v>784</v>
      </c>
      <c r="K50" s="224" t="s">
        <v>626</v>
      </c>
      <c r="L50" s="240" t="s">
        <v>1125</v>
      </c>
      <c r="M50" s="230" t="s">
        <v>1126</v>
      </c>
      <c r="N50" s="231" t="s">
        <v>1127</v>
      </c>
      <c r="O50" s="213"/>
      <c r="P50" s="213"/>
      <c r="Q50" s="213"/>
      <c r="R50" s="213"/>
      <c r="S50" s="213"/>
      <c r="T50" s="213"/>
      <c r="U50" s="213"/>
      <c r="V50" s="213"/>
      <c r="W50" s="213"/>
      <c r="X50" s="213"/>
    </row>
    <row r="51">
      <c r="A51" s="219">
        <v>50.0</v>
      </c>
      <c r="B51" s="192" t="s">
        <v>713</v>
      </c>
      <c r="C51" s="193" t="s">
        <v>80</v>
      </c>
      <c r="D51" s="193"/>
      <c r="E51" s="236">
        <v>46183.0</v>
      </c>
      <c r="F51" s="195" t="s">
        <v>610</v>
      </c>
      <c r="G51" s="224" t="s">
        <v>1128</v>
      </c>
      <c r="H51" s="224" t="s">
        <v>1129</v>
      </c>
      <c r="I51" s="224">
        <v>8.898472841E9</v>
      </c>
      <c r="J51" s="240" t="s">
        <v>1130</v>
      </c>
      <c r="K51" s="224" t="s">
        <v>1131</v>
      </c>
      <c r="L51" s="240" t="s">
        <v>1132</v>
      </c>
      <c r="M51" s="230" t="s">
        <v>1133</v>
      </c>
      <c r="N51" s="231" t="s">
        <v>1134</v>
      </c>
      <c r="O51" s="213"/>
      <c r="P51" s="213"/>
      <c r="Q51" s="213"/>
      <c r="R51" s="213"/>
      <c r="S51" s="213"/>
      <c r="T51" s="213"/>
      <c r="U51" s="213"/>
      <c r="V51" s="213"/>
      <c r="W51" s="213"/>
      <c r="X51" s="213"/>
    </row>
    <row r="52">
      <c r="A52" s="213"/>
      <c r="B52" s="213"/>
      <c r="C52" s="213"/>
      <c r="D52" s="213"/>
      <c r="E52" s="213"/>
      <c r="F52" s="213"/>
      <c r="G52" s="213"/>
      <c r="H52" s="213"/>
      <c r="I52" s="213"/>
      <c r="J52" s="213"/>
      <c r="K52" s="213"/>
      <c r="L52" s="213"/>
      <c r="M52" s="213"/>
      <c r="N52" s="213"/>
      <c r="O52" s="213"/>
      <c r="P52" s="213"/>
      <c r="Q52" s="213"/>
      <c r="R52" s="213"/>
      <c r="S52" s="213"/>
      <c r="T52" s="213"/>
      <c r="U52" s="213"/>
      <c r="V52" s="213"/>
      <c r="W52" s="213"/>
      <c r="X52" s="213"/>
    </row>
    <row r="53">
      <c r="A53" s="213"/>
      <c r="B53" s="213"/>
      <c r="C53" s="213"/>
      <c r="D53" s="213"/>
      <c r="E53" s="213"/>
      <c r="F53" s="213"/>
      <c r="G53" s="213"/>
      <c r="H53" s="213"/>
      <c r="I53" s="213"/>
      <c r="J53" s="213"/>
      <c r="K53" s="213"/>
      <c r="L53" s="213"/>
      <c r="M53" s="213"/>
      <c r="N53" s="213"/>
      <c r="O53" s="213"/>
      <c r="P53" s="213"/>
      <c r="Q53" s="213"/>
      <c r="R53" s="213"/>
      <c r="S53" s="213"/>
      <c r="T53" s="213"/>
      <c r="U53" s="213"/>
      <c r="V53" s="213"/>
      <c r="W53" s="213"/>
      <c r="X53" s="213"/>
    </row>
    <row r="54">
      <c r="A54" s="213"/>
      <c r="B54" s="213"/>
      <c r="C54" s="213"/>
      <c r="D54" s="213"/>
      <c r="E54" s="213"/>
      <c r="F54" s="213"/>
      <c r="G54" s="213"/>
      <c r="H54" s="213"/>
      <c r="I54" s="213"/>
      <c r="J54" s="213"/>
      <c r="K54" s="213"/>
      <c r="L54" s="213"/>
      <c r="M54" s="213"/>
      <c r="N54" s="213"/>
      <c r="O54" s="213"/>
      <c r="P54" s="213"/>
      <c r="Q54" s="213"/>
      <c r="R54" s="213"/>
      <c r="S54" s="213"/>
      <c r="T54" s="213"/>
      <c r="U54" s="213"/>
      <c r="V54" s="213"/>
      <c r="W54" s="213"/>
      <c r="X54" s="213"/>
    </row>
    <row r="55">
      <c r="A55" s="213"/>
      <c r="B55" s="213"/>
      <c r="C55" s="213"/>
      <c r="D55" s="213"/>
      <c r="E55" s="213"/>
      <c r="F55" s="213"/>
      <c r="G55" s="213"/>
      <c r="H55" s="213"/>
      <c r="I55" s="213"/>
      <c r="J55" s="213"/>
      <c r="K55" s="213"/>
      <c r="L55" s="213"/>
      <c r="M55" s="213"/>
      <c r="N55" s="213"/>
      <c r="O55" s="213"/>
      <c r="P55" s="213"/>
      <c r="Q55" s="213"/>
      <c r="R55" s="213"/>
      <c r="S55" s="213"/>
      <c r="T55" s="213"/>
      <c r="U55" s="213"/>
      <c r="V55" s="213"/>
      <c r="W55" s="213"/>
      <c r="X55" s="213"/>
    </row>
    <row r="56">
      <c r="A56" s="213"/>
      <c r="B56" s="213"/>
      <c r="C56" s="213"/>
      <c r="D56" s="213"/>
      <c r="E56" s="213"/>
      <c r="F56" s="213"/>
      <c r="G56" s="213"/>
      <c r="H56" s="213"/>
      <c r="I56" s="213"/>
      <c r="J56" s="213"/>
      <c r="K56" s="213"/>
      <c r="L56" s="213"/>
      <c r="M56" s="213"/>
      <c r="N56" s="213"/>
      <c r="O56" s="213"/>
      <c r="P56" s="213"/>
      <c r="Q56" s="213"/>
      <c r="R56" s="213"/>
      <c r="S56" s="213"/>
      <c r="T56" s="213"/>
      <c r="U56" s="213"/>
      <c r="V56" s="213"/>
      <c r="W56" s="213"/>
      <c r="X56" s="213"/>
    </row>
    <row r="57">
      <c r="A57" s="213"/>
      <c r="B57" s="213"/>
      <c r="C57" s="213"/>
      <c r="D57" s="213"/>
      <c r="E57" s="213"/>
      <c r="F57" s="213"/>
      <c r="G57" s="213"/>
      <c r="H57" s="213"/>
      <c r="I57" s="213"/>
      <c r="J57" s="213"/>
      <c r="K57" s="213"/>
      <c r="L57" s="213"/>
      <c r="M57" s="213"/>
      <c r="N57" s="213"/>
      <c r="O57" s="213"/>
      <c r="P57" s="213"/>
      <c r="Q57" s="213"/>
      <c r="R57" s="213"/>
      <c r="S57" s="213"/>
      <c r="T57" s="213"/>
      <c r="U57" s="213"/>
      <c r="V57" s="213"/>
      <c r="W57" s="213"/>
      <c r="X57" s="213"/>
    </row>
    <row r="58">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row>
    <row r="59">
      <c r="A59" s="213"/>
      <c r="B59" s="213"/>
      <c r="C59" s="213"/>
      <c r="D59" s="213"/>
      <c r="E59" s="213"/>
      <c r="F59" s="213"/>
      <c r="G59" s="213"/>
      <c r="H59" s="213"/>
      <c r="I59" s="213"/>
      <c r="J59" s="213"/>
      <c r="K59" s="213"/>
      <c r="L59" s="213"/>
      <c r="M59" s="213"/>
      <c r="N59" s="213"/>
      <c r="O59" s="213"/>
      <c r="P59" s="213"/>
      <c r="Q59" s="213"/>
      <c r="R59" s="213"/>
      <c r="S59" s="213"/>
      <c r="T59" s="213"/>
      <c r="U59" s="213"/>
      <c r="V59" s="213"/>
      <c r="W59" s="213"/>
      <c r="X59" s="213"/>
    </row>
    <row r="60">
      <c r="A60" s="213"/>
      <c r="B60" s="213"/>
      <c r="C60" s="213"/>
      <c r="D60" s="213"/>
      <c r="E60" s="213"/>
      <c r="F60" s="213"/>
      <c r="G60" s="213"/>
      <c r="H60" s="213"/>
      <c r="I60" s="213"/>
      <c r="J60" s="213"/>
      <c r="K60" s="213"/>
      <c r="L60" s="213"/>
      <c r="M60" s="213"/>
      <c r="N60" s="213"/>
      <c r="O60" s="213"/>
      <c r="P60" s="213"/>
      <c r="Q60" s="213"/>
      <c r="R60" s="213"/>
      <c r="S60" s="213"/>
      <c r="T60" s="213"/>
      <c r="U60" s="213"/>
      <c r="V60" s="213"/>
      <c r="W60" s="213"/>
      <c r="X60" s="213"/>
    </row>
    <row r="61">
      <c r="A61" s="213"/>
      <c r="B61" s="213"/>
      <c r="C61" s="213"/>
      <c r="D61" s="213"/>
      <c r="E61" s="213"/>
      <c r="F61" s="213"/>
      <c r="G61" s="213"/>
      <c r="H61" s="213"/>
      <c r="I61" s="213"/>
      <c r="J61" s="213"/>
      <c r="K61" s="213"/>
      <c r="L61" s="213"/>
      <c r="M61" s="213"/>
      <c r="N61" s="213"/>
      <c r="O61" s="213"/>
      <c r="P61" s="213"/>
      <c r="Q61" s="213"/>
      <c r="R61" s="213"/>
      <c r="S61" s="213"/>
      <c r="T61" s="213"/>
      <c r="U61" s="213"/>
      <c r="V61" s="213"/>
      <c r="W61" s="213"/>
      <c r="X61" s="213"/>
    </row>
    <row r="62">
      <c r="A62" s="213"/>
      <c r="B62" s="213"/>
      <c r="C62" s="213"/>
      <c r="D62" s="213"/>
      <c r="E62" s="213"/>
      <c r="F62" s="213"/>
      <c r="G62" s="213"/>
      <c r="H62" s="213"/>
      <c r="I62" s="213"/>
      <c r="J62" s="213"/>
      <c r="K62" s="213"/>
      <c r="L62" s="213"/>
      <c r="M62" s="213"/>
      <c r="N62" s="213"/>
      <c r="O62" s="213"/>
      <c r="P62" s="213"/>
      <c r="Q62" s="213"/>
      <c r="R62" s="213"/>
      <c r="S62" s="213"/>
      <c r="T62" s="213"/>
      <c r="U62" s="213"/>
      <c r="V62" s="213"/>
      <c r="W62" s="213"/>
      <c r="X62" s="213"/>
    </row>
    <row r="63">
      <c r="A63" s="213"/>
      <c r="B63" s="213"/>
      <c r="C63" s="213"/>
      <c r="D63" s="213"/>
      <c r="E63" s="213"/>
      <c r="F63" s="213"/>
      <c r="G63" s="213"/>
      <c r="H63" s="213"/>
      <c r="I63" s="213"/>
      <c r="J63" s="213"/>
      <c r="K63" s="213"/>
      <c r="L63" s="213"/>
      <c r="M63" s="213"/>
      <c r="N63" s="213"/>
      <c r="O63" s="213"/>
      <c r="P63" s="213"/>
      <c r="Q63" s="213"/>
      <c r="R63" s="213"/>
      <c r="S63" s="213"/>
      <c r="T63" s="213"/>
      <c r="U63" s="213"/>
      <c r="V63" s="213"/>
      <c r="W63" s="213"/>
      <c r="X63" s="213"/>
    </row>
    <row r="64">
      <c r="A64" s="213"/>
      <c r="B64" s="213"/>
      <c r="C64" s="213"/>
      <c r="D64" s="213"/>
      <c r="E64" s="213"/>
      <c r="F64" s="213"/>
      <c r="G64" s="213"/>
      <c r="H64" s="213"/>
      <c r="I64" s="213"/>
      <c r="J64" s="213"/>
      <c r="K64" s="213"/>
      <c r="L64" s="213"/>
      <c r="M64" s="213"/>
      <c r="N64" s="213"/>
      <c r="O64" s="213"/>
      <c r="P64" s="213"/>
      <c r="Q64" s="213"/>
      <c r="R64" s="213"/>
      <c r="S64" s="213"/>
      <c r="T64" s="213"/>
      <c r="U64" s="213"/>
      <c r="V64" s="213"/>
      <c r="W64" s="213"/>
      <c r="X64" s="213"/>
    </row>
    <row r="65">
      <c r="A65" s="213"/>
      <c r="B65" s="213"/>
      <c r="C65" s="213"/>
      <c r="D65" s="213"/>
      <c r="E65" s="213"/>
      <c r="F65" s="213"/>
      <c r="G65" s="213"/>
      <c r="H65" s="213"/>
      <c r="I65" s="213"/>
      <c r="J65" s="213"/>
      <c r="K65" s="213"/>
      <c r="L65" s="213"/>
      <c r="M65" s="213"/>
      <c r="N65" s="213"/>
      <c r="O65" s="213"/>
      <c r="P65" s="213"/>
      <c r="Q65" s="213"/>
      <c r="R65" s="213"/>
      <c r="S65" s="213"/>
      <c r="T65" s="213"/>
      <c r="U65" s="213"/>
      <c r="V65" s="213"/>
      <c r="W65" s="213"/>
      <c r="X65" s="213"/>
    </row>
    <row r="66">
      <c r="A66" s="213"/>
      <c r="B66" s="213"/>
      <c r="C66" s="213"/>
      <c r="D66" s="213"/>
      <c r="E66" s="213"/>
      <c r="F66" s="213"/>
      <c r="G66" s="213"/>
      <c r="H66" s="213"/>
      <c r="I66" s="213"/>
      <c r="J66" s="213"/>
      <c r="K66" s="213"/>
      <c r="L66" s="213"/>
      <c r="M66" s="213"/>
      <c r="N66" s="213"/>
      <c r="O66" s="213"/>
      <c r="P66" s="213"/>
      <c r="Q66" s="213"/>
      <c r="R66" s="213"/>
      <c r="S66" s="213"/>
      <c r="T66" s="213"/>
      <c r="U66" s="213"/>
      <c r="V66" s="213"/>
      <c r="W66" s="213"/>
      <c r="X66" s="213"/>
    </row>
    <row r="67">
      <c r="A67" s="213"/>
      <c r="B67" s="213"/>
      <c r="C67" s="213"/>
      <c r="D67" s="213"/>
      <c r="E67" s="213"/>
      <c r="F67" s="213"/>
      <c r="G67" s="213"/>
      <c r="H67" s="213"/>
      <c r="I67" s="213"/>
      <c r="J67" s="213"/>
      <c r="K67" s="213"/>
      <c r="L67" s="213"/>
      <c r="M67" s="213"/>
      <c r="N67" s="213"/>
      <c r="O67" s="213"/>
      <c r="P67" s="213"/>
      <c r="Q67" s="213"/>
      <c r="R67" s="213"/>
      <c r="S67" s="213"/>
      <c r="T67" s="213"/>
      <c r="U67" s="213"/>
      <c r="V67" s="213"/>
      <c r="W67" s="213"/>
      <c r="X67" s="213"/>
    </row>
    <row r="68">
      <c r="A68" s="213"/>
      <c r="B68" s="213"/>
      <c r="C68" s="213"/>
      <c r="D68" s="213"/>
      <c r="E68" s="213"/>
      <c r="F68" s="213"/>
      <c r="G68" s="213"/>
      <c r="H68" s="213"/>
      <c r="I68" s="213"/>
      <c r="J68" s="213"/>
      <c r="K68" s="213"/>
      <c r="L68" s="213"/>
      <c r="M68" s="213"/>
      <c r="N68" s="213"/>
      <c r="O68" s="213"/>
      <c r="P68" s="213"/>
      <c r="Q68" s="213"/>
      <c r="R68" s="213"/>
      <c r="S68" s="213"/>
      <c r="T68" s="213"/>
      <c r="U68" s="213"/>
      <c r="V68" s="213"/>
      <c r="W68" s="213"/>
      <c r="X68" s="213"/>
    </row>
    <row r="69">
      <c r="A69" s="213"/>
      <c r="B69" s="213"/>
      <c r="C69" s="213"/>
      <c r="D69" s="213"/>
      <c r="E69" s="213"/>
      <c r="F69" s="213"/>
      <c r="G69" s="213"/>
      <c r="H69" s="213"/>
      <c r="I69" s="213"/>
      <c r="J69" s="213"/>
      <c r="K69" s="213"/>
      <c r="L69" s="213"/>
      <c r="M69" s="213"/>
      <c r="N69" s="213"/>
      <c r="O69" s="213"/>
      <c r="P69" s="213"/>
      <c r="Q69" s="213"/>
      <c r="R69" s="213"/>
      <c r="S69" s="213"/>
      <c r="T69" s="213"/>
      <c r="U69" s="213"/>
      <c r="V69" s="213"/>
      <c r="W69" s="213"/>
      <c r="X69" s="213"/>
    </row>
    <row r="70">
      <c r="A70" s="213"/>
      <c r="B70" s="213"/>
      <c r="C70" s="213"/>
      <c r="D70" s="213"/>
      <c r="E70" s="213"/>
      <c r="F70" s="213"/>
      <c r="G70" s="213"/>
      <c r="H70" s="213"/>
      <c r="I70" s="213"/>
      <c r="J70" s="213"/>
      <c r="K70" s="213"/>
      <c r="L70" s="213"/>
      <c r="M70" s="213"/>
      <c r="N70" s="213"/>
      <c r="O70" s="213"/>
      <c r="P70" s="213"/>
      <c r="Q70" s="213"/>
      <c r="R70" s="213"/>
      <c r="S70" s="213"/>
      <c r="T70" s="213"/>
      <c r="U70" s="213"/>
      <c r="V70" s="213"/>
      <c r="W70" s="213"/>
      <c r="X70" s="213"/>
    </row>
    <row r="71">
      <c r="A71" s="213"/>
      <c r="B71" s="213"/>
      <c r="C71" s="213"/>
      <c r="D71" s="213"/>
      <c r="E71" s="213"/>
      <c r="F71" s="213"/>
      <c r="G71" s="213"/>
      <c r="H71" s="213"/>
      <c r="I71" s="213"/>
      <c r="J71" s="213"/>
      <c r="K71" s="213"/>
      <c r="L71" s="213"/>
      <c r="M71" s="213"/>
      <c r="N71" s="213"/>
      <c r="O71" s="213"/>
      <c r="P71" s="213"/>
      <c r="Q71" s="213"/>
      <c r="R71" s="213"/>
      <c r="S71" s="213"/>
      <c r="T71" s="213"/>
      <c r="U71" s="213"/>
      <c r="V71" s="213"/>
      <c r="W71" s="213"/>
      <c r="X71" s="213"/>
    </row>
    <row r="72">
      <c r="A72" s="213"/>
      <c r="B72" s="213"/>
      <c r="C72" s="213"/>
      <c r="D72" s="213"/>
      <c r="E72" s="213"/>
      <c r="F72" s="213"/>
      <c r="G72" s="213"/>
      <c r="H72" s="213"/>
      <c r="I72" s="213"/>
      <c r="J72" s="213"/>
      <c r="K72" s="213"/>
      <c r="L72" s="213"/>
      <c r="M72" s="213"/>
      <c r="N72" s="213"/>
      <c r="O72" s="213"/>
      <c r="P72" s="213"/>
      <c r="Q72" s="213"/>
      <c r="R72" s="213"/>
      <c r="S72" s="213"/>
      <c r="T72" s="213"/>
      <c r="U72" s="213"/>
      <c r="V72" s="213"/>
      <c r="W72" s="213"/>
      <c r="X72" s="213"/>
    </row>
    <row r="73">
      <c r="A73" s="213"/>
      <c r="B73" s="213"/>
      <c r="C73" s="213"/>
      <c r="D73" s="213"/>
      <c r="E73" s="213"/>
      <c r="F73" s="213"/>
      <c r="G73" s="213"/>
      <c r="H73" s="213"/>
      <c r="I73" s="213"/>
      <c r="J73" s="213"/>
      <c r="K73" s="213"/>
      <c r="L73" s="213"/>
      <c r="M73" s="213"/>
      <c r="N73" s="213"/>
      <c r="O73" s="213"/>
      <c r="P73" s="213"/>
      <c r="Q73" s="213"/>
      <c r="R73" s="213"/>
      <c r="S73" s="213"/>
      <c r="T73" s="213"/>
      <c r="U73" s="213"/>
      <c r="V73" s="213"/>
      <c r="W73" s="213"/>
      <c r="X73" s="213"/>
    </row>
    <row r="74">
      <c r="A74" s="213"/>
      <c r="B74" s="213"/>
      <c r="C74" s="213"/>
      <c r="D74" s="213"/>
      <c r="E74" s="213"/>
      <c r="F74" s="213"/>
      <c r="G74" s="213"/>
      <c r="H74" s="213"/>
      <c r="I74" s="213"/>
      <c r="J74" s="213"/>
      <c r="K74" s="213"/>
      <c r="L74" s="213"/>
      <c r="M74" s="213"/>
      <c r="N74" s="213"/>
      <c r="O74" s="213"/>
      <c r="P74" s="213"/>
      <c r="Q74" s="213"/>
      <c r="R74" s="213"/>
      <c r="S74" s="213"/>
      <c r="T74" s="213"/>
      <c r="U74" s="213"/>
      <c r="V74" s="213"/>
      <c r="W74" s="213"/>
      <c r="X74" s="213"/>
    </row>
    <row r="75">
      <c r="A75" s="213"/>
      <c r="B75" s="213"/>
      <c r="C75" s="213"/>
      <c r="D75" s="213"/>
      <c r="E75" s="213"/>
      <c r="F75" s="213"/>
      <c r="G75" s="213"/>
      <c r="H75" s="213"/>
      <c r="I75" s="213"/>
      <c r="J75" s="213"/>
      <c r="K75" s="213"/>
      <c r="L75" s="213"/>
      <c r="M75" s="213"/>
      <c r="N75" s="213"/>
      <c r="O75" s="213"/>
      <c r="P75" s="213"/>
      <c r="Q75" s="213"/>
      <c r="R75" s="213"/>
      <c r="S75" s="213"/>
      <c r="T75" s="213"/>
      <c r="U75" s="213"/>
      <c r="V75" s="213"/>
      <c r="W75" s="213"/>
      <c r="X75" s="213"/>
    </row>
    <row r="76">
      <c r="A76" s="213"/>
      <c r="B76" s="213"/>
      <c r="C76" s="213"/>
      <c r="D76" s="213"/>
      <c r="E76" s="213"/>
      <c r="F76" s="213"/>
      <c r="G76" s="213"/>
      <c r="H76" s="213"/>
      <c r="I76" s="213"/>
      <c r="J76" s="213"/>
      <c r="K76" s="213"/>
      <c r="L76" s="213"/>
      <c r="M76" s="213"/>
      <c r="N76" s="213"/>
      <c r="O76" s="213"/>
      <c r="P76" s="213"/>
      <c r="Q76" s="213"/>
      <c r="R76" s="213"/>
      <c r="S76" s="213"/>
      <c r="T76" s="213"/>
      <c r="U76" s="213"/>
      <c r="V76" s="213"/>
      <c r="W76" s="213"/>
      <c r="X76" s="213"/>
    </row>
    <row r="77">
      <c r="A77" s="213"/>
      <c r="B77" s="213"/>
      <c r="C77" s="213"/>
      <c r="D77" s="213"/>
      <c r="E77" s="213"/>
      <c r="F77" s="213"/>
      <c r="G77" s="213"/>
      <c r="H77" s="213"/>
      <c r="I77" s="213"/>
      <c r="J77" s="213"/>
      <c r="K77" s="213"/>
      <c r="L77" s="213"/>
      <c r="M77" s="213"/>
      <c r="N77" s="213"/>
      <c r="O77" s="213"/>
      <c r="P77" s="213"/>
      <c r="Q77" s="213"/>
      <c r="R77" s="213"/>
      <c r="S77" s="213"/>
      <c r="T77" s="213"/>
      <c r="U77" s="213"/>
      <c r="V77" s="213"/>
      <c r="W77" s="213"/>
      <c r="X77" s="213"/>
    </row>
    <row r="78">
      <c r="A78" s="213"/>
      <c r="B78" s="213"/>
      <c r="C78" s="213"/>
      <c r="D78" s="213"/>
      <c r="E78" s="213"/>
      <c r="F78" s="213"/>
      <c r="G78" s="213"/>
      <c r="H78" s="213"/>
      <c r="I78" s="213"/>
      <c r="J78" s="213"/>
      <c r="K78" s="213"/>
      <c r="L78" s="213"/>
      <c r="M78" s="213"/>
      <c r="N78" s="213"/>
      <c r="O78" s="213"/>
      <c r="P78" s="213"/>
      <c r="Q78" s="213"/>
      <c r="R78" s="213"/>
      <c r="S78" s="213"/>
      <c r="T78" s="213"/>
      <c r="U78" s="213"/>
      <c r="V78" s="213"/>
      <c r="W78" s="213"/>
      <c r="X78" s="213"/>
    </row>
    <row r="79">
      <c r="A79" s="213"/>
      <c r="B79" s="213"/>
      <c r="C79" s="213"/>
      <c r="D79" s="213"/>
      <c r="E79" s="213"/>
      <c r="F79" s="213"/>
      <c r="G79" s="213"/>
      <c r="H79" s="213"/>
      <c r="I79" s="213"/>
      <c r="J79" s="213"/>
      <c r="K79" s="213"/>
      <c r="L79" s="213"/>
      <c r="M79" s="213"/>
      <c r="N79" s="213"/>
      <c r="O79" s="213"/>
      <c r="P79" s="213"/>
      <c r="Q79" s="213"/>
      <c r="R79" s="213"/>
      <c r="S79" s="213"/>
      <c r="T79" s="213"/>
      <c r="U79" s="213"/>
      <c r="V79" s="213"/>
      <c r="W79" s="213"/>
      <c r="X79" s="213"/>
    </row>
    <row r="80">
      <c r="A80" s="213"/>
      <c r="B80" s="213"/>
      <c r="C80" s="213"/>
      <c r="D80" s="213"/>
      <c r="E80" s="213"/>
      <c r="F80" s="213"/>
      <c r="G80" s="213"/>
      <c r="H80" s="213"/>
      <c r="I80" s="213"/>
      <c r="J80" s="213"/>
      <c r="K80" s="213"/>
      <c r="L80" s="213"/>
      <c r="M80" s="213"/>
      <c r="N80" s="213"/>
      <c r="O80" s="213"/>
      <c r="P80" s="213"/>
      <c r="Q80" s="213"/>
      <c r="R80" s="213"/>
      <c r="S80" s="213"/>
      <c r="T80" s="213"/>
      <c r="U80" s="213"/>
      <c r="V80" s="213"/>
      <c r="W80" s="213"/>
      <c r="X80" s="213"/>
    </row>
    <row r="81">
      <c r="A81" s="213"/>
      <c r="B81" s="213"/>
      <c r="C81" s="213"/>
      <c r="D81" s="213"/>
      <c r="E81" s="213"/>
      <c r="F81" s="213"/>
      <c r="G81" s="213"/>
      <c r="H81" s="213"/>
      <c r="I81" s="213"/>
      <c r="J81" s="213"/>
      <c r="K81" s="213"/>
      <c r="L81" s="213"/>
      <c r="M81" s="213"/>
      <c r="N81" s="213"/>
      <c r="O81" s="213"/>
      <c r="P81" s="213"/>
      <c r="Q81" s="213"/>
      <c r="R81" s="213"/>
      <c r="S81" s="213"/>
      <c r="T81" s="213"/>
      <c r="U81" s="213"/>
      <c r="V81" s="213"/>
      <c r="W81" s="213"/>
      <c r="X81" s="213"/>
    </row>
    <row r="82">
      <c r="A82" s="213"/>
      <c r="B82" s="213"/>
      <c r="C82" s="213"/>
      <c r="D82" s="213"/>
      <c r="E82" s="213"/>
      <c r="F82" s="213"/>
      <c r="G82" s="213"/>
      <c r="H82" s="213"/>
      <c r="I82" s="213"/>
      <c r="J82" s="213"/>
      <c r="K82" s="213"/>
      <c r="L82" s="213"/>
      <c r="M82" s="213"/>
      <c r="N82" s="213"/>
      <c r="O82" s="213"/>
      <c r="P82" s="213"/>
      <c r="Q82" s="213"/>
      <c r="R82" s="213"/>
      <c r="S82" s="213"/>
      <c r="T82" s="213"/>
      <c r="U82" s="213"/>
      <c r="V82" s="213"/>
      <c r="W82" s="213"/>
      <c r="X82" s="213"/>
    </row>
    <row r="83">
      <c r="A83" s="213"/>
      <c r="B83" s="213"/>
      <c r="C83" s="213"/>
      <c r="D83" s="213"/>
      <c r="E83" s="213"/>
      <c r="F83" s="213"/>
      <c r="G83" s="213"/>
      <c r="H83" s="213"/>
      <c r="I83" s="213"/>
      <c r="J83" s="213"/>
      <c r="K83" s="213"/>
      <c r="L83" s="213"/>
      <c r="M83" s="213"/>
      <c r="N83" s="213"/>
      <c r="O83" s="213"/>
      <c r="P83" s="213"/>
      <c r="Q83" s="213"/>
      <c r="R83" s="213"/>
      <c r="S83" s="213"/>
      <c r="T83" s="213"/>
      <c r="U83" s="213"/>
      <c r="V83" s="213"/>
      <c r="W83" s="213"/>
      <c r="X83" s="213"/>
    </row>
    <row r="84">
      <c r="A84" s="213"/>
      <c r="B84" s="213"/>
      <c r="C84" s="213"/>
      <c r="D84" s="213"/>
      <c r="E84" s="213"/>
      <c r="F84" s="213"/>
      <c r="G84" s="213"/>
      <c r="H84" s="213"/>
      <c r="I84" s="213"/>
      <c r="J84" s="213"/>
      <c r="K84" s="213"/>
      <c r="L84" s="213"/>
      <c r="M84" s="213"/>
      <c r="N84" s="213"/>
      <c r="O84" s="213"/>
      <c r="P84" s="213"/>
      <c r="Q84" s="213"/>
      <c r="R84" s="213"/>
      <c r="S84" s="213"/>
      <c r="T84" s="213"/>
      <c r="U84" s="213"/>
      <c r="V84" s="213"/>
      <c r="W84" s="213"/>
      <c r="X84" s="213"/>
    </row>
    <row r="85">
      <c r="A85" s="213"/>
      <c r="B85" s="213"/>
      <c r="C85" s="213"/>
      <c r="D85" s="213"/>
      <c r="E85" s="213"/>
      <c r="F85" s="213"/>
      <c r="G85" s="213"/>
      <c r="H85" s="213"/>
      <c r="I85" s="213"/>
      <c r="J85" s="213"/>
      <c r="K85" s="213"/>
      <c r="L85" s="213"/>
      <c r="M85" s="213"/>
      <c r="N85" s="213"/>
      <c r="O85" s="213"/>
      <c r="P85" s="213"/>
      <c r="Q85" s="213"/>
      <c r="R85" s="213"/>
      <c r="S85" s="213"/>
      <c r="T85" s="213"/>
      <c r="U85" s="213"/>
      <c r="V85" s="213"/>
      <c r="W85" s="213"/>
      <c r="X85" s="213"/>
    </row>
    <row r="86">
      <c r="A86" s="213"/>
      <c r="B86" s="213"/>
      <c r="C86" s="213"/>
      <c r="D86" s="213"/>
      <c r="E86" s="213"/>
      <c r="F86" s="213"/>
      <c r="G86" s="213"/>
      <c r="H86" s="213"/>
      <c r="I86" s="213"/>
      <c r="J86" s="213"/>
      <c r="K86" s="213"/>
      <c r="L86" s="213"/>
      <c r="M86" s="213"/>
      <c r="N86" s="213"/>
      <c r="O86" s="213"/>
      <c r="P86" s="213"/>
      <c r="Q86" s="213"/>
      <c r="R86" s="213"/>
      <c r="S86" s="213"/>
      <c r="T86" s="213"/>
      <c r="U86" s="213"/>
      <c r="V86" s="213"/>
      <c r="W86" s="213"/>
      <c r="X86" s="213"/>
    </row>
    <row r="87">
      <c r="A87" s="213"/>
      <c r="B87" s="213"/>
      <c r="C87" s="213"/>
      <c r="D87" s="213"/>
      <c r="E87" s="213"/>
      <c r="F87" s="213"/>
      <c r="G87" s="213"/>
      <c r="H87" s="213"/>
      <c r="I87" s="213"/>
      <c r="J87" s="213"/>
      <c r="K87" s="213"/>
      <c r="L87" s="213"/>
      <c r="M87" s="213"/>
      <c r="N87" s="213"/>
      <c r="O87" s="213"/>
      <c r="P87" s="213"/>
      <c r="Q87" s="213"/>
      <c r="R87" s="213"/>
      <c r="S87" s="213"/>
      <c r="T87" s="213"/>
      <c r="U87" s="213"/>
      <c r="V87" s="213"/>
      <c r="W87" s="213"/>
      <c r="X87" s="213"/>
    </row>
    <row r="88">
      <c r="A88" s="213"/>
      <c r="B88" s="213"/>
      <c r="C88" s="213"/>
      <c r="D88" s="213"/>
      <c r="E88" s="213"/>
      <c r="F88" s="213"/>
      <c r="G88" s="213"/>
      <c r="H88" s="213"/>
      <c r="I88" s="213"/>
      <c r="J88" s="213"/>
      <c r="K88" s="213"/>
      <c r="L88" s="213"/>
      <c r="M88" s="213"/>
      <c r="N88" s="213"/>
      <c r="O88" s="213"/>
      <c r="P88" s="213"/>
      <c r="Q88" s="213"/>
      <c r="R88" s="213"/>
      <c r="S88" s="213"/>
      <c r="T88" s="213"/>
      <c r="U88" s="213"/>
      <c r="V88" s="213"/>
      <c r="W88" s="213"/>
      <c r="X88" s="213"/>
    </row>
    <row r="89">
      <c r="A89" s="213"/>
      <c r="B89" s="213"/>
      <c r="C89" s="213"/>
      <c r="D89" s="213"/>
      <c r="E89" s="213"/>
      <c r="F89" s="213"/>
      <c r="G89" s="213"/>
      <c r="H89" s="213"/>
      <c r="I89" s="213"/>
      <c r="J89" s="213"/>
      <c r="K89" s="213"/>
      <c r="L89" s="213"/>
      <c r="M89" s="213"/>
      <c r="N89" s="213"/>
      <c r="O89" s="213"/>
      <c r="P89" s="213"/>
      <c r="Q89" s="213"/>
      <c r="R89" s="213"/>
      <c r="S89" s="213"/>
      <c r="T89" s="213"/>
      <c r="U89" s="213"/>
      <c r="V89" s="213"/>
      <c r="W89" s="213"/>
      <c r="X89" s="213"/>
    </row>
    <row r="90">
      <c r="A90" s="213"/>
      <c r="B90" s="213"/>
      <c r="C90" s="213"/>
      <c r="D90" s="213"/>
      <c r="E90" s="213"/>
      <c r="F90" s="213"/>
      <c r="G90" s="213"/>
      <c r="H90" s="213"/>
      <c r="I90" s="213"/>
      <c r="J90" s="213"/>
      <c r="K90" s="213"/>
      <c r="L90" s="213"/>
      <c r="M90" s="213"/>
      <c r="N90" s="213"/>
      <c r="O90" s="213"/>
      <c r="P90" s="213"/>
      <c r="Q90" s="213"/>
      <c r="R90" s="213"/>
      <c r="S90" s="213"/>
      <c r="T90" s="213"/>
      <c r="U90" s="213"/>
      <c r="V90" s="213"/>
      <c r="W90" s="213"/>
      <c r="X90" s="213"/>
    </row>
    <row r="91">
      <c r="A91" s="213"/>
      <c r="B91" s="213"/>
      <c r="C91" s="213"/>
      <c r="D91" s="213"/>
      <c r="E91" s="213"/>
      <c r="F91" s="213"/>
      <c r="G91" s="213"/>
      <c r="H91" s="213"/>
      <c r="I91" s="213"/>
      <c r="J91" s="213"/>
      <c r="K91" s="213"/>
      <c r="L91" s="213"/>
      <c r="M91" s="213"/>
      <c r="N91" s="213"/>
      <c r="O91" s="213"/>
      <c r="P91" s="213"/>
      <c r="Q91" s="213"/>
      <c r="R91" s="213"/>
      <c r="S91" s="213"/>
      <c r="T91" s="213"/>
      <c r="U91" s="213"/>
      <c r="V91" s="213"/>
      <c r="W91" s="213"/>
      <c r="X91" s="213"/>
    </row>
    <row r="92">
      <c r="A92" s="213"/>
      <c r="B92" s="213"/>
      <c r="C92" s="213"/>
      <c r="D92" s="213"/>
      <c r="E92" s="213"/>
      <c r="F92" s="213"/>
      <c r="G92" s="213"/>
      <c r="H92" s="213"/>
      <c r="I92" s="213"/>
      <c r="J92" s="213"/>
      <c r="K92" s="213"/>
      <c r="L92" s="213"/>
      <c r="M92" s="213"/>
      <c r="N92" s="213"/>
      <c r="O92" s="213"/>
      <c r="P92" s="213"/>
      <c r="Q92" s="213"/>
      <c r="R92" s="213"/>
      <c r="S92" s="213"/>
      <c r="T92" s="213"/>
      <c r="U92" s="213"/>
      <c r="V92" s="213"/>
      <c r="W92" s="213"/>
      <c r="X92" s="213"/>
    </row>
    <row r="93">
      <c r="A93" s="213"/>
      <c r="B93" s="213"/>
      <c r="C93" s="213"/>
      <c r="D93" s="213"/>
      <c r="E93" s="213"/>
      <c r="F93" s="213"/>
      <c r="G93" s="213"/>
      <c r="H93" s="213"/>
      <c r="I93" s="213"/>
      <c r="J93" s="213"/>
      <c r="K93" s="213"/>
      <c r="L93" s="213"/>
      <c r="M93" s="213"/>
      <c r="N93" s="213"/>
      <c r="O93" s="213"/>
      <c r="P93" s="213"/>
      <c r="Q93" s="213"/>
      <c r="R93" s="213"/>
      <c r="S93" s="213"/>
      <c r="T93" s="213"/>
      <c r="U93" s="213"/>
      <c r="V93" s="213"/>
      <c r="W93" s="213"/>
      <c r="X93" s="213"/>
    </row>
    <row r="94">
      <c r="A94" s="213"/>
      <c r="B94" s="213"/>
      <c r="C94" s="213"/>
      <c r="D94" s="213"/>
      <c r="E94" s="213"/>
      <c r="F94" s="213"/>
      <c r="G94" s="213"/>
      <c r="H94" s="213"/>
      <c r="I94" s="213"/>
      <c r="J94" s="213"/>
      <c r="K94" s="213"/>
      <c r="L94" s="213"/>
      <c r="M94" s="213"/>
      <c r="N94" s="213"/>
      <c r="O94" s="213"/>
      <c r="P94" s="213"/>
      <c r="Q94" s="213"/>
      <c r="R94" s="213"/>
      <c r="S94" s="213"/>
      <c r="T94" s="213"/>
      <c r="U94" s="213"/>
      <c r="V94" s="213"/>
      <c r="W94" s="213"/>
      <c r="X94" s="213"/>
    </row>
    <row r="95">
      <c r="A95" s="213"/>
      <c r="B95" s="213"/>
      <c r="C95" s="213"/>
      <c r="D95" s="213"/>
      <c r="E95" s="213"/>
      <c r="F95" s="213"/>
      <c r="G95" s="213"/>
      <c r="H95" s="213"/>
      <c r="I95" s="213"/>
      <c r="J95" s="213"/>
      <c r="K95" s="213"/>
      <c r="L95" s="213"/>
      <c r="M95" s="213"/>
      <c r="N95" s="213"/>
      <c r="O95" s="213"/>
      <c r="P95" s="213"/>
      <c r="Q95" s="213"/>
      <c r="R95" s="213"/>
      <c r="S95" s="213"/>
      <c r="T95" s="213"/>
      <c r="U95" s="213"/>
      <c r="V95" s="213"/>
      <c r="W95" s="213"/>
      <c r="X95" s="213"/>
    </row>
    <row r="96">
      <c r="A96" s="213"/>
      <c r="B96" s="213"/>
      <c r="C96" s="213"/>
      <c r="D96" s="213"/>
      <c r="E96" s="213"/>
      <c r="F96" s="213"/>
      <c r="G96" s="213"/>
      <c r="H96" s="213"/>
      <c r="I96" s="213"/>
      <c r="J96" s="213"/>
      <c r="K96" s="213"/>
      <c r="L96" s="213"/>
      <c r="M96" s="213"/>
      <c r="N96" s="213"/>
      <c r="O96" s="213"/>
      <c r="P96" s="213"/>
      <c r="Q96" s="213"/>
      <c r="R96" s="213"/>
      <c r="S96" s="213"/>
      <c r="T96" s="213"/>
      <c r="U96" s="213"/>
      <c r="V96" s="213"/>
      <c r="W96" s="213"/>
      <c r="X96" s="213"/>
    </row>
    <row r="97">
      <c r="A97" s="213"/>
      <c r="B97" s="213"/>
      <c r="C97" s="213"/>
      <c r="D97" s="213"/>
      <c r="E97" s="213"/>
      <c r="F97" s="213"/>
      <c r="G97" s="213"/>
      <c r="H97" s="213"/>
      <c r="I97" s="213"/>
      <c r="J97" s="213"/>
      <c r="K97" s="213"/>
      <c r="L97" s="213"/>
      <c r="M97" s="213"/>
      <c r="N97" s="213"/>
      <c r="O97" s="213"/>
      <c r="P97" s="213"/>
      <c r="Q97" s="213"/>
      <c r="R97" s="213"/>
      <c r="S97" s="213"/>
      <c r="T97" s="213"/>
      <c r="U97" s="213"/>
      <c r="V97" s="213"/>
      <c r="W97" s="213"/>
      <c r="X97" s="213"/>
    </row>
    <row r="98">
      <c r="A98" s="213"/>
      <c r="B98" s="213"/>
      <c r="C98" s="213"/>
      <c r="D98" s="213"/>
      <c r="E98" s="213"/>
      <c r="F98" s="213"/>
      <c r="G98" s="213"/>
      <c r="H98" s="213"/>
      <c r="I98" s="213"/>
      <c r="J98" s="213"/>
      <c r="K98" s="213"/>
      <c r="L98" s="213"/>
      <c r="M98" s="213"/>
      <c r="N98" s="213"/>
      <c r="O98" s="213"/>
      <c r="P98" s="213"/>
      <c r="Q98" s="213"/>
      <c r="R98" s="213"/>
      <c r="S98" s="213"/>
      <c r="T98" s="213"/>
      <c r="U98" s="213"/>
      <c r="V98" s="213"/>
      <c r="W98" s="213"/>
      <c r="X98" s="213"/>
    </row>
    <row r="99">
      <c r="A99" s="213"/>
      <c r="B99" s="213"/>
      <c r="C99" s="213"/>
      <c r="D99" s="213"/>
      <c r="E99" s="213"/>
      <c r="F99" s="213"/>
      <c r="G99" s="213"/>
      <c r="H99" s="213"/>
      <c r="I99" s="213"/>
      <c r="J99" s="213"/>
      <c r="K99" s="213"/>
      <c r="L99" s="213"/>
      <c r="M99" s="213"/>
      <c r="N99" s="213"/>
      <c r="O99" s="213"/>
      <c r="P99" s="213"/>
      <c r="Q99" s="213"/>
      <c r="R99" s="213"/>
      <c r="S99" s="213"/>
      <c r="T99" s="213"/>
      <c r="U99" s="213"/>
      <c r="V99" s="213"/>
      <c r="W99" s="213"/>
      <c r="X99" s="213"/>
    </row>
    <row r="100">
      <c r="A100" s="213"/>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row>
    <row r="101">
      <c r="A101" s="213"/>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row>
    <row r="102">
      <c r="A102" s="213"/>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row>
    <row r="103">
      <c r="A103" s="213"/>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row>
    <row r="104">
      <c r="A104" s="213"/>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row>
    <row r="105">
      <c r="A105" s="213"/>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row>
    <row r="106">
      <c r="A106" s="213"/>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row>
    <row r="107">
      <c r="A107" s="213"/>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row>
    <row r="108">
      <c r="A108" s="213"/>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row>
    <row r="109">
      <c r="A109" s="213"/>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row>
    <row r="110">
      <c r="A110" s="213"/>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row>
    <row r="111">
      <c r="A111" s="213"/>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row>
    <row r="112">
      <c r="A112" s="213"/>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row>
    <row r="113">
      <c r="A113" s="213"/>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row>
    <row r="114">
      <c r="A114" s="213"/>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row>
    <row r="115">
      <c r="A115" s="213"/>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row>
    <row r="116">
      <c r="A116" s="213"/>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row>
    <row r="117">
      <c r="A117" s="213"/>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row>
    <row r="118">
      <c r="A118" s="213"/>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row>
    <row r="119">
      <c r="A119" s="213"/>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row>
    <row r="120">
      <c r="A120" s="213"/>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row>
    <row r="121">
      <c r="A121" s="213"/>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row>
    <row r="122">
      <c r="A122" s="213"/>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row>
    <row r="123">
      <c r="A123" s="213"/>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row>
    <row r="124">
      <c r="A124" s="213"/>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row>
    <row r="125">
      <c r="A125" s="213"/>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row>
    <row r="126">
      <c r="A126" s="213"/>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row>
    <row r="127">
      <c r="A127" s="213"/>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row>
    <row r="128">
      <c r="A128" s="213"/>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row>
    <row r="129">
      <c r="A129" s="213"/>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row>
    <row r="130">
      <c r="A130" s="213"/>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row>
    <row r="131">
      <c r="A131" s="213"/>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row>
    <row r="132">
      <c r="A132" s="213"/>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row>
    <row r="133">
      <c r="A133" s="213"/>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row>
    <row r="134">
      <c r="A134" s="213"/>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row>
    <row r="135">
      <c r="A135" s="213"/>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row>
    <row r="136">
      <c r="A136" s="213"/>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row>
    <row r="137">
      <c r="A137" s="213"/>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row>
    <row r="138">
      <c r="A138" s="213"/>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row>
    <row r="139">
      <c r="A139" s="213"/>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row>
    <row r="140">
      <c r="A140" s="213"/>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row>
    <row r="141">
      <c r="A141" s="213"/>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row>
    <row r="142">
      <c r="A142" s="213"/>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row>
    <row r="143">
      <c r="A143" s="213"/>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row>
    <row r="144">
      <c r="A144" s="213"/>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row>
    <row r="145">
      <c r="A145" s="213"/>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row>
    <row r="146">
      <c r="A146" s="213"/>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row>
    <row r="147">
      <c r="A147" s="213"/>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row>
    <row r="148">
      <c r="A148" s="213"/>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row>
    <row r="149">
      <c r="A149" s="213"/>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row>
    <row r="150">
      <c r="A150" s="213"/>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row>
    <row r="151">
      <c r="A151" s="213"/>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row>
    <row r="152">
      <c r="A152" s="213"/>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row>
    <row r="153">
      <c r="A153" s="213"/>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row>
    <row r="154">
      <c r="A154" s="213"/>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row>
    <row r="155">
      <c r="A155" s="213"/>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row>
    <row r="156">
      <c r="A156" s="213"/>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row>
    <row r="157">
      <c r="A157" s="213"/>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row>
    <row r="158">
      <c r="A158" s="213"/>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row>
    <row r="159">
      <c r="A159" s="213"/>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row>
    <row r="160">
      <c r="A160" s="213"/>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row>
    <row r="161">
      <c r="A161" s="213"/>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row>
    <row r="162">
      <c r="A162" s="213"/>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row>
    <row r="163">
      <c r="A163" s="213"/>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row>
    <row r="164">
      <c r="A164" s="213"/>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row>
    <row r="165">
      <c r="A165" s="213"/>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row>
    <row r="166">
      <c r="A166" s="213"/>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row>
    <row r="167">
      <c r="A167" s="213"/>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row>
    <row r="168">
      <c r="A168" s="213"/>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row>
    <row r="169">
      <c r="A169" s="213"/>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row>
    <row r="170">
      <c r="A170" s="213"/>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row>
    <row r="171">
      <c r="A171" s="213"/>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row>
    <row r="172">
      <c r="A172" s="213"/>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row>
    <row r="173">
      <c r="A173" s="213"/>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row>
    <row r="174">
      <c r="A174" s="213"/>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row>
    <row r="175">
      <c r="A175" s="213"/>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row>
    <row r="176">
      <c r="A176" s="213"/>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row>
    <row r="177">
      <c r="A177" s="213"/>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row>
    <row r="178">
      <c r="A178" s="213"/>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row>
    <row r="179">
      <c r="A179" s="213"/>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row>
    <row r="180">
      <c r="A180" s="213"/>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row>
    <row r="181">
      <c r="A181" s="213"/>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row>
    <row r="182">
      <c r="A182" s="213"/>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row>
    <row r="183">
      <c r="A183" s="213"/>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row>
    <row r="184">
      <c r="A184" s="213"/>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row>
    <row r="185">
      <c r="A185" s="213"/>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row>
    <row r="186">
      <c r="A186" s="213"/>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row>
    <row r="187">
      <c r="A187" s="213"/>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row>
    <row r="188">
      <c r="A188" s="213"/>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row>
    <row r="189">
      <c r="A189" s="213"/>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row>
    <row r="190">
      <c r="A190" s="213"/>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row>
    <row r="191">
      <c r="A191" s="213"/>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row>
    <row r="192">
      <c r="A192" s="213"/>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row>
    <row r="193">
      <c r="A193" s="213"/>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row>
    <row r="194">
      <c r="A194" s="213"/>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row>
    <row r="195">
      <c r="A195" s="213"/>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row>
    <row r="196">
      <c r="A196" s="213"/>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row>
    <row r="197">
      <c r="A197" s="213"/>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row>
    <row r="198">
      <c r="A198" s="213"/>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row>
    <row r="199">
      <c r="A199" s="213"/>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row>
    <row r="200">
      <c r="A200" s="213"/>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row>
    <row r="201">
      <c r="A201" s="213"/>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row>
    <row r="202">
      <c r="A202" s="213"/>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row>
    <row r="203">
      <c r="A203" s="213"/>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row>
    <row r="204">
      <c r="A204" s="213"/>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row>
    <row r="205">
      <c r="A205" s="213"/>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row>
    <row r="206">
      <c r="A206" s="213"/>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row>
    <row r="207">
      <c r="A207" s="213"/>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row>
    <row r="208">
      <c r="A208" s="213"/>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row>
    <row r="209">
      <c r="A209" s="213"/>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row>
    <row r="210">
      <c r="A210" s="213"/>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row>
    <row r="211">
      <c r="A211" s="213"/>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row>
    <row r="212">
      <c r="A212" s="213"/>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row>
    <row r="213">
      <c r="A213" s="213"/>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row>
    <row r="214">
      <c r="A214" s="213"/>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row>
    <row r="215">
      <c r="A215" s="213"/>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row>
    <row r="216">
      <c r="A216" s="213"/>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row>
    <row r="217">
      <c r="A217" s="213"/>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row>
    <row r="218">
      <c r="A218" s="213"/>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row>
    <row r="219">
      <c r="A219" s="213"/>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row>
    <row r="220">
      <c r="A220" s="213"/>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row>
    <row r="221">
      <c r="A221" s="213"/>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row>
    <row r="222">
      <c r="A222" s="213"/>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row>
    <row r="223">
      <c r="A223" s="213"/>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row>
    <row r="224">
      <c r="A224" s="213"/>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row>
    <row r="225">
      <c r="A225" s="213"/>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row>
    <row r="226">
      <c r="A226" s="213"/>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row>
    <row r="227">
      <c r="A227" s="213"/>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row>
    <row r="228">
      <c r="A228" s="213"/>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row>
    <row r="229">
      <c r="A229" s="213"/>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row>
    <row r="230">
      <c r="A230" s="213"/>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row>
    <row r="231">
      <c r="A231" s="213"/>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row>
    <row r="232">
      <c r="A232" s="213"/>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row>
    <row r="233">
      <c r="A233" s="213"/>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row>
    <row r="234">
      <c r="A234" s="213"/>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row>
    <row r="235">
      <c r="A235" s="213"/>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row>
    <row r="236">
      <c r="A236" s="213"/>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row>
    <row r="237">
      <c r="A237" s="213"/>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row>
    <row r="238">
      <c r="A238" s="213"/>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row>
    <row r="239">
      <c r="A239" s="213"/>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row>
    <row r="240">
      <c r="A240" s="213"/>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row>
    <row r="241">
      <c r="A241" s="213"/>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row>
    <row r="242">
      <c r="A242" s="213"/>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row>
    <row r="243">
      <c r="A243" s="213"/>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row>
    <row r="244">
      <c r="A244" s="213"/>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row>
    <row r="245">
      <c r="A245" s="213"/>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row>
    <row r="246">
      <c r="A246" s="213"/>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row>
    <row r="247">
      <c r="A247" s="213"/>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row>
    <row r="248">
      <c r="A248" s="213"/>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row>
    <row r="249">
      <c r="A249" s="213"/>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row>
    <row r="250">
      <c r="A250" s="213"/>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row>
    <row r="251">
      <c r="A251" s="213"/>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row>
    <row r="252">
      <c r="A252" s="213"/>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row>
    <row r="253">
      <c r="A253" s="213"/>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row>
    <row r="254">
      <c r="A254" s="213"/>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row>
    <row r="255">
      <c r="A255" s="213"/>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row>
    <row r="256">
      <c r="A256" s="213"/>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row>
    <row r="257">
      <c r="A257" s="213"/>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row>
    <row r="258">
      <c r="A258" s="213"/>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row>
    <row r="259">
      <c r="A259" s="213"/>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row>
    <row r="260">
      <c r="A260" s="213"/>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row>
    <row r="261">
      <c r="A261" s="213"/>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row>
    <row r="262">
      <c r="A262" s="213"/>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row>
    <row r="263">
      <c r="A263" s="213"/>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row>
    <row r="264">
      <c r="A264" s="213"/>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row>
    <row r="265">
      <c r="A265" s="213"/>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row>
    <row r="266">
      <c r="A266" s="213"/>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row>
    <row r="267">
      <c r="A267" s="213"/>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row>
    <row r="268">
      <c r="A268" s="213"/>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row>
    <row r="269">
      <c r="A269" s="213"/>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row>
    <row r="270">
      <c r="A270" s="213"/>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row>
    <row r="271">
      <c r="A271" s="213"/>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row>
    <row r="272">
      <c r="A272" s="213"/>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row>
    <row r="273">
      <c r="A273" s="213"/>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row>
    <row r="274">
      <c r="A274" s="213"/>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row>
    <row r="275">
      <c r="A275" s="213"/>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row>
    <row r="276">
      <c r="A276" s="213"/>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row>
    <row r="277">
      <c r="A277" s="213"/>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row>
    <row r="278">
      <c r="A278" s="213"/>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row>
    <row r="279">
      <c r="A279" s="213"/>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row>
    <row r="280">
      <c r="A280" s="213"/>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row>
    <row r="281">
      <c r="A281" s="213"/>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row>
    <row r="282">
      <c r="A282" s="213"/>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row>
    <row r="283">
      <c r="A283" s="213"/>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row>
    <row r="284">
      <c r="A284" s="213"/>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row>
    <row r="285">
      <c r="A285" s="213"/>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row>
    <row r="286">
      <c r="A286" s="213"/>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row>
    <row r="287">
      <c r="A287" s="213"/>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row>
    <row r="288">
      <c r="A288" s="213"/>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row>
    <row r="289">
      <c r="A289" s="213"/>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row>
    <row r="290">
      <c r="A290" s="213"/>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row>
    <row r="291">
      <c r="A291" s="213"/>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row>
    <row r="292">
      <c r="A292" s="213"/>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row>
    <row r="293">
      <c r="A293" s="213"/>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row>
    <row r="294">
      <c r="A294" s="213"/>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row>
    <row r="295">
      <c r="A295" s="213"/>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row>
    <row r="296">
      <c r="A296" s="213"/>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row>
    <row r="297">
      <c r="A297" s="213"/>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row>
    <row r="298">
      <c r="A298" s="213"/>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row>
    <row r="299">
      <c r="A299" s="213"/>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row>
    <row r="300">
      <c r="A300" s="213"/>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row>
    <row r="301">
      <c r="A301" s="213"/>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row>
    <row r="302">
      <c r="A302" s="213"/>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row>
    <row r="303">
      <c r="A303" s="213"/>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row>
    <row r="304">
      <c r="A304" s="213"/>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row>
    <row r="305">
      <c r="A305" s="213"/>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row>
    <row r="306">
      <c r="A306" s="213"/>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row>
    <row r="307">
      <c r="A307" s="213"/>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row>
    <row r="308">
      <c r="A308" s="213"/>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row>
    <row r="309">
      <c r="A309" s="213"/>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row>
    <row r="310">
      <c r="A310" s="213"/>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row>
    <row r="311">
      <c r="A311" s="213"/>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row>
    <row r="312">
      <c r="A312" s="213"/>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row>
    <row r="313">
      <c r="A313" s="213"/>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row>
    <row r="314">
      <c r="A314" s="213"/>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row>
    <row r="315">
      <c r="A315" s="213"/>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row>
    <row r="316">
      <c r="A316" s="213"/>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row>
    <row r="317">
      <c r="A317" s="213"/>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row>
    <row r="318">
      <c r="A318" s="213"/>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row>
    <row r="319">
      <c r="A319" s="213"/>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row>
    <row r="320">
      <c r="A320" s="213"/>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row>
    <row r="321">
      <c r="A321" s="213"/>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row>
    <row r="322">
      <c r="A322" s="213"/>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row>
    <row r="323">
      <c r="A323" s="213"/>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row>
    <row r="324">
      <c r="A324" s="213"/>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row>
    <row r="325">
      <c r="A325" s="213"/>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row>
    <row r="326">
      <c r="A326" s="213"/>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row>
    <row r="327">
      <c r="A327" s="213"/>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row>
    <row r="328">
      <c r="A328" s="213"/>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row>
    <row r="329">
      <c r="A329" s="213"/>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row>
    <row r="330">
      <c r="A330" s="213"/>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row>
    <row r="331">
      <c r="A331" s="213"/>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row>
    <row r="332">
      <c r="A332" s="213"/>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row>
    <row r="333">
      <c r="A333" s="213"/>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row>
    <row r="334">
      <c r="A334" s="213"/>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row>
    <row r="335">
      <c r="A335" s="213"/>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row>
    <row r="336">
      <c r="A336" s="213"/>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row>
    <row r="337">
      <c r="A337" s="213"/>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row>
    <row r="338">
      <c r="A338" s="213"/>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row>
    <row r="339">
      <c r="A339" s="213"/>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row>
    <row r="340">
      <c r="A340" s="213"/>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row>
    <row r="341">
      <c r="A341" s="213"/>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row>
    <row r="342">
      <c r="A342" s="213"/>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row>
    <row r="343">
      <c r="A343" s="213"/>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row>
    <row r="344">
      <c r="A344" s="213"/>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row>
    <row r="345">
      <c r="A345" s="213"/>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row>
    <row r="346">
      <c r="A346" s="213"/>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row>
    <row r="347">
      <c r="A347" s="213"/>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row>
    <row r="348">
      <c r="A348" s="213"/>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row>
    <row r="349">
      <c r="A349" s="213"/>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row>
    <row r="350">
      <c r="A350" s="213"/>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row>
    <row r="351">
      <c r="A351" s="213"/>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row>
    <row r="352">
      <c r="A352" s="213"/>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row>
    <row r="353">
      <c r="A353" s="213"/>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row>
    <row r="354">
      <c r="A354" s="213"/>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row>
    <row r="355">
      <c r="A355" s="213"/>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row>
    <row r="356">
      <c r="A356" s="213"/>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row>
    <row r="357">
      <c r="A357" s="213"/>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row>
    <row r="358">
      <c r="A358" s="213"/>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row>
    <row r="359">
      <c r="A359" s="213"/>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row>
    <row r="360">
      <c r="A360" s="213"/>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row>
    <row r="361">
      <c r="A361" s="213"/>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row>
    <row r="362">
      <c r="A362" s="213"/>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row>
    <row r="363">
      <c r="A363" s="213"/>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row>
    <row r="364">
      <c r="A364" s="213"/>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row>
    <row r="365">
      <c r="A365" s="213"/>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row>
    <row r="366">
      <c r="A366" s="213"/>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row>
    <row r="367">
      <c r="A367" s="213"/>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row>
    <row r="368">
      <c r="A368" s="213"/>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row>
    <row r="369">
      <c r="A369" s="213"/>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row>
    <row r="370">
      <c r="A370" s="213"/>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row>
    <row r="371">
      <c r="A371" s="213"/>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row>
    <row r="372">
      <c r="A372" s="213"/>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row>
    <row r="373">
      <c r="A373" s="213"/>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row>
    <row r="374">
      <c r="A374" s="213"/>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row>
    <row r="375">
      <c r="A375" s="213"/>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row>
    <row r="376">
      <c r="A376" s="213"/>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row>
    <row r="377">
      <c r="A377" s="213"/>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row>
    <row r="378">
      <c r="A378" s="213"/>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row>
    <row r="379">
      <c r="A379" s="213"/>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row>
    <row r="380">
      <c r="A380" s="213"/>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row>
    <row r="381">
      <c r="A381" s="213"/>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row>
    <row r="382">
      <c r="A382" s="213"/>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row>
    <row r="383">
      <c r="A383" s="213"/>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row>
    <row r="384">
      <c r="A384" s="213"/>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row>
    <row r="385">
      <c r="A385" s="213"/>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row>
    <row r="386">
      <c r="A386" s="213"/>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row>
    <row r="387">
      <c r="A387" s="213"/>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row>
    <row r="388">
      <c r="A388" s="213"/>
      <c r="B388" s="213"/>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row>
    <row r="389">
      <c r="A389" s="213"/>
      <c r="B389" s="213"/>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row>
    <row r="390">
      <c r="A390" s="213"/>
      <c r="B390" s="213"/>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row>
    <row r="391">
      <c r="A391" s="213"/>
      <c r="B391" s="213"/>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row>
    <row r="392">
      <c r="A392" s="213"/>
      <c r="B392" s="213"/>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row>
    <row r="393">
      <c r="A393" s="213"/>
      <c r="B393" s="213"/>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row>
    <row r="394">
      <c r="A394" s="213"/>
      <c r="B394" s="213"/>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row>
    <row r="395">
      <c r="A395" s="213"/>
      <c r="B395" s="213"/>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row>
    <row r="396">
      <c r="A396" s="213"/>
      <c r="B396" s="213"/>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row>
    <row r="397">
      <c r="A397" s="213"/>
      <c r="B397" s="213"/>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row>
    <row r="398">
      <c r="A398" s="213"/>
      <c r="B398" s="213"/>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row>
    <row r="399">
      <c r="A399" s="213"/>
      <c r="B399" s="213"/>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row>
    <row r="400">
      <c r="A400" s="213"/>
      <c r="B400" s="213"/>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row>
    <row r="401">
      <c r="A401" s="213"/>
      <c r="B401" s="213"/>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row>
    <row r="402">
      <c r="A402" s="213"/>
      <c r="B402" s="213"/>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row>
    <row r="403">
      <c r="A403" s="213"/>
      <c r="B403" s="213"/>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row>
    <row r="404">
      <c r="A404" s="213"/>
      <c r="B404" s="213"/>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row>
    <row r="405">
      <c r="A405" s="213"/>
      <c r="B405" s="213"/>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row>
    <row r="406">
      <c r="A406" s="213"/>
      <c r="B406" s="213"/>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row>
    <row r="407">
      <c r="A407" s="213"/>
      <c r="B407" s="213"/>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row>
    <row r="408">
      <c r="A408" s="213"/>
      <c r="B408" s="213"/>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row>
    <row r="409">
      <c r="A409" s="213"/>
      <c r="B409" s="213"/>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row>
    <row r="410">
      <c r="A410" s="213"/>
      <c r="B410" s="213"/>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row>
    <row r="411">
      <c r="A411" s="213"/>
      <c r="B411" s="213"/>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row>
    <row r="412">
      <c r="A412" s="213"/>
      <c r="B412" s="213"/>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row>
    <row r="413">
      <c r="A413" s="213"/>
      <c r="B413" s="213"/>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row>
    <row r="414">
      <c r="A414" s="213"/>
      <c r="B414" s="213"/>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row>
    <row r="415">
      <c r="A415" s="213"/>
      <c r="B415" s="213"/>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row>
    <row r="416">
      <c r="A416" s="213"/>
      <c r="B416" s="213"/>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row>
    <row r="417">
      <c r="A417" s="213"/>
      <c r="B417" s="213"/>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row>
    <row r="418">
      <c r="A418" s="213"/>
      <c r="B418" s="213"/>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row>
    <row r="419">
      <c r="A419" s="213"/>
      <c r="B419" s="213"/>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row>
    <row r="420">
      <c r="A420" s="213"/>
      <c r="B420" s="213"/>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row>
    <row r="421">
      <c r="A421" s="213"/>
      <c r="B421" s="213"/>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row>
    <row r="422">
      <c r="A422" s="213"/>
      <c r="B422" s="213"/>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row>
    <row r="423">
      <c r="A423" s="213"/>
      <c r="B423" s="213"/>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row>
    <row r="424">
      <c r="A424" s="213"/>
      <c r="B424" s="213"/>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row>
    <row r="425">
      <c r="A425" s="213"/>
      <c r="B425" s="213"/>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row>
    <row r="426">
      <c r="A426" s="213"/>
      <c r="B426" s="213"/>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row>
    <row r="427">
      <c r="A427" s="213"/>
      <c r="B427" s="213"/>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row>
    <row r="428">
      <c r="A428" s="213"/>
      <c r="B428" s="213"/>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row>
    <row r="429">
      <c r="A429" s="213"/>
      <c r="B429" s="213"/>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row>
    <row r="430">
      <c r="A430" s="213"/>
      <c r="B430" s="213"/>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row>
    <row r="431">
      <c r="A431" s="213"/>
      <c r="B431" s="213"/>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row>
    <row r="432">
      <c r="A432" s="213"/>
      <c r="B432" s="213"/>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row>
    <row r="433">
      <c r="A433" s="213"/>
      <c r="B433" s="213"/>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row>
    <row r="434">
      <c r="A434" s="213"/>
      <c r="B434" s="213"/>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row>
    <row r="435">
      <c r="A435" s="213"/>
      <c r="B435" s="213"/>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row>
    <row r="436">
      <c r="A436" s="213"/>
      <c r="B436" s="213"/>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row>
    <row r="437">
      <c r="A437" s="213"/>
      <c r="B437" s="213"/>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row>
    <row r="438">
      <c r="A438" s="213"/>
      <c r="B438" s="213"/>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row>
    <row r="439">
      <c r="A439" s="213"/>
      <c r="B439" s="213"/>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row>
    <row r="440">
      <c r="A440" s="213"/>
      <c r="B440" s="213"/>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row>
    <row r="441">
      <c r="A441" s="213"/>
      <c r="B441" s="213"/>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row>
    <row r="442">
      <c r="A442" s="213"/>
      <c r="B442" s="213"/>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row>
    <row r="443">
      <c r="A443" s="213"/>
      <c r="B443" s="213"/>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row>
    <row r="444">
      <c r="A444" s="213"/>
      <c r="B444" s="213"/>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row>
    <row r="445">
      <c r="A445" s="213"/>
      <c r="B445" s="213"/>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row>
    <row r="446">
      <c r="A446" s="213"/>
      <c r="B446" s="213"/>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row>
    <row r="447">
      <c r="A447" s="213"/>
      <c r="B447" s="213"/>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row>
    <row r="448">
      <c r="A448" s="213"/>
      <c r="B448" s="213"/>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row>
    <row r="449">
      <c r="A449" s="213"/>
      <c r="B449" s="213"/>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row>
    <row r="450">
      <c r="A450" s="213"/>
      <c r="B450" s="213"/>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row>
    <row r="451">
      <c r="A451" s="213"/>
      <c r="B451" s="213"/>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row>
    <row r="452">
      <c r="A452" s="213"/>
      <c r="B452" s="213"/>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row>
    <row r="453">
      <c r="A453" s="213"/>
      <c r="B453" s="213"/>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row>
    <row r="454">
      <c r="A454" s="213"/>
      <c r="B454" s="213"/>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row>
    <row r="455">
      <c r="A455" s="213"/>
      <c r="B455" s="213"/>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row>
    <row r="456">
      <c r="A456" s="213"/>
      <c r="B456" s="213"/>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row>
    <row r="457">
      <c r="A457" s="213"/>
      <c r="B457" s="213"/>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row>
    <row r="458">
      <c r="A458" s="213"/>
      <c r="B458" s="213"/>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row>
    <row r="459">
      <c r="A459" s="213"/>
      <c r="B459" s="213"/>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row>
    <row r="460">
      <c r="A460" s="213"/>
      <c r="B460" s="213"/>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row>
    <row r="461">
      <c r="A461" s="213"/>
      <c r="B461" s="213"/>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row>
    <row r="462">
      <c r="A462" s="213"/>
      <c r="B462" s="213"/>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row>
    <row r="463">
      <c r="A463" s="213"/>
      <c r="B463" s="213"/>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row>
    <row r="464">
      <c r="A464" s="213"/>
      <c r="B464" s="213"/>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row>
    <row r="465">
      <c r="A465" s="213"/>
      <c r="B465" s="213"/>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row>
    <row r="466">
      <c r="A466" s="213"/>
      <c r="B466" s="213"/>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row>
    <row r="467">
      <c r="A467" s="213"/>
      <c r="B467" s="213"/>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row>
    <row r="468">
      <c r="A468" s="213"/>
      <c r="B468" s="213"/>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row>
    <row r="469">
      <c r="A469" s="213"/>
      <c r="B469" s="213"/>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row>
    <row r="470">
      <c r="A470" s="213"/>
      <c r="B470" s="213"/>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row>
    <row r="471">
      <c r="A471" s="213"/>
      <c r="B471" s="213"/>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row>
    <row r="472">
      <c r="A472" s="213"/>
      <c r="B472" s="213"/>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row>
    <row r="473">
      <c r="A473" s="213"/>
      <c r="B473" s="213"/>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row>
    <row r="474">
      <c r="A474" s="213"/>
      <c r="B474" s="213"/>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row>
    <row r="475">
      <c r="A475" s="213"/>
      <c r="B475" s="213"/>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row>
    <row r="476">
      <c r="A476" s="213"/>
      <c r="B476" s="213"/>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row>
    <row r="477">
      <c r="A477" s="213"/>
      <c r="B477" s="213"/>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row>
    <row r="478">
      <c r="A478" s="213"/>
      <c r="B478" s="213"/>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row>
    <row r="479">
      <c r="A479" s="213"/>
      <c r="B479" s="213"/>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row>
    <row r="480">
      <c r="A480" s="213"/>
      <c r="B480" s="213"/>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row>
    <row r="481">
      <c r="A481" s="213"/>
      <c r="B481" s="213"/>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row>
    <row r="482">
      <c r="A482" s="213"/>
      <c r="B482" s="213"/>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row>
    <row r="483">
      <c r="A483" s="213"/>
      <c r="B483" s="213"/>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row>
    <row r="484">
      <c r="A484" s="213"/>
      <c r="B484" s="213"/>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row>
    <row r="485">
      <c r="A485" s="213"/>
      <c r="B485" s="213"/>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row>
    <row r="486">
      <c r="A486" s="213"/>
      <c r="B486" s="213"/>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row>
    <row r="487">
      <c r="A487" s="213"/>
      <c r="B487" s="213"/>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row>
    <row r="488">
      <c r="A488" s="213"/>
      <c r="B488" s="213"/>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row>
    <row r="489">
      <c r="A489" s="213"/>
      <c r="B489" s="213"/>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row>
    <row r="490">
      <c r="A490" s="213"/>
      <c r="B490" s="213"/>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row>
    <row r="491">
      <c r="A491" s="213"/>
      <c r="B491" s="213"/>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row>
    <row r="492">
      <c r="A492" s="213"/>
      <c r="B492" s="213"/>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row>
    <row r="493">
      <c r="A493" s="213"/>
      <c r="B493" s="213"/>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row>
    <row r="494">
      <c r="A494" s="213"/>
      <c r="B494" s="213"/>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row>
    <row r="495">
      <c r="A495" s="213"/>
      <c r="B495" s="213"/>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row>
    <row r="496">
      <c r="A496" s="213"/>
      <c r="B496" s="213"/>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row>
    <row r="497">
      <c r="A497" s="213"/>
      <c r="B497" s="213"/>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row>
    <row r="498">
      <c r="A498" s="213"/>
      <c r="B498" s="213"/>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row>
    <row r="499">
      <c r="A499" s="213"/>
      <c r="B499" s="213"/>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row>
    <row r="500">
      <c r="A500" s="213"/>
      <c r="B500" s="213"/>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row>
    <row r="501">
      <c r="A501" s="213"/>
      <c r="B501" s="213"/>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row>
    <row r="502">
      <c r="A502" s="213"/>
      <c r="B502" s="213"/>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row>
    <row r="503">
      <c r="A503" s="213"/>
      <c r="B503" s="213"/>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row>
    <row r="504">
      <c r="A504" s="213"/>
      <c r="B504" s="213"/>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row>
    <row r="505">
      <c r="A505" s="213"/>
      <c r="B505" s="213"/>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row>
    <row r="506">
      <c r="A506" s="213"/>
      <c r="B506" s="213"/>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row>
    <row r="507">
      <c r="A507" s="213"/>
      <c r="B507" s="213"/>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row>
    <row r="508">
      <c r="A508" s="213"/>
      <c r="B508" s="213"/>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row>
    <row r="509">
      <c r="A509" s="213"/>
      <c r="B509" s="213"/>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row>
    <row r="510">
      <c r="A510" s="213"/>
      <c r="B510" s="213"/>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row>
    <row r="511">
      <c r="A511" s="213"/>
      <c r="B511" s="213"/>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row>
    <row r="512">
      <c r="A512" s="213"/>
      <c r="B512" s="213"/>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row>
    <row r="513">
      <c r="A513" s="213"/>
      <c r="B513" s="213"/>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row>
    <row r="514">
      <c r="A514" s="213"/>
      <c r="B514" s="213"/>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row>
    <row r="515">
      <c r="A515" s="213"/>
      <c r="B515" s="213"/>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row>
    <row r="516">
      <c r="A516" s="213"/>
      <c r="B516" s="213"/>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row>
    <row r="517">
      <c r="A517" s="213"/>
      <c r="B517" s="213"/>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row>
    <row r="518">
      <c r="A518" s="213"/>
      <c r="B518" s="213"/>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row>
    <row r="519">
      <c r="A519" s="213"/>
      <c r="B519" s="213"/>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row>
    <row r="520">
      <c r="A520" s="213"/>
      <c r="B520" s="213"/>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row>
    <row r="521">
      <c r="A521" s="213"/>
      <c r="B521" s="213"/>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row>
    <row r="522">
      <c r="A522" s="213"/>
      <c r="B522" s="213"/>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row>
    <row r="523">
      <c r="A523" s="213"/>
      <c r="B523" s="213"/>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row>
    <row r="524">
      <c r="A524" s="213"/>
      <c r="B524" s="213"/>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row>
    <row r="525">
      <c r="A525" s="213"/>
      <c r="B525" s="213"/>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row>
    <row r="526">
      <c r="A526" s="213"/>
      <c r="B526" s="213"/>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row>
    <row r="527">
      <c r="A527" s="213"/>
      <c r="B527" s="213"/>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row>
    <row r="528">
      <c r="A528" s="213"/>
      <c r="B528" s="213"/>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row>
    <row r="529">
      <c r="A529" s="213"/>
      <c r="B529" s="213"/>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row>
    <row r="530">
      <c r="A530" s="213"/>
      <c r="B530" s="213"/>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row>
    <row r="531">
      <c r="A531" s="213"/>
      <c r="B531" s="213"/>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row>
    <row r="532">
      <c r="A532" s="213"/>
      <c r="B532" s="213"/>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row>
    <row r="533">
      <c r="A533" s="213"/>
      <c r="B533" s="213"/>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row>
    <row r="534">
      <c r="A534" s="213"/>
      <c r="B534" s="213"/>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row>
    <row r="535">
      <c r="A535" s="213"/>
      <c r="B535" s="213"/>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row>
    <row r="536">
      <c r="A536" s="213"/>
      <c r="B536" s="213"/>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row>
    <row r="537">
      <c r="A537" s="213"/>
      <c r="B537" s="213"/>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row>
    <row r="538">
      <c r="A538" s="213"/>
      <c r="B538" s="213"/>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row>
    <row r="539">
      <c r="A539" s="213"/>
      <c r="B539" s="213"/>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row>
    <row r="540">
      <c r="A540" s="213"/>
      <c r="B540" s="213"/>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row>
    <row r="541">
      <c r="A541" s="213"/>
      <c r="B541" s="213"/>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row>
    <row r="542">
      <c r="A542" s="213"/>
      <c r="B542" s="213"/>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row>
    <row r="543">
      <c r="A543" s="213"/>
      <c r="B543" s="213"/>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row>
    <row r="544">
      <c r="A544" s="213"/>
      <c r="B544" s="213"/>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row>
    <row r="545">
      <c r="A545" s="213"/>
      <c r="B545" s="213"/>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row>
    <row r="546">
      <c r="A546" s="213"/>
      <c r="B546" s="213"/>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row>
    <row r="547">
      <c r="A547" s="213"/>
      <c r="B547" s="213"/>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row>
    <row r="548">
      <c r="A548" s="213"/>
      <c r="B548" s="213"/>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row>
    <row r="549">
      <c r="A549" s="213"/>
      <c r="B549" s="213"/>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row>
    <row r="550">
      <c r="A550" s="213"/>
      <c r="B550" s="213"/>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row>
    <row r="551">
      <c r="A551" s="213"/>
      <c r="B551" s="213"/>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row>
    <row r="552">
      <c r="A552" s="213"/>
      <c r="B552" s="213"/>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row>
    <row r="553">
      <c r="A553" s="213"/>
      <c r="B553" s="213"/>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row>
    <row r="554">
      <c r="A554" s="213"/>
      <c r="B554" s="213"/>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row>
    <row r="555">
      <c r="A555" s="213"/>
      <c r="B555" s="213"/>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row>
    <row r="556">
      <c r="A556" s="213"/>
      <c r="B556" s="213"/>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row>
    <row r="557">
      <c r="A557" s="213"/>
      <c r="B557" s="213"/>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row>
    <row r="558">
      <c r="A558" s="213"/>
      <c r="B558" s="213"/>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row>
    <row r="559">
      <c r="A559" s="213"/>
      <c r="B559" s="213"/>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row>
    <row r="560">
      <c r="A560" s="213"/>
      <c r="B560" s="213"/>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row>
    <row r="561">
      <c r="A561" s="213"/>
      <c r="B561" s="213"/>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row>
    <row r="562">
      <c r="A562" s="213"/>
      <c r="B562" s="213"/>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row>
    <row r="563">
      <c r="A563" s="213"/>
      <c r="B563" s="213"/>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row>
    <row r="564">
      <c r="A564" s="213"/>
      <c r="B564" s="213"/>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row>
    <row r="565">
      <c r="A565" s="213"/>
      <c r="B565" s="213"/>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row>
    <row r="566">
      <c r="A566" s="213"/>
      <c r="B566" s="213"/>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row>
    <row r="567">
      <c r="A567" s="213"/>
      <c r="B567" s="213"/>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row>
    <row r="568">
      <c r="A568" s="213"/>
      <c r="B568" s="213"/>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row>
    <row r="569">
      <c r="A569" s="213"/>
      <c r="B569" s="213"/>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row>
    <row r="570">
      <c r="A570" s="213"/>
      <c r="B570" s="213"/>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row>
    <row r="571">
      <c r="A571" s="213"/>
      <c r="B571" s="213"/>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row>
    <row r="572">
      <c r="A572" s="213"/>
      <c r="B572" s="213"/>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row>
    <row r="573">
      <c r="A573" s="213"/>
      <c r="B573" s="213"/>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row>
    <row r="574">
      <c r="A574" s="213"/>
      <c r="B574" s="213"/>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row>
    <row r="575">
      <c r="A575" s="213"/>
      <c r="B575" s="213"/>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row>
    <row r="576">
      <c r="A576" s="213"/>
      <c r="B576" s="213"/>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row>
    <row r="577">
      <c r="A577" s="213"/>
      <c r="B577" s="213"/>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row>
    <row r="578">
      <c r="A578" s="213"/>
      <c r="B578" s="213"/>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row>
    <row r="579">
      <c r="A579" s="213"/>
      <c r="B579" s="213"/>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row>
    <row r="580">
      <c r="A580" s="213"/>
      <c r="B580" s="213"/>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row>
    <row r="581">
      <c r="A581" s="213"/>
      <c r="B581" s="213"/>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row>
    <row r="582">
      <c r="A582" s="213"/>
      <c r="B582" s="213"/>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row>
    <row r="583">
      <c r="A583" s="213"/>
      <c r="B583" s="213"/>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row>
    <row r="584">
      <c r="A584" s="213"/>
      <c r="B584" s="213"/>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row>
    <row r="585">
      <c r="A585" s="213"/>
      <c r="B585" s="213"/>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row>
    <row r="586">
      <c r="A586" s="213"/>
      <c r="B586" s="213"/>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row>
    <row r="587">
      <c r="A587" s="213"/>
      <c r="B587" s="213"/>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row>
    <row r="588">
      <c r="A588" s="213"/>
      <c r="B588" s="213"/>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row>
    <row r="589">
      <c r="A589" s="213"/>
      <c r="B589" s="213"/>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row>
    <row r="590">
      <c r="A590" s="213"/>
      <c r="B590" s="213"/>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row>
    <row r="591">
      <c r="A591" s="213"/>
      <c r="B591" s="213"/>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row>
    <row r="592">
      <c r="A592" s="213"/>
      <c r="B592" s="213"/>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row>
    <row r="593">
      <c r="A593" s="213"/>
      <c r="B593" s="213"/>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row>
    <row r="594">
      <c r="A594" s="213"/>
      <c r="B594" s="213"/>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row>
    <row r="595">
      <c r="A595" s="213"/>
      <c r="B595" s="213"/>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row>
    <row r="596">
      <c r="A596" s="213"/>
      <c r="B596" s="213"/>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row>
    <row r="597">
      <c r="A597" s="213"/>
      <c r="B597" s="213"/>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row>
    <row r="598">
      <c r="A598" s="213"/>
      <c r="B598" s="213"/>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row>
    <row r="599">
      <c r="A599" s="213"/>
      <c r="B599" s="213"/>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row>
    <row r="600">
      <c r="A600" s="213"/>
      <c r="B600" s="213"/>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row>
    <row r="601">
      <c r="A601" s="213"/>
      <c r="B601" s="213"/>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row>
    <row r="602">
      <c r="A602" s="213"/>
      <c r="B602" s="213"/>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row>
    <row r="603">
      <c r="A603" s="213"/>
      <c r="B603" s="213"/>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row>
    <row r="604">
      <c r="A604" s="213"/>
      <c r="B604" s="213"/>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row>
    <row r="605">
      <c r="A605" s="213"/>
      <c r="B605" s="213"/>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row>
    <row r="606">
      <c r="A606" s="213"/>
      <c r="B606" s="213"/>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row>
    <row r="607">
      <c r="A607" s="213"/>
      <c r="B607" s="213"/>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row>
    <row r="608">
      <c r="A608" s="213"/>
      <c r="B608" s="213"/>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row>
    <row r="609">
      <c r="A609" s="213"/>
      <c r="B609" s="213"/>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row>
    <row r="610">
      <c r="A610" s="213"/>
      <c r="B610" s="213"/>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row>
    <row r="611">
      <c r="A611" s="213"/>
      <c r="B611" s="213"/>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row>
    <row r="612">
      <c r="A612" s="213"/>
      <c r="B612" s="213"/>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row>
    <row r="613">
      <c r="A613" s="213"/>
      <c r="B613" s="213"/>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row>
    <row r="614">
      <c r="A614" s="213"/>
      <c r="B614" s="213"/>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row>
    <row r="615">
      <c r="A615" s="213"/>
      <c r="B615" s="213"/>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row>
    <row r="616">
      <c r="A616" s="213"/>
      <c r="B616" s="213"/>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row>
    <row r="617">
      <c r="A617" s="213"/>
      <c r="B617" s="213"/>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row>
    <row r="618">
      <c r="A618" s="213"/>
      <c r="B618" s="213"/>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row>
    <row r="619">
      <c r="A619" s="213"/>
      <c r="B619" s="213"/>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row>
    <row r="620">
      <c r="A620" s="213"/>
      <c r="B620" s="213"/>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row>
    <row r="621">
      <c r="A621" s="213"/>
      <c r="B621" s="213"/>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row>
    <row r="622">
      <c r="A622" s="213"/>
      <c r="B622" s="213"/>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row>
    <row r="623">
      <c r="A623" s="213"/>
      <c r="B623" s="213"/>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row>
    <row r="624">
      <c r="A624" s="213"/>
      <c r="B624" s="213"/>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row>
    <row r="625">
      <c r="A625" s="213"/>
      <c r="B625" s="213"/>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row>
    <row r="626">
      <c r="A626" s="213"/>
      <c r="B626" s="213"/>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row>
    <row r="627">
      <c r="A627" s="213"/>
      <c r="B627" s="213"/>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row>
    <row r="628">
      <c r="A628" s="213"/>
      <c r="B628" s="213"/>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row>
    <row r="629">
      <c r="A629" s="213"/>
      <c r="B629" s="213"/>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row>
    <row r="630">
      <c r="A630" s="213"/>
      <c r="B630" s="213"/>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row>
    <row r="631">
      <c r="A631" s="213"/>
      <c r="B631" s="213"/>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row>
    <row r="632">
      <c r="A632" s="213"/>
      <c r="B632" s="213"/>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row>
    <row r="633">
      <c r="A633" s="213"/>
      <c r="B633" s="213"/>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row>
    <row r="634">
      <c r="A634" s="213"/>
      <c r="B634" s="213"/>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row>
    <row r="635">
      <c r="A635" s="213"/>
      <c r="B635" s="213"/>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row>
    <row r="636">
      <c r="A636" s="213"/>
      <c r="B636" s="213"/>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row>
    <row r="637">
      <c r="A637" s="213"/>
      <c r="B637" s="213"/>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row>
    <row r="638">
      <c r="A638" s="213"/>
      <c r="B638" s="213"/>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row>
    <row r="639">
      <c r="A639" s="213"/>
      <c r="B639" s="213"/>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row>
    <row r="640">
      <c r="A640" s="213"/>
      <c r="B640" s="213"/>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row>
    <row r="641">
      <c r="A641" s="213"/>
      <c r="B641" s="213"/>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row>
    <row r="642">
      <c r="A642" s="213"/>
      <c r="B642" s="213"/>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row>
    <row r="643">
      <c r="A643" s="213"/>
      <c r="B643" s="213"/>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row>
    <row r="644">
      <c r="A644" s="213"/>
      <c r="B644" s="213"/>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row>
    <row r="645">
      <c r="A645" s="213"/>
      <c r="B645" s="213"/>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row>
    <row r="646">
      <c r="A646" s="213"/>
      <c r="B646" s="213"/>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row>
    <row r="647">
      <c r="A647" s="213"/>
      <c r="B647" s="213"/>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row>
    <row r="648">
      <c r="A648" s="213"/>
      <c r="B648" s="213"/>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row>
    <row r="649">
      <c r="A649" s="213"/>
      <c r="B649" s="213"/>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row>
    <row r="650">
      <c r="A650" s="213"/>
      <c r="B650" s="213"/>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row>
    <row r="651">
      <c r="A651" s="213"/>
      <c r="B651" s="213"/>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row>
    <row r="652">
      <c r="A652" s="213"/>
      <c r="B652" s="213"/>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row>
    <row r="653">
      <c r="A653" s="213"/>
      <c r="B653" s="213"/>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row>
    <row r="654">
      <c r="A654" s="213"/>
      <c r="B654" s="213"/>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row>
    <row r="655">
      <c r="A655" s="213"/>
      <c r="B655" s="213"/>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row>
    <row r="656">
      <c r="A656" s="213"/>
      <c r="B656" s="213"/>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row>
    <row r="657">
      <c r="A657" s="213"/>
      <c r="B657" s="213"/>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row>
    <row r="658">
      <c r="A658" s="213"/>
      <c r="B658" s="213"/>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row>
    <row r="659">
      <c r="A659" s="213"/>
      <c r="B659" s="213"/>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row>
    <row r="660">
      <c r="A660" s="213"/>
      <c r="B660" s="213"/>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row>
    <row r="661">
      <c r="A661" s="213"/>
      <c r="B661" s="213"/>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row>
    <row r="662">
      <c r="A662" s="213"/>
      <c r="B662" s="213"/>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row>
    <row r="663">
      <c r="A663" s="213"/>
      <c r="B663" s="213"/>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row>
    <row r="664">
      <c r="A664" s="213"/>
      <c r="B664" s="213"/>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row>
    <row r="665">
      <c r="A665" s="213"/>
      <c r="B665" s="213"/>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row>
    <row r="666">
      <c r="A666" s="213"/>
      <c r="B666" s="213"/>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row>
    <row r="667">
      <c r="A667" s="213"/>
      <c r="B667" s="213"/>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row>
    <row r="668">
      <c r="A668" s="213"/>
      <c r="B668" s="213"/>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row>
    <row r="669">
      <c r="A669" s="213"/>
      <c r="B669" s="213"/>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row>
    <row r="670">
      <c r="A670" s="213"/>
      <c r="B670" s="213"/>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row>
    <row r="671">
      <c r="A671" s="213"/>
      <c r="B671" s="213"/>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row>
    <row r="672">
      <c r="A672" s="213"/>
      <c r="B672" s="213"/>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row>
    <row r="673">
      <c r="A673" s="213"/>
      <c r="B673" s="213"/>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row>
    <row r="674">
      <c r="A674" s="213"/>
      <c r="B674" s="213"/>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row>
    <row r="675">
      <c r="A675" s="213"/>
      <c r="B675" s="213"/>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row>
    <row r="676">
      <c r="A676" s="213"/>
      <c r="B676" s="213"/>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row>
    <row r="677">
      <c r="A677" s="213"/>
      <c r="B677" s="213"/>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row>
    <row r="678">
      <c r="A678" s="213"/>
      <c r="B678" s="213"/>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row>
    <row r="679">
      <c r="A679" s="213"/>
      <c r="B679" s="213"/>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row>
    <row r="680">
      <c r="A680" s="213"/>
      <c r="B680" s="213"/>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row>
    <row r="681">
      <c r="A681" s="213"/>
      <c r="B681" s="213"/>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row>
    <row r="682">
      <c r="A682" s="213"/>
      <c r="B682" s="213"/>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row>
    <row r="683">
      <c r="A683" s="213"/>
      <c r="B683" s="213"/>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row>
    <row r="684">
      <c r="A684" s="213"/>
      <c r="B684" s="213"/>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row>
    <row r="685">
      <c r="A685" s="213"/>
      <c r="B685" s="213"/>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row>
    <row r="686">
      <c r="A686" s="213"/>
      <c r="B686" s="213"/>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row>
    <row r="687">
      <c r="A687" s="213"/>
      <c r="B687" s="213"/>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row>
    <row r="688">
      <c r="A688" s="213"/>
      <c r="B688" s="213"/>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row>
    <row r="689">
      <c r="A689" s="213"/>
      <c r="B689" s="213"/>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row>
    <row r="690">
      <c r="A690" s="213"/>
      <c r="B690" s="213"/>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row>
    <row r="691">
      <c r="A691" s="213"/>
      <c r="B691" s="213"/>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row>
    <row r="692">
      <c r="A692" s="213"/>
      <c r="B692" s="213"/>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row>
    <row r="693">
      <c r="A693" s="213"/>
      <c r="B693" s="213"/>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row>
    <row r="694">
      <c r="A694" s="213"/>
      <c r="B694" s="213"/>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row>
    <row r="695">
      <c r="A695" s="213"/>
      <c r="B695" s="213"/>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row>
    <row r="696">
      <c r="A696" s="213"/>
      <c r="B696" s="213"/>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row>
    <row r="697">
      <c r="A697" s="213"/>
      <c r="B697" s="213"/>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row>
    <row r="698">
      <c r="A698" s="213"/>
      <c r="B698" s="213"/>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row>
    <row r="699">
      <c r="A699" s="213"/>
      <c r="B699" s="213"/>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row>
    <row r="700">
      <c r="A700" s="213"/>
      <c r="B700" s="213"/>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row>
    <row r="701">
      <c r="A701" s="213"/>
      <c r="B701" s="213"/>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row>
    <row r="702">
      <c r="A702" s="213"/>
      <c r="B702" s="213"/>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row>
    <row r="703">
      <c r="A703" s="213"/>
      <c r="B703" s="213"/>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row>
    <row r="704">
      <c r="A704" s="213"/>
      <c r="B704" s="213"/>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row>
    <row r="705">
      <c r="A705" s="213"/>
      <c r="B705" s="213"/>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row>
    <row r="706">
      <c r="A706" s="213"/>
      <c r="B706" s="213"/>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row>
    <row r="707">
      <c r="A707" s="213"/>
      <c r="B707" s="213"/>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row>
    <row r="708">
      <c r="A708" s="213"/>
      <c r="B708" s="213"/>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row>
    <row r="709">
      <c r="A709" s="213"/>
      <c r="B709" s="213"/>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row>
    <row r="710">
      <c r="A710" s="213"/>
      <c r="B710" s="213"/>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row>
    <row r="711">
      <c r="A711" s="213"/>
      <c r="B711" s="213"/>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row>
    <row r="712">
      <c r="A712" s="213"/>
      <c r="B712" s="213"/>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row>
    <row r="713">
      <c r="A713" s="213"/>
      <c r="B713" s="213"/>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row>
    <row r="714">
      <c r="A714" s="213"/>
      <c r="B714" s="213"/>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row>
    <row r="715">
      <c r="A715" s="213"/>
      <c r="B715" s="213"/>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row>
    <row r="716">
      <c r="A716" s="213"/>
      <c r="B716" s="213"/>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row>
    <row r="717">
      <c r="A717" s="213"/>
      <c r="B717" s="213"/>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row>
    <row r="718">
      <c r="A718" s="213"/>
      <c r="B718" s="213"/>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row>
    <row r="719">
      <c r="A719" s="213"/>
      <c r="B719" s="213"/>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row>
    <row r="720">
      <c r="A720" s="213"/>
      <c r="B720" s="213"/>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row>
    <row r="721">
      <c r="A721" s="213"/>
      <c r="B721" s="213"/>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row>
    <row r="722">
      <c r="A722" s="213"/>
      <c r="B722" s="213"/>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row>
    <row r="723">
      <c r="A723" s="213"/>
      <c r="B723" s="213"/>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row>
    <row r="724">
      <c r="A724" s="213"/>
      <c r="B724" s="213"/>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row>
    <row r="725">
      <c r="A725" s="213"/>
      <c r="B725" s="213"/>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row>
    <row r="726">
      <c r="A726" s="213"/>
      <c r="B726" s="213"/>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row>
    <row r="727">
      <c r="A727" s="213"/>
      <c r="B727" s="213"/>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row>
    <row r="728">
      <c r="A728" s="213"/>
      <c r="B728" s="213"/>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row>
    <row r="729">
      <c r="A729" s="213"/>
      <c r="B729" s="213"/>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row>
    <row r="730">
      <c r="A730" s="213"/>
      <c r="B730" s="213"/>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row>
    <row r="731">
      <c r="A731" s="213"/>
      <c r="B731" s="213"/>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row>
    <row r="732">
      <c r="A732" s="213"/>
      <c r="B732" s="213"/>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row>
    <row r="733">
      <c r="A733" s="213"/>
      <c r="B733" s="213"/>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row>
    <row r="734">
      <c r="A734" s="213"/>
      <c r="B734" s="213"/>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row>
    <row r="735">
      <c r="A735" s="213"/>
      <c r="B735" s="213"/>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row>
    <row r="736">
      <c r="A736" s="213"/>
      <c r="B736" s="213"/>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row>
    <row r="737">
      <c r="A737" s="213"/>
      <c r="B737" s="213"/>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row>
    <row r="738">
      <c r="A738" s="213"/>
      <c r="B738" s="213"/>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row>
    <row r="739">
      <c r="A739" s="213"/>
      <c r="B739" s="213"/>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row>
    <row r="740">
      <c r="A740" s="213"/>
      <c r="B740" s="213"/>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row>
    <row r="741">
      <c r="A741" s="213"/>
      <c r="B741" s="213"/>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row>
    <row r="742">
      <c r="A742" s="213"/>
      <c r="B742" s="213"/>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row>
    <row r="743">
      <c r="A743" s="213"/>
      <c r="B743" s="213"/>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row>
    <row r="744">
      <c r="A744" s="213"/>
      <c r="B744" s="213"/>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row>
    <row r="745">
      <c r="A745" s="213"/>
      <c r="B745" s="213"/>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row>
    <row r="746">
      <c r="A746" s="213"/>
      <c r="B746" s="213"/>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row>
    <row r="747">
      <c r="A747" s="213"/>
      <c r="B747" s="213"/>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row>
    <row r="748">
      <c r="A748" s="213"/>
      <c r="B748" s="213"/>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row>
    <row r="749">
      <c r="A749" s="213"/>
      <c r="B749" s="213"/>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row>
    <row r="750">
      <c r="A750" s="213"/>
      <c r="B750" s="213"/>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row>
    <row r="751">
      <c r="A751" s="213"/>
      <c r="B751" s="213"/>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row>
    <row r="752">
      <c r="A752" s="213"/>
      <c r="B752" s="213"/>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row>
    <row r="753">
      <c r="A753" s="213"/>
      <c r="B753" s="213"/>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row>
    <row r="754">
      <c r="A754" s="213"/>
      <c r="B754" s="213"/>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row>
    <row r="755">
      <c r="A755" s="213"/>
      <c r="B755" s="213"/>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row>
    <row r="756">
      <c r="A756" s="213"/>
      <c r="B756" s="213"/>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row>
    <row r="757">
      <c r="A757" s="213"/>
      <c r="B757" s="213"/>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row>
    <row r="758">
      <c r="A758" s="213"/>
      <c r="B758" s="213"/>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row>
    <row r="759">
      <c r="A759" s="213"/>
      <c r="B759" s="213"/>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row>
    <row r="760">
      <c r="A760" s="213"/>
      <c r="B760" s="213"/>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row>
    <row r="761">
      <c r="A761" s="213"/>
      <c r="B761" s="213"/>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row>
    <row r="762">
      <c r="A762" s="213"/>
      <c r="B762" s="213"/>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row>
    <row r="763">
      <c r="A763" s="213"/>
      <c r="B763" s="213"/>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row>
    <row r="764">
      <c r="A764" s="213"/>
      <c r="B764" s="213"/>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row>
    <row r="765">
      <c r="A765" s="213"/>
      <c r="B765" s="213"/>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row>
    <row r="766">
      <c r="A766" s="213"/>
      <c r="B766" s="213"/>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row>
    <row r="767">
      <c r="A767" s="213"/>
      <c r="B767" s="213"/>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row>
    <row r="768">
      <c r="A768" s="213"/>
      <c r="B768" s="213"/>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row>
    <row r="769">
      <c r="A769" s="213"/>
      <c r="B769" s="213"/>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row>
    <row r="770">
      <c r="A770" s="213"/>
      <c r="B770" s="213"/>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row>
    <row r="771">
      <c r="A771" s="213"/>
      <c r="B771" s="213"/>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row>
    <row r="772">
      <c r="A772" s="213"/>
      <c r="B772" s="213"/>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row>
    <row r="773">
      <c r="A773" s="213"/>
      <c r="B773" s="213"/>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row>
    <row r="774">
      <c r="A774" s="213"/>
      <c r="B774" s="213"/>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row>
    <row r="775">
      <c r="A775" s="213"/>
      <c r="B775" s="213"/>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row>
    <row r="776">
      <c r="A776" s="213"/>
      <c r="B776" s="213"/>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row>
    <row r="777">
      <c r="A777" s="213"/>
      <c r="B777" s="213"/>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row>
    <row r="778">
      <c r="A778" s="213"/>
      <c r="B778" s="213"/>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row>
    <row r="779">
      <c r="A779" s="213"/>
      <c r="B779" s="213"/>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row>
    <row r="780">
      <c r="A780" s="213"/>
      <c r="B780" s="213"/>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row>
    <row r="781">
      <c r="A781" s="213"/>
      <c r="B781" s="213"/>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row>
    <row r="782">
      <c r="A782" s="213"/>
      <c r="B782" s="213"/>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row>
    <row r="783">
      <c r="A783" s="213"/>
      <c r="B783" s="213"/>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row>
    <row r="784">
      <c r="A784" s="213"/>
      <c r="B784" s="213"/>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row>
    <row r="785">
      <c r="A785" s="213"/>
      <c r="B785" s="213"/>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row>
    <row r="786">
      <c r="A786" s="213"/>
      <c r="B786" s="213"/>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row>
    <row r="787">
      <c r="A787" s="213"/>
      <c r="B787" s="213"/>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row>
    <row r="788">
      <c r="A788" s="213"/>
      <c r="B788" s="213"/>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row>
    <row r="789">
      <c r="A789" s="213"/>
      <c r="B789" s="213"/>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row>
    <row r="790">
      <c r="A790" s="213"/>
      <c r="B790" s="213"/>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row>
    <row r="791">
      <c r="A791" s="213"/>
      <c r="B791" s="213"/>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row>
    <row r="792">
      <c r="A792" s="213"/>
      <c r="B792" s="213"/>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row>
    <row r="793">
      <c r="A793" s="213"/>
      <c r="B793" s="213"/>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row>
    <row r="794">
      <c r="A794" s="213"/>
      <c r="B794" s="213"/>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row>
    <row r="795">
      <c r="A795" s="213"/>
      <c r="B795" s="213"/>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row>
    <row r="796">
      <c r="A796" s="213"/>
      <c r="B796" s="213"/>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row>
    <row r="797">
      <c r="A797" s="213"/>
      <c r="B797" s="213"/>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row>
    <row r="798">
      <c r="A798" s="213"/>
      <c r="B798" s="213"/>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row>
    <row r="799">
      <c r="A799" s="213"/>
      <c r="B799" s="213"/>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row>
    <row r="800">
      <c r="A800" s="213"/>
      <c r="B800" s="213"/>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row>
    <row r="801">
      <c r="A801" s="213"/>
      <c r="B801" s="213"/>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row>
    <row r="802">
      <c r="A802" s="213"/>
      <c r="B802" s="213"/>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row>
    <row r="803">
      <c r="A803" s="213"/>
      <c r="B803" s="213"/>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row>
    <row r="804">
      <c r="A804" s="213"/>
      <c r="B804" s="213"/>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row>
    <row r="805">
      <c r="A805" s="213"/>
      <c r="B805" s="213"/>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row>
    <row r="806">
      <c r="A806" s="213"/>
      <c r="B806" s="213"/>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row>
    <row r="807">
      <c r="A807" s="213"/>
      <c r="B807" s="213"/>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row>
    <row r="808">
      <c r="A808" s="213"/>
      <c r="B808" s="213"/>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row>
    <row r="809">
      <c r="A809" s="213"/>
      <c r="B809" s="213"/>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row>
    <row r="810">
      <c r="A810" s="213"/>
      <c r="B810" s="213"/>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row>
    <row r="811">
      <c r="A811" s="213"/>
      <c r="B811" s="213"/>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row>
    <row r="812">
      <c r="A812" s="213"/>
      <c r="B812" s="213"/>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row>
    <row r="813">
      <c r="A813" s="213"/>
      <c r="B813" s="213"/>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row>
    <row r="814">
      <c r="A814" s="213"/>
      <c r="B814" s="213"/>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row>
    <row r="815">
      <c r="A815" s="213"/>
      <c r="B815" s="213"/>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row>
    <row r="816">
      <c r="A816" s="213"/>
      <c r="B816" s="213"/>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row>
    <row r="817">
      <c r="A817" s="213"/>
      <c r="B817" s="213"/>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row>
    <row r="818">
      <c r="A818" s="213"/>
      <c r="B818" s="213"/>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row>
    <row r="819">
      <c r="A819" s="213"/>
      <c r="B819" s="213"/>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row>
    <row r="820">
      <c r="A820" s="213"/>
      <c r="B820" s="213"/>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row>
    <row r="821">
      <c r="A821" s="213"/>
      <c r="B821" s="213"/>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row>
    <row r="822">
      <c r="A822" s="213"/>
      <c r="B822" s="213"/>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row>
    <row r="823">
      <c r="A823" s="213"/>
      <c r="B823" s="213"/>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row>
    <row r="824">
      <c r="A824" s="213"/>
      <c r="B824" s="213"/>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row>
    <row r="825">
      <c r="A825" s="213"/>
      <c r="B825" s="213"/>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row>
    <row r="826">
      <c r="A826" s="213"/>
      <c r="B826" s="213"/>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row>
    <row r="827">
      <c r="A827" s="213"/>
      <c r="B827" s="213"/>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row>
    <row r="828">
      <c r="A828" s="213"/>
      <c r="B828" s="213"/>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row>
    <row r="829">
      <c r="A829" s="213"/>
      <c r="B829" s="213"/>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row>
    <row r="830">
      <c r="A830" s="213"/>
      <c r="B830" s="213"/>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row>
    <row r="831">
      <c r="A831" s="213"/>
      <c r="B831" s="213"/>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row>
    <row r="832">
      <c r="A832" s="213"/>
      <c r="B832" s="213"/>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row>
    <row r="833">
      <c r="A833" s="213"/>
      <c r="B833" s="213"/>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row>
    <row r="834">
      <c r="A834" s="213"/>
      <c r="B834" s="213"/>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row>
    <row r="835">
      <c r="A835" s="213"/>
      <c r="B835" s="213"/>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row>
    <row r="836">
      <c r="A836" s="213"/>
      <c r="B836" s="213"/>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row>
    <row r="837">
      <c r="A837" s="213"/>
      <c r="B837" s="213"/>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row>
    <row r="838">
      <c r="A838" s="213"/>
      <c r="B838" s="213"/>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row>
    <row r="839">
      <c r="A839" s="213"/>
      <c r="B839" s="213"/>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row>
    <row r="840">
      <c r="A840" s="213"/>
      <c r="B840" s="213"/>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row>
    <row r="841">
      <c r="A841" s="213"/>
      <c r="B841" s="213"/>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row>
    <row r="842">
      <c r="A842" s="213"/>
      <c r="B842" s="213"/>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row>
    <row r="843">
      <c r="A843" s="213"/>
      <c r="B843" s="213"/>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row>
    <row r="844">
      <c r="A844" s="213"/>
      <c r="B844" s="213"/>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row>
    <row r="845">
      <c r="A845" s="213"/>
      <c r="B845" s="213"/>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row>
    <row r="846">
      <c r="A846" s="213"/>
      <c r="B846" s="213"/>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row>
    <row r="847">
      <c r="A847" s="213"/>
      <c r="B847" s="213"/>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row>
    <row r="848">
      <c r="A848" s="213"/>
      <c r="B848" s="213"/>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row>
    <row r="849">
      <c r="A849" s="213"/>
      <c r="B849" s="213"/>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row>
    <row r="850">
      <c r="A850" s="213"/>
      <c r="B850" s="213"/>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row>
    <row r="851">
      <c r="A851" s="213"/>
      <c r="B851" s="213"/>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row>
    <row r="852">
      <c r="A852" s="213"/>
      <c r="B852" s="213"/>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row>
    <row r="853">
      <c r="A853" s="213"/>
      <c r="B853" s="213"/>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row>
    <row r="854">
      <c r="A854" s="213"/>
      <c r="B854" s="213"/>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row>
    <row r="855">
      <c r="A855" s="213"/>
      <c r="B855" s="213"/>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row>
    <row r="856">
      <c r="A856" s="213"/>
      <c r="B856" s="213"/>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row>
    <row r="857">
      <c r="A857" s="213"/>
      <c r="B857" s="213"/>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row>
    <row r="858">
      <c r="A858" s="213"/>
      <c r="B858" s="213"/>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row>
    <row r="859">
      <c r="A859" s="213"/>
      <c r="B859" s="213"/>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row>
    <row r="860">
      <c r="A860" s="213"/>
      <c r="B860" s="213"/>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row>
    <row r="861">
      <c r="A861" s="213"/>
      <c r="B861" s="213"/>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row>
    <row r="862">
      <c r="A862" s="213"/>
      <c r="B862" s="213"/>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row>
    <row r="863">
      <c r="A863" s="213"/>
      <c r="B863" s="213"/>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row>
    <row r="864">
      <c r="A864" s="213"/>
      <c r="B864" s="213"/>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row>
    <row r="865">
      <c r="A865" s="213"/>
      <c r="B865" s="213"/>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row>
    <row r="866">
      <c r="A866" s="213"/>
      <c r="B866" s="213"/>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row>
    <row r="867">
      <c r="A867" s="213"/>
      <c r="B867" s="213"/>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row>
    <row r="868">
      <c r="A868" s="213"/>
      <c r="B868" s="213"/>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row>
    <row r="869">
      <c r="A869" s="213"/>
      <c r="B869" s="213"/>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row>
    <row r="870">
      <c r="A870" s="213"/>
      <c r="B870" s="213"/>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row>
    <row r="871">
      <c r="A871" s="213"/>
      <c r="B871" s="213"/>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row>
    <row r="872">
      <c r="A872" s="213"/>
      <c r="B872" s="213"/>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row>
    <row r="873">
      <c r="A873" s="213"/>
      <c r="B873" s="213"/>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row>
    <row r="874">
      <c r="A874" s="213"/>
      <c r="B874" s="213"/>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row>
    <row r="875">
      <c r="A875" s="213"/>
      <c r="B875" s="213"/>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row>
    <row r="876">
      <c r="A876" s="213"/>
      <c r="B876" s="213"/>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row>
    <row r="877">
      <c r="A877" s="213"/>
      <c r="B877" s="213"/>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row>
    <row r="878">
      <c r="A878" s="213"/>
      <c r="B878" s="213"/>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row>
    <row r="879">
      <c r="A879" s="213"/>
      <c r="B879" s="213"/>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row>
    <row r="880">
      <c r="A880" s="213"/>
      <c r="B880" s="213"/>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row>
    <row r="881">
      <c r="A881" s="213"/>
      <c r="B881" s="213"/>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row>
    <row r="882">
      <c r="A882" s="213"/>
      <c r="B882" s="213"/>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row>
    <row r="883">
      <c r="A883" s="213"/>
      <c r="B883" s="213"/>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row>
    <row r="884">
      <c r="A884" s="213"/>
      <c r="B884" s="213"/>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row>
    <row r="885">
      <c r="A885" s="213"/>
      <c r="B885" s="213"/>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row>
    <row r="886">
      <c r="A886" s="213"/>
      <c r="B886" s="213"/>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row>
    <row r="887">
      <c r="A887" s="213"/>
      <c r="B887" s="213"/>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row>
    <row r="888">
      <c r="A888" s="213"/>
      <c r="B888" s="213"/>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row>
    <row r="889">
      <c r="A889" s="213"/>
      <c r="B889" s="213"/>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row>
    <row r="890">
      <c r="A890" s="213"/>
      <c r="B890" s="213"/>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row>
    <row r="891">
      <c r="A891" s="213"/>
      <c r="B891" s="213"/>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row>
    <row r="892">
      <c r="A892" s="213"/>
      <c r="B892" s="213"/>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row>
    <row r="893">
      <c r="A893" s="213"/>
      <c r="B893" s="213"/>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row>
    <row r="894">
      <c r="A894" s="213"/>
      <c r="B894" s="213"/>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row>
    <row r="895">
      <c r="A895" s="213"/>
      <c r="B895" s="213"/>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row>
    <row r="896">
      <c r="A896" s="213"/>
      <c r="B896" s="213"/>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row>
    <row r="897">
      <c r="A897" s="213"/>
      <c r="B897" s="213"/>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row>
    <row r="898">
      <c r="A898" s="213"/>
      <c r="B898" s="213"/>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row>
    <row r="899">
      <c r="A899" s="213"/>
      <c r="B899" s="213"/>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row>
    <row r="900">
      <c r="A900" s="213"/>
      <c r="B900" s="213"/>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row>
    <row r="901">
      <c r="A901" s="213"/>
      <c r="B901" s="213"/>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row>
    <row r="902">
      <c r="A902" s="213"/>
      <c r="B902" s="213"/>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row>
    <row r="903">
      <c r="A903" s="213"/>
      <c r="B903" s="213"/>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row>
    <row r="904">
      <c r="A904" s="213"/>
      <c r="B904" s="213"/>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row>
    <row r="905">
      <c r="A905" s="213"/>
      <c r="B905" s="213"/>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row>
    <row r="906">
      <c r="A906" s="213"/>
      <c r="B906" s="213"/>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row>
    <row r="907">
      <c r="A907" s="213"/>
      <c r="B907" s="213"/>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row>
    <row r="908">
      <c r="A908" s="213"/>
      <c r="B908" s="213"/>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row>
    <row r="909">
      <c r="A909" s="213"/>
      <c r="B909" s="213"/>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row>
    <row r="910">
      <c r="A910" s="213"/>
      <c r="B910" s="213"/>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row>
    <row r="911">
      <c r="A911" s="213"/>
      <c r="B911" s="213"/>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row>
    <row r="912">
      <c r="A912" s="213"/>
      <c r="B912" s="213"/>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row>
    <row r="913">
      <c r="A913" s="213"/>
      <c r="B913" s="213"/>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row>
    <row r="914">
      <c r="A914" s="213"/>
      <c r="B914" s="213"/>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row>
    <row r="915">
      <c r="A915" s="213"/>
      <c r="B915" s="213"/>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row>
    <row r="916">
      <c r="A916" s="213"/>
      <c r="B916" s="213"/>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row>
    <row r="917">
      <c r="A917" s="213"/>
      <c r="B917" s="213"/>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row>
    <row r="918">
      <c r="A918" s="213"/>
      <c r="B918" s="213"/>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row>
    <row r="919">
      <c r="A919" s="213"/>
      <c r="B919" s="213"/>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row>
    <row r="920">
      <c r="A920" s="213"/>
      <c r="B920" s="213"/>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row>
    <row r="921">
      <c r="A921" s="213"/>
      <c r="B921" s="213"/>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row>
    <row r="922">
      <c r="A922" s="213"/>
      <c r="B922" s="213"/>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row>
    <row r="923">
      <c r="A923" s="213"/>
      <c r="B923" s="213"/>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row>
    <row r="924">
      <c r="A924" s="213"/>
      <c r="B924" s="213"/>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row>
    <row r="925">
      <c r="A925" s="213"/>
      <c r="B925" s="213"/>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row>
    <row r="926">
      <c r="A926" s="213"/>
      <c r="B926" s="213"/>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row>
    <row r="927">
      <c r="A927" s="213"/>
      <c r="B927" s="213"/>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row>
    <row r="928">
      <c r="A928" s="213"/>
      <c r="B928" s="213"/>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row>
    <row r="929">
      <c r="A929" s="213"/>
      <c r="B929" s="213"/>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row>
    <row r="930">
      <c r="A930" s="213"/>
      <c r="B930" s="213"/>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row>
    <row r="931">
      <c r="A931" s="213"/>
      <c r="B931" s="213"/>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row>
    <row r="932">
      <c r="A932" s="213"/>
      <c r="B932" s="213"/>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row>
    <row r="933">
      <c r="A933" s="213"/>
      <c r="B933" s="213"/>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row>
    <row r="934">
      <c r="A934" s="213"/>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row>
    <row r="935">
      <c r="A935" s="213"/>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row>
    <row r="936">
      <c r="A936" s="213"/>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row>
    <row r="937">
      <c r="A937" s="213"/>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row>
    <row r="938">
      <c r="A938" s="213"/>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row>
    <row r="939">
      <c r="A939" s="213"/>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row>
    <row r="940">
      <c r="A940" s="213"/>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row>
    <row r="941">
      <c r="A941" s="213"/>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row>
    <row r="942">
      <c r="A942" s="213"/>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row>
    <row r="943">
      <c r="A943" s="213"/>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row>
    <row r="944">
      <c r="A944" s="213"/>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row>
    <row r="945">
      <c r="A945" s="213"/>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row>
    <row r="946">
      <c r="A946" s="213"/>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row>
    <row r="947">
      <c r="A947" s="213"/>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row>
    <row r="948">
      <c r="A948" s="213"/>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row>
    <row r="949">
      <c r="A949" s="213"/>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row>
    <row r="950">
      <c r="A950" s="213"/>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row>
    <row r="951">
      <c r="A951" s="213"/>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row>
    <row r="952">
      <c r="A952" s="213"/>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row>
    <row r="953">
      <c r="A953" s="213"/>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row>
    <row r="954">
      <c r="A954" s="213"/>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row>
    <row r="955">
      <c r="A955" s="213"/>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row>
    <row r="956">
      <c r="A956" s="213"/>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row>
    <row r="957">
      <c r="A957" s="213"/>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row>
    <row r="958">
      <c r="A958" s="213"/>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row>
    <row r="959">
      <c r="A959" s="213"/>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row>
    <row r="960">
      <c r="A960" s="213"/>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row>
    <row r="961">
      <c r="A961" s="213"/>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row>
    <row r="962">
      <c r="A962" s="213"/>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row>
    <row r="963">
      <c r="A963" s="213"/>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row>
    <row r="964">
      <c r="A964" s="213"/>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row>
    <row r="965">
      <c r="A965" s="213"/>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row>
    <row r="966">
      <c r="A966" s="213"/>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row>
    <row r="967">
      <c r="A967" s="213"/>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row>
    <row r="968">
      <c r="A968" s="213"/>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row>
    <row r="969">
      <c r="A969" s="213"/>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row>
    <row r="970">
      <c r="A970" s="213"/>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row>
    <row r="971">
      <c r="A971" s="213"/>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row>
    <row r="972">
      <c r="A972" s="213"/>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row>
    <row r="973">
      <c r="A973" s="213"/>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row>
    <row r="974">
      <c r="A974" s="213"/>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row>
    <row r="975">
      <c r="A975" s="213"/>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row>
    <row r="976">
      <c r="A976" s="213"/>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row>
    <row r="977">
      <c r="A977" s="213"/>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row>
    <row r="978">
      <c r="A978" s="213"/>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row>
    <row r="979">
      <c r="A979" s="213"/>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row>
    <row r="980">
      <c r="A980" s="213"/>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row>
    <row r="981">
      <c r="A981" s="213"/>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row>
    <row r="982">
      <c r="A982" s="213"/>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row>
    <row r="983">
      <c r="A983" s="213"/>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row>
    <row r="984">
      <c r="A984" s="213"/>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row>
    <row r="985">
      <c r="A985" s="213"/>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row>
    <row r="986">
      <c r="A986" s="213"/>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row>
    <row r="987">
      <c r="A987" s="213"/>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row>
    <row r="988">
      <c r="A988" s="213"/>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row>
    <row r="989">
      <c r="A989" s="213"/>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row>
    <row r="990">
      <c r="A990" s="213"/>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row>
    <row r="991">
      <c r="A991" s="213"/>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row>
    <row r="992">
      <c r="A992" s="213"/>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row>
    <row r="993">
      <c r="A993" s="213"/>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row>
    <row r="994">
      <c r="A994" s="213"/>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row>
    <row r="995">
      <c r="A995" s="213"/>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row>
    <row r="996">
      <c r="A996" s="213"/>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row>
    <row r="997">
      <c r="A997" s="213"/>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row>
    <row r="998">
      <c r="A998" s="213"/>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row>
    <row r="999">
      <c r="A999" s="213"/>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row>
    <row r="1000">
      <c r="A1000" s="213"/>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row>
  </sheetData>
  <dataValidations>
    <dataValidation type="list" allowBlank="1" sqref="D2:D27 D29:D51">
      <formula1>"Crescent Solitaire,Other Andheri Properties"</formula1>
    </dataValidation>
    <dataValidation type="list" allowBlank="1" sqref="C2:C51">
      <formula1>"Cold,Hot,Warm,Lost,Hold,Closed,Not Responsive "</formula1>
    </dataValidation>
  </dataValidations>
  <hyperlinks>
    <hyperlink r:id="rId1" ref="J39"/>
    <hyperlink r:id="rId2" ref="L43"/>
  </hyperlinks>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5.63"/>
    <col customWidth="1" min="9" max="9" width="32.88"/>
    <col customWidth="1" min="10" max="10" width="20.25"/>
    <col customWidth="1" min="11" max="11" width="21.88"/>
    <col customWidth="1" min="13" max="13" width="45.25"/>
  </cols>
  <sheetData>
    <row r="1">
      <c r="A1" s="241" t="s">
        <v>15</v>
      </c>
      <c r="B1" s="242" t="s">
        <v>12</v>
      </c>
      <c r="C1" s="243" t="s">
        <v>6</v>
      </c>
      <c r="D1" s="243" t="s">
        <v>16</v>
      </c>
      <c r="E1" s="243" t="s">
        <v>17</v>
      </c>
      <c r="F1" s="244" t="s">
        <v>18</v>
      </c>
      <c r="G1" s="244" t="s">
        <v>19</v>
      </c>
      <c r="H1" s="244" t="s">
        <v>20</v>
      </c>
      <c r="I1" s="244" t="s">
        <v>21</v>
      </c>
      <c r="J1" s="244" t="s">
        <v>22</v>
      </c>
      <c r="K1" s="244" t="s">
        <v>23</v>
      </c>
      <c r="L1" s="243" t="s">
        <v>12</v>
      </c>
      <c r="M1" s="243" t="s">
        <v>13</v>
      </c>
    </row>
    <row r="2">
      <c r="A2" s="245">
        <v>1.0</v>
      </c>
      <c r="B2" s="246"/>
      <c r="C2" s="247">
        <v>46132.0</v>
      </c>
      <c r="D2" s="248" t="s">
        <v>1135</v>
      </c>
      <c r="E2" s="248" t="s">
        <v>1136</v>
      </c>
      <c r="F2" s="248" t="s">
        <v>1137</v>
      </c>
      <c r="G2" s="249" t="s">
        <v>1138</v>
      </c>
      <c r="H2" s="248" t="s">
        <v>1139</v>
      </c>
      <c r="I2" s="248" t="s">
        <v>1140</v>
      </c>
      <c r="J2" s="248" t="s">
        <v>1141</v>
      </c>
      <c r="K2" s="248" t="s">
        <v>1142</v>
      </c>
      <c r="L2" s="246"/>
      <c r="M2" s="248" t="s">
        <v>1143</v>
      </c>
    </row>
    <row r="3">
      <c r="A3" s="245">
        <v>2.0</v>
      </c>
      <c r="B3" s="246"/>
      <c r="C3" s="247">
        <v>46133.0</v>
      </c>
      <c r="D3" s="248" t="s">
        <v>1135</v>
      </c>
      <c r="E3" s="248" t="s">
        <v>82</v>
      </c>
      <c r="F3" s="248" t="s">
        <v>1144</v>
      </c>
      <c r="G3" s="249" t="s">
        <v>1145</v>
      </c>
      <c r="H3" s="248" t="s">
        <v>1146</v>
      </c>
      <c r="I3" s="248" t="s">
        <v>1147</v>
      </c>
      <c r="J3" s="248" t="s">
        <v>1148</v>
      </c>
      <c r="K3" s="248" t="s">
        <v>580</v>
      </c>
      <c r="L3" s="246"/>
      <c r="M3" s="248" t="s">
        <v>1149</v>
      </c>
    </row>
    <row r="4">
      <c r="A4" s="245">
        <v>3.0</v>
      </c>
      <c r="B4" s="246"/>
      <c r="C4" s="247">
        <v>46133.0</v>
      </c>
      <c r="D4" s="248" t="s">
        <v>1135</v>
      </c>
      <c r="E4" s="248" t="s">
        <v>1150</v>
      </c>
      <c r="F4" s="248" t="s">
        <v>1151</v>
      </c>
      <c r="G4" s="249" t="s">
        <v>1152</v>
      </c>
      <c r="H4" s="248" t="s">
        <v>1153</v>
      </c>
      <c r="I4" s="248" t="s">
        <v>1154</v>
      </c>
      <c r="J4" s="248" t="s">
        <v>1155</v>
      </c>
      <c r="K4" s="248" t="s">
        <v>1156</v>
      </c>
      <c r="L4" s="246"/>
      <c r="M4" s="248" t="s">
        <v>1157</v>
      </c>
    </row>
    <row r="5" ht="17.25" customHeight="1">
      <c r="A5" s="245">
        <v>4.0</v>
      </c>
      <c r="B5" s="246"/>
      <c r="C5" s="247">
        <v>46133.0</v>
      </c>
      <c r="D5" s="248" t="s">
        <v>1135</v>
      </c>
      <c r="E5" s="248" t="s">
        <v>1158</v>
      </c>
      <c r="F5" s="248" t="s">
        <v>1159</v>
      </c>
      <c r="G5" s="249">
        <v>9.811392479E9</v>
      </c>
      <c r="H5" s="248" t="s">
        <v>1160</v>
      </c>
      <c r="I5" s="248" t="s">
        <v>626</v>
      </c>
      <c r="J5" s="250" t="s">
        <v>1161</v>
      </c>
      <c r="K5" s="248" t="s">
        <v>552</v>
      </c>
      <c r="L5" s="246"/>
      <c r="M5" s="248" t="s">
        <v>1162</v>
      </c>
    </row>
    <row r="6">
      <c r="A6" s="245">
        <v>5.0</v>
      </c>
      <c r="B6" s="246"/>
      <c r="C6" s="247">
        <v>46135.0</v>
      </c>
      <c r="D6" s="248" t="s">
        <v>1135</v>
      </c>
      <c r="E6" s="248" t="s">
        <v>1163</v>
      </c>
      <c r="F6" s="248" t="s">
        <v>1164</v>
      </c>
      <c r="G6" s="251"/>
      <c r="H6" s="252"/>
      <c r="I6" s="248" t="s">
        <v>252</v>
      </c>
      <c r="J6" s="248" t="s">
        <v>1165</v>
      </c>
      <c r="K6" s="248" t="s">
        <v>552</v>
      </c>
      <c r="L6" s="246"/>
      <c r="M6" s="248" t="s">
        <v>1166</v>
      </c>
    </row>
    <row r="7">
      <c r="A7" s="245">
        <v>6.0</v>
      </c>
      <c r="B7" s="246"/>
      <c r="C7" s="247">
        <v>46137.0</v>
      </c>
      <c r="D7" s="248" t="s">
        <v>1135</v>
      </c>
      <c r="E7" s="248" t="s">
        <v>1167</v>
      </c>
      <c r="F7" s="248" t="s">
        <v>1168</v>
      </c>
      <c r="G7" s="249"/>
      <c r="H7" s="248" t="s">
        <v>1169</v>
      </c>
      <c r="I7" s="248" t="s">
        <v>1170</v>
      </c>
      <c r="J7" s="248" t="s">
        <v>1171</v>
      </c>
      <c r="K7" s="248" t="s">
        <v>559</v>
      </c>
      <c r="L7" s="246"/>
      <c r="M7" s="246"/>
    </row>
    <row r="8">
      <c r="A8" s="245">
        <v>7.0</v>
      </c>
      <c r="B8" s="246"/>
      <c r="C8" s="247">
        <v>46138.0</v>
      </c>
      <c r="D8" s="248" t="s">
        <v>1135</v>
      </c>
      <c r="E8" s="248" t="s">
        <v>1172</v>
      </c>
      <c r="F8" s="248" t="s">
        <v>293</v>
      </c>
      <c r="G8" s="249" t="s">
        <v>1173</v>
      </c>
      <c r="H8" s="248" t="s">
        <v>1174</v>
      </c>
      <c r="I8" s="248" t="s">
        <v>1175</v>
      </c>
      <c r="J8" s="248" t="s">
        <v>1176</v>
      </c>
      <c r="K8" s="248" t="s">
        <v>552</v>
      </c>
      <c r="L8" s="246"/>
      <c r="M8" s="248" t="s">
        <v>1177</v>
      </c>
    </row>
    <row r="9">
      <c r="A9" s="245">
        <v>8.0</v>
      </c>
      <c r="B9" s="246"/>
      <c r="C9" s="247">
        <v>46144.0</v>
      </c>
      <c r="D9" s="248" t="s">
        <v>1135</v>
      </c>
      <c r="E9" s="248" t="s">
        <v>1178</v>
      </c>
      <c r="F9" s="248" t="s">
        <v>1179</v>
      </c>
      <c r="G9" s="249">
        <v>8.171887034E9</v>
      </c>
      <c r="H9" s="248" t="s">
        <v>1180</v>
      </c>
      <c r="I9" s="248" t="s">
        <v>1181</v>
      </c>
      <c r="J9" s="248" t="s">
        <v>1182</v>
      </c>
      <c r="K9" s="248" t="s">
        <v>1183</v>
      </c>
      <c r="L9" s="246"/>
      <c r="M9" s="248" t="s">
        <v>1184</v>
      </c>
    </row>
    <row r="10">
      <c r="A10" s="245">
        <v>9.0</v>
      </c>
      <c r="B10" s="253"/>
      <c r="C10" s="247">
        <v>46145.0</v>
      </c>
      <c r="D10" s="248" t="s">
        <v>1135</v>
      </c>
      <c r="E10" s="254" t="s">
        <v>1185</v>
      </c>
      <c r="F10" s="248" t="s">
        <v>1186</v>
      </c>
      <c r="G10" s="249" t="s">
        <v>1187</v>
      </c>
      <c r="H10" s="248" t="s">
        <v>1188</v>
      </c>
      <c r="I10" s="248" t="s">
        <v>396</v>
      </c>
      <c r="J10" s="248" t="s">
        <v>1189</v>
      </c>
      <c r="K10" s="248" t="s">
        <v>1190</v>
      </c>
      <c r="L10" s="246"/>
      <c r="M10" s="248" t="s">
        <v>1191</v>
      </c>
    </row>
    <row r="11">
      <c r="A11" s="245">
        <v>10.0</v>
      </c>
      <c r="B11" s="253"/>
      <c r="C11" s="255">
        <v>46146.0</v>
      </c>
      <c r="D11" s="248" t="s">
        <v>1135</v>
      </c>
      <c r="E11" s="256" t="s">
        <v>1192</v>
      </c>
      <c r="F11" s="256" t="s">
        <v>1193</v>
      </c>
      <c r="G11" s="257">
        <v>9.958465601E9</v>
      </c>
      <c r="H11" s="248" t="s">
        <v>1194</v>
      </c>
      <c r="I11" s="248" t="s">
        <v>1195</v>
      </c>
      <c r="J11" s="258" t="s">
        <v>1196</v>
      </c>
      <c r="K11" s="248" t="s">
        <v>841</v>
      </c>
      <c r="L11" s="246"/>
      <c r="M11" s="248" t="s">
        <v>1197</v>
      </c>
    </row>
    <row r="12">
      <c r="A12" s="245">
        <v>11.0</v>
      </c>
      <c r="B12" s="253"/>
      <c r="C12" s="255">
        <v>46150.0</v>
      </c>
      <c r="D12" s="248" t="s">
        <v>1135</v>
      </c>
      <c r="E12" s="248" t="s">
        <v>1198</v>
      </c>
      <c r="F12" s="248" t="s">
        <v>1199</v>
      </c>
      <c r="G12" s="249">
        <v>9.953940173E9</v>
      </c>
      <c r="H12" s="248" t="s">
        <v>1200</v>
      </c>
      <c r="I12" s="248" t="s">
        <v>77</v>
      </c>
      <c r="J12" s="248" t="s">
        <v>1201</v>
      </c>
      <c r="K12" s="248" t="s">
        <v>559</v>
      </c>
      <c r="L12" s="246"/>
      <c r="M12" s="248" t="s">
        <v>1202</v>
      </c>
    </row>
    <row r="13">
      <c r="A13" s="245">
        <v>12.0</v>
      </c>
      <c r="B13" s="253"/>
      <c r="C13" s="255">
        <v>46150.0</v>
      </c>
      <c r="D13" s="248" t="s">
        <v>1135</v>
      </c>
      <c r="E13" s="248" t="s">
        <v>1203</v>
      </c>
      <c r="F13" s="248" t="s">
        <v>293</v>
      </c>
      <c r="G13" s="252"/>
      <c r="H13" s="248" t="s">
        <v>1204</v>
      </c>
      <c r="I13" s="248" t="s">
        <v>1170</v>
      </c>
      <c r="J13" s="248" t="s">
        <v>1205</v>
      </c>
      <c r="K13" s="248" t="s">
        <v>559</v>
      </c>
      <c r="L13" s="246"/>
      <c r="M13" s="248" t="s">
        <v>1206</v>
      </c>
    </row>
    <row r="14">
      <c r="A14" s="245">
        <v>13.0</v>
      </c>
      <c r="B14" s="253"/>
      <c r="C14" s="255">
        <v>46151.0</v>
      </c>
      <c r="D14" s="248" t="s">
        <v>1135</v>
      </c>
      <c r="E14" s="248" t="s">
        <v>1207</v>
      </c>
      <c r="F14" s="248" t="s">
        <v>1208</v>
      </c>
      <c r="G14" s="249">
        <v>9.577777712E9</v>
      </c>
      <c r="H14" s="248" t="s">
        <v>1209</v>
      </c>
      <c r="I14" s="248" t="s">
        <v>1210</v>
      </c>
      <c r="J14" s="248" t="s">
        <v>1211</v>
      </c>
      <c r="K14" s="248" t="s">
        <v>559</v>
      </c>
      <c r="L14" s="246"/>
      <c r="M14" s="250" t="s">
        <v>1212</v>
      </c>
    </row>
    <row r="15">
      <c r="A15" s="245">
        <v>14.0</v>
      </c>
      <c r="B15" s="253"/>
      <c r="C15" s="259">
        <v>46152.0</v>
      </c>
      <c r="D15" s="248" t="s">
        <v>1135</v>
      </c>
      <c r="E15" s="248" t="s">
        <v>1213</v>
      </c>
      <c r="F15" s="248" t="s">
        <v>1179</v>
      </c>
      <c r="G15" s="252"/>
      <c r="H15" s="248" t="s">
        <v>1214</v>
      </c>
      <c r="I15" s="248" t="s">
        <v>56</v>
      </c>
      <c r="J15" s="248" t="s">
        <v>1215</v>
      </c>
      <c r="K15" s="248" t="s">
        <v>1190</v>
      </c>
      <c r="L15" s="246"/>
      <c r="M15" s="248" t="s">
        <v>1216</v>
      </c>
    </row>
    <row r="16">
      <c r="A16" s="245">
        <v>15.0</v>
      </c>
      <c r="B16" s="253"/>
      <c r="C16" s="255">
        <v>46152.0</v>
      </c>
      <c r="D16" s="248" t="s">
        <v>1135</v>
      </c>
      <c r="E16" s="248" t="s">
        <v>769</v>
      </c>
      <c r="F16" s="248" t="s">
        <v>1217</v>
      </c>
      <c r="G16" s="249">
        <v>9.999725E9</v>
      </c>
      <c r="H16" s="248" t="s">
        <v>1218</v>
      </c>
      <c r="I16" s="248" t="s">
        <v>56</v>
      </c>
      <c r="J16" s="248" t="s">
        <v>1219</v>
      </c>
      <c r="K16" s="248" t="s">
        <v>1220</v>
      </c>
      <c r="L16" s="246"/>
      <c r="M16" s="248" t="s">
        <v>1221</v>
      </c>
    </row>
    <row r="17">
      <c r="A17" s="248">
        <v>16.0</v>
      </c>
      <c r="B17" s="246"/>
      <c r="C17" s="246"/>
      <c r="D17" s="246"/>
      <c r="E17" s="246"/>
      <c r="F17" s="246"/>
      <c r="G17" s="260"/>
      <c r="H17" s="246"/>
      <c r="I17" s="246"/>
      <c r="J17" s="246"/>
      <c r="K17" s="246"/>
      <c r="L17" s="246"/>
      <c r="M17" s="246"/>
    </row>
    <row r="18">
      <c r="A18" s="177"/>
      <c r="B18" s="177"/>
      <c r="C18" s="177"/>
      <c r="D18" s="177"/>
      <c r="E18" s="177"/>
      <c r="F18" s="177"/>
      <c r="G18" s="175"/>
      <c r="H18" s="177"/>
      <c r="I18" s="177"/>
      <c r="J18" s="177"/>
      <c r="K18" s="177"/>
      <c r="L18" s="177"/>
      <c r="M18" s="177"/>
    </row>
    <row r="19">
      <c r="A19" s="177"/>
      <c r="B19" s="177"/>
      <c r="C19" s="177"/>
      <c r="D19" s="177"/>
      <c r="E19" s="177"/>
      <c r="F19" s="177"/>
      <c r="G19" s="175"/>
      <c r="H19" s="177"/>
      <c r="I19" s="177"/>
      <c r="J19" s="177"/>
      <c r="K19" s="177"/>
      <c r="L19" s="177"/>
      <c r="M19" s="177"/>
    </row>
    <row r="20">
      <c r="A20" s="177"/>
      <c r="B20" s="177"/>
      <c r="C20" s="177"/>
      <c r="D20" s="177"/>
      <c r="E20" s="177"/>
      <c r="F20" s="177"/>
      <c r="G20" s="175"/>
      <c r="H20" s="177"/>
      <c r="I20" s="177"/>
      <c r="J20" s="177"/>
      <c r="K20" s="177"/>
      <c r="L20" s="177"/>
      <c r="M20" s="177"/>
    </row>
    <row r="21">
      <c r="A21" s="177"/>
      <c r="B21" s="177"/>
      <c r="C21" s="177"/>
      <c r="D21" s="177"/>
      <c r="E21" s="177"/>
      <c r="F21" s="177"/>
      <c r="G21" s="175"/>
      <c r="H21" s="177"/>
      <c r="I21" s="177"/>
      <c r="J21" s="177"/>
      <c r="K21" s="177"/>
      <c r="L21" s="177"/>
      <c r="M21" s="177"/>
    </row>
    <row r="22">
      <c r="A22" s="177"/>
      <c r="B22" s="177"/>
      <c r="C22" s="177"/>
      <c r="D22" s="177"/>
      <c r="E22" s="177"/>
      <c r="F22" s="177"/>
      <c r="G22" s="175"/>
      <c r="H22" s="177"/>
      <c r="I22" s="177"/>
      <c r="J22" s="177"/>
      <c r="K22" s="177"/>
      <c r="L22" s="177"/>
      <c r="M22" s="177"/>
    </row>
    <row r="23">
      <c r="A23" s="177"/>
      <c r="B23" s="177"/>
      <c r="C23" s="177"/>
      <c r="D23" s="177"/>
      <c r="E23" s="177"/>
      <c r="F23" s="177"/>
      <c r="G23" s="175"/>
      <c r="H23" s="177"/>
      <c r="I23" s="177"/>
      <c r="J23" s="177"/>
      <c r="K23" s="177"/>
      <c r="L23" s="177"/>
      <c r="M23" s="177"/>
    </row>
    <row r="24">
      <c r="A24" s="177"/>
      <c r="B24" s="177"/>
      <c r="C24" s="177"/>
      <c r="D24" s="177"/>
      <c r="E24" s="177"/>
      <c r="F24" s="177"/>
      <c r="G24" s="175"/>
      <c r="H24" s="177"/>
      <c r="I24" s="177"/>
      <c r="J24" s="177"/>
      <c r="K24" s="177"/>
      <c r="L24" s="177"/>
      <c r="M24" s="177"/>
    </row>
    <row r="25">
      <c r="A25" s="177"/>
      <c r="B25" s="177"/>
      <c r="C25" s="177"/>
      <c r="D25" s="177"/>
      <c r="E25" s="177"/>
      <c r="F25" s="177"/>
      <c r="G25" s="175"/>
      <c r="H25" s="177"/>
      <c r="I25" s="177"/>
      <c r="J25" s="177"/>
      <c r="K25" s="177"/>
      <c r="L25" s="177"/>
      <c r="M25" s="177"/>
    </row>
    <row r="26">
      <c r="A26" s="177"/>
      <c r="B26" s="177"/>
      <c r="C26" s="177"/>
      <c r="D26" s="177"/>
      <c r="E26" s="177"/>
      <c r="F26" s="177"/>
      <c r="G26" s="175"/>
      <c r="H26" s="177"/>
      <c r="I26" s="177"/>
      <c r="J26" s="177"/>
      <c r="K26" s="177"/>
      <c r="L26" s="177"/>
      <c r="M26" s="177"/>
    </row>
    <row r="27">
      <c r="A27" s="177"/>
      <c r="B27" s="177"/>
      <c r="C27" s="177"/>
      <c r="D27" s="177"/>
      <c r="E27" s="177"/>
      <c r="F27" s="177"/>
      <c r="G27" s="175"/>
      <c r="H27" s="177"/>
      <c r="I27" s="177"/>
      <c r="J27" s="177"/>
      <c r="K27" s="177"/>
      <c r="L27" s="177"/>
      <c r="M27" s="177"/>
    </row>
    <row r="28">
      <c r="A28" s="177"/>
      <c r="B28" s="177"/>
      <c r="C28" s="177"/>
      <c r="D28" s="177"/>
      <c r="E28" s="177"/>
      <c r="F28" s="177"/>
      <c r="G28" s="175"/>
      <c r="H28" s="177"/>
      <c r="I28" s="177"/>
      <c r="J28" s="177"/>
      <c r="K28" s="177"/>
      <c r="L28" s="177"/>
      <c r="M28" s="177"/>
    </row>
    <row r="29">
      <c r="A29" s="177"/>
      <c r="B29" s="177"/>
      <c r="C29" s="177"/>
      <c r="D29" s="177"/>
      <c r="E29" s="177"/>
      <c r="F29" s="177"/>
      <c r="G29" s="175"/>
      <c r="H29" s="177"/>
      <c r="I29" s="177"/>
      <c r="J29" s="177"/>
      <c r="K29" s="177"/>
      <c r="L29" s="177"/>
      <c r="M29" s="177"/>
    </row>
    <row r="30">
      <c r="A30" s="177"/>
      <c r="B30" s="177"/>
      <c r="C30" s="177"/>
      <c r="D30" s="177"/>
      <c r="E30" s="177"/>
      <c r="F30" s="177"/>
      <c r="G30" s="175"/>
      <c r="H30" s="177"/>
      <c r="I30" s="177"/>
      <c r="J30" s="177"/>
      <c r="K30" s="177"/>
      <c r="L30" s="177"/>
      <c r="M30" s="177"/>
    </row>
    <row r="31">
      <c r="G31" s="261"/>
    </row>
    <row r="32">
      <c r="G32" s="261"/>
    </row>
    <row r="33">
      <c r="G33" s="261"/>
    </row>
    <row r="34">
      <c r="G34" s="261"/>
    </row>
    <row r="35">
      <c r="G35" s="261"/>
    </row>
    <row r="36">
      <c r="G36" s="261"/>
    </row>
    <row r="37">
      <c r="G37" s="261"/>
    </row>
    <row r="38">
      <c r="G38" s="261"/>
    </row>
    <row r="39">
      <c r="G39" s="261"/>
    </row>
    <row r="40">
      <c r="G40" s="261"/>
    </row>
    <row r="41">
      <c r="G41" s="261"/>
    </row>
    <row r="42">
      <c r="G42" s="261"/>
    </row>
    <row r="43">
      <c r="G43" s="261"/>
    </row>
    <row r="44">
      <c r="G44" s="261"/>
    </row>
    <row r="45">
      <c r="G45" s="261"/>
    </row>
    <row r="46">
      <c r="G46" s="261"/>
    </row>
    <row r="47">
      <c r="G47" s="261"/>
    </row>
    <row r="48">
      <c r="G48" s="261"/>
    </row>
    <row r="49">
      <c r="G49" s="261"/>
    </row>
    <row r="50">
      <c r="G50" s="261"/>
    </row>
    <row r="51">
      <c r="G51" s="261"/>
    </row>
    <row r="52">
      <c r="G52" s="261"/>
    </row>
    <row r="53">
      <c r="G53" s="261"/>
    </row>
    <row r="54">
      <c r="G54" s="261"/>
    </row>
    <row r="55">
      <c r="G55" s="261"/>
    </row>
    <row r="56">
      <c r="G56" s="261"/>
    </row>
    <row r="57">
      <c r="G57" s="261"/>
    </row>
    <row r="58">
      <c r="G58" s="261"/>
    </row>
    <row r="59">
      <c r="G59" s="261"/>
    </row>
    <row r="60">
      <c r="G60" s="261"/>
    </row>
    <row r="61">
      <c r="G61" s="261"/>
    </row>
    <row r="62">
      <c r="G62" s="261"/>
    </row>
    <row r="63">
      <c r="G63" s="261"/>
    </row>
    <row r="64">
      <c r="G64" s="261"/>
    </row>
    <row r="65">
      <c r="G65" s="261"/>
    </row>
    <row r="66">
      <c r="G66" s="261"/>
    </row>
    <row r="67">
      <c r="G67" s="261"/>
    </row>
    <row r="68">
      <c r="G68" s="261"/>
    </row>
    <row r="69">
      <c r="G69" s="261"/>
    </row>
    <row r="70">
      <c r="G70" s="261"/>
    </row>
    <row r="71">
      <c r="G71" s="261"/>
    </row>
    <row r="72">
      <c r="G72" s="261"/>
    </row>
    <row r="73">
      <c r="G73" s="261"/>
    </row>
    <row r="74">
      <c r="G74" s="261"/>
    </row>
    <row r="75">
      <c r="G75" s="261"/>
    </row>
    <row r="76">
      <c r="G76" s="261"/>
    </row>
    <row r="77">
      <c r="G77" s="261"/>
    </row>
    <row r="78">
      <c r="G78" s="261"/>
    </row>
    <row r="79">
      <c r="G79" s="261"/>
    </row>
    <row r="80">
      <c r="G80" s="261"/>
    </row>
    <row r="81">
      <c r="G81" s="261"/>
    </row>
    <row r="82">
      <c r="G82" s="261"/>
    </row>
    <row r="83">
      <c r="G83" s="261"/>
    </row>
    <row r="84">
      <c r="G84" s="261"/>
    </row>
    <row r="85">
      <c r="G85" s="261"/>
    </row>
    <row r="86">
      <c r="G86" s="261"/>
    </row>
    <row r="87">
      <c r="G87" s="261"/>
    </row>
    <row r="88">
      <c r="G88" s="261"/>
    </row>
    <row r="89">
      <c r="G89" s="261"/>
    </row>
    <row r="90">
      <c r="G90" s="261"/>
    </row>
    <row r="91">
      <c r="G91" s="261"/>
    </row>
    <row r="92">
      <c r="G92" s="261"/>
    </row>
    <row r="93">
      <c r="G93" s="261"/>
    </row>
    <row r="94">
      <c r="G94" s="261"/>
    </row>
    <row r="95">
      <c r="G95" s="261"/>
    </row>
    <row r="96">
      <c r="G96" s="261"/>
    </row>
    <row r="97">
      <c r="G97" s="261"/>
    </row>
    <row r="98">
      <c r="G98" s="261"/>
    </row>
    <row r="99">
      <c r="G99" s="261"/>
    </row>
    <row r="100">
      <c r="G100" s="261"/>
    </row>
    <row r="101">
      <c r="G101" s="261"/>
    </row>
    <row r="102">
      <c r="G102" s="261"/>
    </row>
    <row r="103">
      <c r="G103" s="261"/>
    </row>
    <row r="104">
      <c r="G104" s="261"/>
    </row>
    <row r="105">
      <c r="G105" s="261"/>
    </row>
    <row r="106">
      <c r="G106" s="261"/>
    </row>
    <row r="107">
      <c r="G107" s="261"/>
    </row>
    <row r="108">
      <c r="G108" s="261"/>
    </row>
    <row r="109">
      <c r="G109" s="261"/>
    </row>
    <row r="110">
      <c r="G110" s="261"/>
    </row>
    <row r="111">
      <c r="G111" s="261"/>
    </row>
    <row r="112">
      <c r="G112" s="261"/>
    </row>
    <row r="113">
      <c r="G113" s="261"/>
    </row>
    <row r="114">
      <c r="G114" s="261"/>
    </row>
    <row r="115">
      <c r="G115" s="261"/>
    </row>
    <row r="116">
      <c r="G116" s="261"/>
    </row>
    <row r="117">
      <c r="G117" s="261"/>
    </row>
    <row r="118">
      <c r="G118" s="261"/>
    </row>
    <row r="119">
      <c r="G119" s="261"/>
    </row>
    <row r="120">
      <c r="G120" s="261"/>
    </row>
    <row r="121">
      <c r="G121" s="261"/>
    </row>
    <row r="122">
      <c r="G122" s="261"/>
    </row>
    <row r="123">
      <c r="G123" s="261"/>
    </row>
    <row r="124">
      <c r="G124" s="261"/>
    </row>
    <row r="125">
      <c r="G125" s="261"/>
    </row>
    <row r="126">
      <c r="G126" s="261"/>
    </row>
    <row r="127">
      <c r="G127" s="261"/>
    </row>
    <row r="128">
      <c r="G128" s="261"/>
    </row>
    <row r="129">
      <c r="G129" s="261"/>
    </row>
    <row r="130">
      <c r="G130" s="261"/>
    </row>
    <row r="131">
      <c r="G131" s="261"/>
    </row>
    <row r="132">
      <c r="G132" s="261"/>
    </row>
    <row r="133">
      <c r="G133" s="261"/>
    </row>
    <row r="134">
      <c r="G134" s="261"/>
    </row>
    <row r="135">
      <c r="G135" s="261"/>
    </row>
    <row r="136">
      <c r="G136" s="261"/>
    </row>
    <row r="137">
      <c r="G137" s="261"/>
    </row>
    <row r="138">
      <c r="G138" s="261"/>
    </row>
    <row r="139">
      <c r="G139" s="261"/>
    </row>
    <row r="140">
      <c r="G140" s="261"/>
    </row>
    <row r="141">
      <c r="G141" s="261"/>
    </row>
    <row r="142">
      <c r="G142" s="261"/>
    </row>
    <row r="143">
      <c r="G143" s="261"/>
    </row>
    <row r="144">
      <c r="G144" s="261"/>
    </row>
    <row r="145">
      <c r="G145" s="261"/>
    </row>
    <row r="146">
      <c r="G146" s="261"/>
    </row>
    <row r="147">
      <c r="G147" s="261"/>
    </row>
    <row r="148">
      <c r="G148" s="261"/>
    </row>
    <row r="149">
      <c r="G149" s="261"/>
    </row>
    <row r="150">
      <c r="G150" s="261"/>
    </row>
    <row r="151">
      <c r="G151" s="261"/>
    </row>
    <row r="152">
      <c r="G152" s="261"/>
    </row>
    <row r="153">
      <c r="G153" s="261"/>
    </row>
    <row r="154">
      <c r="G154" s="261"/>
    </row>
    <row r="155">
      <c r="G155" s="261"/>
    </row>
    <row r="156">
      <c r="G156" s="261"/>
    </row>
    <row r="157">
      <c r="G157" s="261"/>
    </row>
    <row r="158">
      <c r="G158" s="261"/>
    </row>
    <row r="159">
      <c r="G159" s="261"/>
    </row>
    <row r="160">
      <c r="G160" s="261"/>
    </row>
    <row r="161">
      <c r="G161" s="261"/>
    </row>
    <row r="162">
      <c r="G162" s="261"/>
    </row>
    <row r="163">
      <c r="G163" s="261"/>
    </row>
    <row r="164">
      <c r="G164" s="261"/>
    </row>
    <row r="165">
      <c r="G165" s="261"/>
    </row>
    <row r="166">
      <c r="G166" s="261"/>
    </row>
    <row r="167">
      <c r="G167" s="261"/>
    </row>
    <row r="168">
      <c r="G168" s="261"/>
    </row>
    <row r="169">
      <c r="G169" s="261"/>
    </row>
    <row r="170">
      <c r="G170" s="261"/>
    </row>
    <row r="171">
      <c r="G171" s="261"/>
    </row>
    <row r="172">
      <c r="G172" s="261"/>
    </row>
    <row r="173">
      <c r="G173" s="261"/>
    </row>
    <row r="174">
      <c r="G174" s="261"/>
    </row>
    <row r="175">
      <c r="G175" s="261"/>
    </row>
    <row r="176">
      <c r="G176" s="261"/>
    </row>
    <row r="177">
      <c r="G177" s="261"/>
    </row>
    <row r="178">
      <c r="G178" s="261"/>
    </row>
    <row r="179">
      <c r="G179" s="261"/>
    </row>
    <row r="180">
      <c r="G180" s="261"/>
    </row>
    <row r="181">
      <c r="G181" s="261"/>
    </row>
    <row r="182">
      <c r="G182" s="261"/>
    </row>
    <row r="183">
      <c r="G183" s="261"/>
    </row>
    <row r="184">
      <c r="G184" s="261"/>
    </row>
    <row r="185">
      <c r="G185" s="261"/>
    </row>
    <row r="186">
      <c r="G186" s="261"/>
    </row>
    <row r="187">
      <c r="G187" s="261"/>
    </row>
    <row r="188">
      <c r="G188" s="261"/>
    </row>
    <row r="189">
      <c r="G189" s="261"/>
    </row>
    <row r="190">
      <c r="G190" s="261"/>
    </row>
    <row r="191">
      <c r="G191" s="261"/>
    </row>
    <row r="192">
      <c r="G192" s="261"/>
    </row>
    <row r="193">
      <c r="G193" s="261"/>
    </row>
    <row r="194">
      <c r="G194" s="261"/>
    </row>
    <row r="195">
      <c r="G195" s="261"/>
    </row>
    <row r="196">
      <c r="G196" s="261"/>
    </row>
    <row r="197">
      <c r="G197" s="261"/>
    </row>
    <row r="198">
      <c r="G198" s="261"/>
    </row>
    <row r="199">
      <c r="G199" s="261"/>
    </row>
    <row r="200">
      <c r="G200" s="261"/>
    </row>
    <row r="201">
      <c r="G201" s="261"/>
    </row>
    <row r="202">
      <c r="G202" s="261"/>
    </row>
    <row r="203">
      <c r="G203" s="261"/>
    </row>
    <row r="204">
      <c r="G204" s="261"/>
    </row>
    <row r="205">
      <c r="G205" s="261"/>
    </row>
    <row r="206">
      <c r="G206" s="261"/>
    </row>
    <row r="207">
      <c r="G207" s="261"/>
    </row>
    <row r="208">
      <c r="G208" s="261"/>
    </row>
    <row r="209">
      <c r="G209" s="261"/>
    </row>
    <row r="210">
      <c r="G210" s="261"/>
    </row>
    <row r="211">
      <c r="G211" s="261"/>
    </row>
    <row r="212">
      <c r="G212" s="261"/>
    </row>
    <row r="213">
      <c r="G213" s="261"/>
    </row>
    <row r="214">
      <c r="G214" s="261"/>
    </row>
    <row r="215">
      <c r="G215" s="261"/>
    </row>
    <row r="216">
      <c r="G216" s="261"/>
    </row>
    <row r="217">
      <c r="G217" s="261"/>
    </row>
    <row r="218">
      <c r="G218" s="261"/>
    </row>
    <row r="219">
      <c r="G219" s="261"/>
    </row>
    <row r="220">
      <c r="G220" s="261"/>
    </row>
    <row r="221">
      <c r="G221" s="261"/>
    </row>
    <row r="222">
      <c r="G222" s="261"/>
    </row>
    <row r="223">
      <c r="G223" s="261"/>
    </row>
    <row r="224">
      <c r="G224" s="261"/>
    </row>
    <row r="225">
      <c r="G225" s="261"/>
    </row>
    <row r="226">
      <c r="G226" s="261"/>
    </row>
    <row r="227">
      <c r="G227" s="261"/>
    </row>
    <row r="228">
      <c r="G228" s="261"/>
    </row>
    <row r="229">
      <c r="G229" s="261"/>
    </row>
    <row r="230">
      <c r="G230" s="261"/>
    </row>
    <row r="231">
      <c r="G231" s="261"/>
    </row>
    <row r="232">
      <c r="G232" s="261"/>
    </row>
    <row r="233">
      <c r="G233" s="261"/>
    </row>
    <row r="234">
      <c r="G234" s="261"/>
    </row>
    <row r="235">
      <c r="G235" s="261"/>
    </row>
    <row r="236">
      <c r="G236" s="261"/>
    </row>
    <row r="237">
      <c r="G237" s="261"/>
    </row>
    <row r="238">
      <c r="G238" s="261"/>
    </row>
    <row r="239">
      <c r="G239" s="261"/>
    </row>
    <row r="240">
      <c r="G240" s="261"/>
    </row>
    <row r="241">
      <c r="G241" s="261"/>
    </row>
    <row r="242">
      <c r="G242" s="261"/>
    </row>
    <row r="243">
      <c r="G243" s="261"/>
    </row>
    <row r="244">
      <c r="G244" s="261"/>
    </row>
    <row r="245">
      <c r="G245" s="261"/>
    </row>
    <row r="246">
      <c r="G246" s="261"/>
    </row>
    <row r="247">
      <c r="G247" s="261"/>
    </row>
    <row r="248">
      <c r="G248" s="261"/>
    </row>
    <row r="249">
      <c r="G249" s="261"/>
    </row>
    <row r="250">
      <c r="G250" s="261"/>
    </row>
    <row r="251">
      <c r="G251" s="261"/>
    </row>
    <row r="252">
      <c r="G252" s="261"/>
    </row>
    <row r="253">
      <c r="G253" s="261"/>
    </row>
    <row r="254">
      <c r="G254" s="261"/>
    </row>
    <row r="255">
      <c r="G255" s="261"/>
    </row>
    <row r="256">
      <c r="G256" s="261"/>
    </row>
    <row r="257">
      <c r="G257" s="261"/>
    </row>
    <row r="258">
      <c r="G258" s="261"/>
    </row>
    <row r="259">
      <c r="G259" s="261"/>
    </row>
    <row r="260">
      <c r="G260" s="261"/>
    </row>
    <row r="261">
      <c r="G261" s="261"/>
    </row>
    <row r="262">
      <c r="G262" s="261"/>
    </row>
    <row r="263">
      <c r="G263" s="261"/>
    </row>
    <row r="264">
      <c r="G264" s="261"/>
    </row>
    <row r="265">
      <c r="G265" s="261"/>
    </row>
    <row r="266">
      <c r="G266" s="261"/>
    </row>
    <row r="267">
      <c r="G267" s="261"/>
    </row>
    <row r="268">
      <c r="G268" s="261"/>
    </row>
    <row r="269">
      <c r="G269" s="261"/>
    </row>
    <row r="270">
      <c r="G270" s="261"/>
    </row>
    <row r="271">
      <c r="G271" s="261"/>
    </row>
    <row r="272">
      <c r="G272" s="261"/>
    </row>
    <row r="273">
      <c r="G273" s="261"/>
    </row>
    <row r="274">
      <c r="G274" s="261"/>
    </row>
    <row r="275">
      <c r="G275" s="261"/>
    </row>
    <row r="276">
      <c r="G276" s="261"/>
    </row>
    <row r="277">
      <c r="G277" s="261"/>
    </row>
    <row r="278">
      <c r="G278" s="261"/>
    </row>
    <row r="279">
      <c r="G279" s="261"/>
    </row>
    <row r="280">
      <c r="G280" s="261"/>
    </row>
    <row r="281">
      <c r="G281" s="261"/>
    </row>
    <row r="282">
      <c r="G282" s="261"/>
    </row>
    <row r="283">
      <c r="G283" s="261"/>
    </row>
    <row r="284">
      <c r="G284" s="261"/>
    </row>
    <row r="285">
      <c r="G285" s="261"/>
    </row>
    <row r="286">
      <c r="G286" s="261"/>
    </row>
    <row r="287">
      <c r="G287" s="261"/>
    </row>
    <row r="288">
      <c r="G288" s="261"/>
    </row>
    <row r="289">
      <c r="G289" s="261"/>
    </row>
    <row r="290">
      <c r="G290" s="261"/>
    </row>
    <row r="291">
      <c r="G291" s="261"/>
    </row>
    <row r="292">
      <c r="G292" s="261"/>
    </row>
    <row r="293">
      <c r="G293" s="261"/>
    </row>
    <row r="294">
      <c r="G294" s="261"/>
    </row>
    <row r="295">
      <c r="G295" s="261"/>
    </row>
    <row r="296">
      <c r="G296" s="261"/>
    </row>
    <row r="297">
      <c r="G297" s="261"/>
    </row>
    <row r="298">
      <c r="G298" s="261"/>
    </row>
    <row r="299">
      <c r="G299" s="261"/>
    </row>
    <row r="300">
      <c r="G300" s="261"/>
    </row>
    <row r="301">
      <c r="G301" s="261"/>
    </row>
    <row r="302">
      <c r="G302" s="261"/>
    </row>
    <row r="303">
      <c r="G303" s="261"/>
    </row>
    <row r="304">
      <c r="G304" s="261"/>
    </row>
    <row r="305">
      <c r="G305" s="261"/>
    </row>
    <row r="306">
      <c r="G306" s="261"/>
    </row>
    <row r="307">
      <c r="G307" s="261"/>
    </row>
    <row r="308">
      <c r="G308" s="261"/>
    </row>
    <row r="309">
      <c r="G309" s="261"/>
    </row>
    <row r="310">
      <c r="G310" s="261"/>
    </row>
    <row r="311">
      <c r="G311" s="261"/>
    </row>
    <row r="312">
      <c r="G312" s="261"/>
    </row>
    <row r="313">
      <c r="G313" s="261"/>
    </row>
    <row r="314">
      <c r="G314" s="261"/>
    </row>
    <row r="315">
      <c r="G315" s="261"/>
    </row>
    <row r="316">
      <c r="G316" s="261"/>
    </row>
    <row r="317">
      <c r="G317" s="261"/>
    </row>
    <row r="318">
      <c r="G318" s="261"/>
    </row>
    <row r="319">
      <c r="G319" s="261"/>
    </row>
    <row r="320">
      <c r="G320" s="261"/>
    </row>
    <row r="321">
      <c r="G321" s="261"/>
    </row>
    <row r="322">
      <c r="G322" s="261"/>
    </row>
    <row r="323">
      <c r="G323" s="261"/>
    </row>
    <row r="324">
      <c r="G324" s="261"/>
    </row>
    <row r="325">
      <c r="G325" s="261"/>
    </row>
    <row r="326">
      <c r="G326" s="261"/>
    </row>
    <row r="327">
      <c r="G327" s="261"/>
    </row>
    <row r="328">
      <c r="G328" s="261"/>
    </row>
    <row r="329">
      <c r="G329" s="261"/>
    </row>
    <row r="330">
      <c r="G330" s="261"/>
    </row>
    <row r="331">
      <c r="G331" s="261"/>
    </row>
    <row r="332">
      <c r="G332" s="261"/>
    </row>
    <row r="333">
      <c r="G333" s="261"/>
    </row>
    <row r="334">
      <c r="G334" s="261"/>
    </row>
    <row r="335">
      <c r="G335" s="261"/>
    </row>
    <row r="336">
      <c r="G336" s="261"/>
    </row>
    <row r="337">
      <c r="G337" s="261"/>
    </row>
    <row r="338">
      <c r="G338" s="261"/>
    </row>
    <row r="339">
      <c r="G339" s="261"/>
    </row>
    <row r="340">
      <c r="G340" s="261"/>
    </row>
    <row r="341">
      <c r="G341" s="261"/>
    </row>
    <row r="342">
      <c r="G342" s="261"/>
    </row>
    <row r="343">
      <c r="G343" s="261"/>
    </row>
    <row r="344">
      <c r="G344" s="261"/>
    </row>
    <row r="345">
      <c r="G345" s="261"/>
    </row>
    <row r="346">
      <c r="G346" s="261"/>
    </row>
    <row r="347">
      <c r="G347" s="261"/>
    </row>
    <row r="348">
      <c r="G348" s="261"/>
    </row>
    <row r="349">
      <c r="G349" s="261"/>
    </row>
    <row r="350">
      <c r="G350" s="261"/>
    </row>
    <row r="351">
      <c r="G351" s="261"/>
    </row>
    <row r="352">
      <c r="G352" s="261"/>
    </row>
    <row r="353">
      <c r="G353" s="261"/>
    </row>
    <row r="354">
      <c r="G354" s="261"/>
    </row>
    <row r="355">
      <c r="G355" s="261"/>
    </row>
    <row r="356">
      <c r="G356" s="261"/>
    </row>
    <row r="357">
      <c r="G357" s="261"/>
    </row>
    <row r="358">
      <c r="G358" s="261"/>
    </row>
    <row r="359">
      <c r="G359" s="261"/>
    </row>
    <row r="360">
      <c r="G360" s="261"/>
    </row>
    <row r="361">
      <c r="G361" s="261"/>
    </row>
    <row r="362">
      <c r="G362" s="261"/>
    </row>
    <row r="363">
      <c r="G363" s="261"/>
    </row>
    <row r="364">
      <c r="G364" s="261"/>
    </row>
    <row r="365">
      <c r="G365" s="261"/>
    </row>
    <row r="366">
      <c r="G366" s="261"/>
    </row>
    <row r="367">
      <c r="G367" s="261"/>
    </row>
    <row r="368">
      <c r="G368" s="261"/>
    </row>
    <row r="369">
      <c r="G369" s="261"/>
    </row>
    <row r="370">
      <c r="G370" s="261"/>
    </row>
    <row r="371">
      <c r="G371" s="261"/>
    </row>
    <row r="372">
      <c r="G372" s="261"/>
    </row>
    <row r="373">
      <c r="G373" s="261"/>
    </row>
    <row r="374">
      <c r="G374" s="261"/>
    </row>
    <row r="375">
      <c r="G375" s="261"/>
    </row>
    <row r="376">
      <c r="G376" s="261"/>
    </row>
    <row r="377">
      <c r="G377" s="261"/>
    </row>
    <row r="378">
      <c r="G378" s="261"/>
    </row>
    <row r="379">
      <c r="G379" s="261"/>
    </row>
    <row r="380">
      <c r="G380" s="261"/>
    </row>
    <row r="381">
      <c r="G381" s="261"/>
    </row>
    <row r="382">
      <c r="G382" s="261"/>
    </row>
    <row r="383">
      <c r="G383" s="261"/>
    </row>
    <row r="384">
      <c r="G384" s="261"/>
    </row>
    <row r="385">
      <c r="G385" s="261"/>
    </row>
    <row r="386">
      <c r="G386" s="261"/>
    </row>
    <row r="387">
      <c r="G387" s="261"/>
    </row>
    <row r="388">
      <c r="G388" s="261"/>
    </row>
    <row r="389">
      <c r="G389" s="261"/>
    </row>
    <row r="390">
      <c r="G390" s="261"/>
    </row>
    <row r="391">
      <c r="G391" s="261"/>
    </row>
    <row r="392">
      <c r="G392" s="261"/>
    </row>
    <row r="393">
      <c r="G393" s="261"/>
    </row>
    <row r="394">
      <c r="G394" s="261"/>
    </row>
    <row r="395">
      <c r="G395" s="261"/>
    </row>
    <row r="396">
      <c r="G396" s="261"/>
    </row>
    <row r="397">
      <c r="G397" s="261"/>
    </row>
    <row r="398">
      <c r="G398" s="261"/>
    </row>
    <row r="399">
      <c r="G399" s="261"/>
    </row>
    <row r="400">
      <c r="G400" s="261"/>
    </row>
    <row r="401">
      <c r="G401" s="261"/>
    </row>
    <row r="402">
      <c r="G402" s="261"/>
    </row>
    <row r="403">
      <c r="G403" s="261"/>
    </row>
    <row r="404">
      <c r="G404" s="261"/>
    </row>
    <row r="405">
      <c r="G405" s="261"/>
    </row>
    <row r="406">
      <c r="G406" s="261"/>
    </row>
    <row r="407">
      <c r="G407" s="261"/>
    </row>
    <row r="408">
      <c r="G408" s="261"/>
    </row>
    <row r="409">
      <c r="G409" s="261"/>
    </row>
    <row r="410">
      <c r="G410" s="261"/>
    </row>
    <row r="411">
      <c r="G411" s="261"/>
    </row>
    <row r="412">
      <c r="G412" s="261"/>
    </row>
    <row r="413">
      <c r="G413" s="261"/>
    </row>
    <row r="414">
      <c r="G414" s="261"/>
    </row>
    <row r="415">
      <c r="G415" s="261"/>
    </row>
    <row r="416">
      <c r="G416" s="261"/>
    </row>
    <row r="417">
      <c r="G417" s="261"/>
    </row>
    <row r="418">
      <c r="G418" s="261"/>
    </row>
    <row r="419">
      <c r="G419" s="261"/>
    </row>
    <row r="420">
      <c r="G420" s="261"/>
    </row>
    <row r="421">
      <c r="G421" s="261"/>
    </row>
    <row r="422">
      <c r="G422" s="261"/>
    </row>
    <row r="423">
      <c r="G423" s="261"/>
    </row>
    <row r="424">
      <c r="G424" s="261"/>
    </row>
    <row r="425">
      <c r="G425" s="261"/>
    </row>
    <row r="426">
      <c r="G426" s="261"/>
    </row>
    <row r="427">
      <c r="G427" s="261"/>
    </row>
    <row r="428">
      <c r="G428" s="261"/>
    </row>
    <row r="429">
      <c r="G429" s="261"/>
    </row>
    <row r="430">
      <c r="G430" s="261"/>
    </row>
    <row r="431">
      <c r="G431" s="261"/>
    </row>
    <row r="432">
      <c r="G432" s="261"/>
    </row>
    <row r="433">
      <c r="G433" s="261"/>
    </row>
    <row r="434">
      <c r="G434" s="261"/>
    </row>
    <row r="435">
      <c r="G435" s="261"/>
    </row>
    <row r="436">
      <c r="G436" s="261"/>
    </row>
    <row r="437">
      <c r="G437" s="261"/>
    </row>
    <row r="438">
      <c r="G438" s="261"/>
    </row>
    <row r="439">
      <c r="G439" s="261"/>
    </row>
    <row r="440">
      <c r="G440" s="261"/>
    </row>
    <row r="441">
      <c r="G441" s="261"/>
    </row>
    <row r="442">
      <c r="G442" s="261"/>
    </row>
    <row r="443">
      <c r="G443" s="261"/>
    </row>
    <row r="444">
      <c r="G444" s="261"/>
    </row>
    <row r="445">
      <c r="G445" s="261"/>
    </row>
    <row r="446">
      <c r="G446" s="261"/>
    </row>
    <row r="447">
      <c r="G447" s="261"/>
    </row>
    <row r="448">
      <c r="G448" s="261"/>
    </row>
    <row r="449">
      <c r="G449" s="261"/>
    </row>
    <row r="450">
      <c r="G450" s="261"/>
    </row>
    <row r="451">
      <c r="G451" s="261"/>
    </row>
    <row r="452">
      <c r="G452" s="261"/>
    </row>
    <row r="453">
      <c r="G453" s="261"/>
    </row>
    <row r="454">
      <c r="G454" s="261"/>
    </row>
    <row r="455">
      <c r="G455" s="261"/>
    </row>
    <row r="456">
      <c r="G456" s="261"/>
    </row>
    <row r="457">
      <c r="G457" s="261"/>
    </row>
    <row r="458">
      <c r="G458" s="261"/>
    </row>
    <row r="459">
      <c r="G459" s="261"/>
    </row>
    <row r="460">
      <c r="G460" s="261"/>
    </row>
    <row r="461">
      <c r="G461" s="261"/>
    </row>
    <row r="462">
      <c r="G462" s="261"/>
    </row>
    <row r="463">
      <c r="G463" s="261"/>
    </row>
    <row r="464">
      <c r="G464" s="261"/>
    </row>
    <row r="465">
      <c r="G465" s="261"/>
    </row>
    <row r="466">
      <c r="G466" s="261"/>
    </row>
    <row r="467">
      <c r="G467" s="261"/>
    </row>
    <row r="468">
      <c r="G468" s="261"/>
    </row>
    <row r="469">
      <c r="G469" s="261"/>
    </row>
    <row r="470">
      <c r="G470" s="261"/>
    </row>
    <row r="471">
      <c r="G471" s="261"/>
    </row>
    <row r="472">
      <c r="G472" s="261"/>
    </row>
    <row r="473">
      <c r="G473" s="261"/>
    </row>
    <row r="474">
      <c r="G474" s="261"/>
    </row>
    <row r="475">
      <c r="G475" s="261"/>
    </row>
    <row r="476">
      <c r="G476" s="261"/>
    </row>
    <row r="477">
      <c r="G477" s="261"/>
    </row>
    <row r="478">
      <c r="G478" s="261"/>
    </row>
    <row r="479">
      <c r="G479" s="261"/>
    </row>
    <row r="480">
      <c r="G480" s="261"/>
    </row>
    <row r="481">
      <c r="G481" s="261"/>
    </row>
    <row r="482">
      <c r="G482" s="261"/>
    </row>
    <row r="483">
      <c r="G483" s="261"/>
    </row>
    <row r="484">
      <c r="G484" s="261"/>
    </row>
    <row r="485">
      <c r="G485" s="261"/>
    </row>
    <row r="486">
      <c r="G486" s="261"/>
    </row>
    <row r="487">
      <c r="G487" s="261"/>
    </row>
    <row r="488">
      <c r="G488" s="261"/>
    </row>
    <row r="489">
      <c r="G489" s="261"/>
    </row>
    <row r="490">
      <c r="G490" s="261"/>
    </row>
    <row r="491">
      <c r="G491" s="261"/>
    </row>
    <row r="492">
      <c r="G492" s="261"/>
    </row>
    <row r="493">
      <c r="G493" s="261"/>
    </row>
    <row r="494">
      <c r="G494" s="261"/>
    </row>
    <row r="495">
      <c r="G495" s="261"/>
    </row>
    <row r="496">
      <c r="G496" s="261"/>
    </row>
    <row r="497">
      <c r="G497" s="261"/>
    </row>
    <row r="498">
      <c r="G498" s="261"/>
    </row>
    <row r="499">
      <c r="G499" s="261"/>
    </row>
    <row r="500">
      <c r="G500" s="261"/>
    </row>
    <row r="501">
      <c r="G501" s="261"/>
    </row>
    <row r="502">
      <c r="G502" s="261"/>
    </row>
    <row r="503">
      <c r="G503" s="261"/>
    </row>
    <row r="504">
      <c r="G504" s="261"/>
    </row>
    <row r="505">
      <c r="G505" s="261"/>
    </row>
    <row r="506">
      <c r="G506" s="261"/>
    </row>
    <row r="507">
      <c r="G507" s="261"/>
    </row>
    <row r="508">
      <c r="G508" s="261"/>
    </row>
    <row r="509">
      <c r="G509" s="261"/>
    </row>
    <row r="510">
      <c r="G510" s="261"/>
    </row>
    <row r="511">
      <c r="G511" s="261"/>
    </row>
    <row r="512">
      <c r="G512" s="261"/>
    </row>
    <row r="513">
      <c r="G513" s="261"/>
    </row>
    <row r="514">
      <c r="G514" s="261"/>
    </row>
    <row r="515">
      <c r="G515" s="261"/>
    </row>
    <row r="516">
      <c r="G516" s="261"/>
    </row>
    <row r="517">
      <c r="G517" s="261"/>
    </row>
    <row r="518">
      <c r="G518" s="261"/>
    </row>
    <row r="519">
      <c r="G519" s="261"/>
    </row>
    <row r="520">
      <c r="G520" s="261"/>
    </row>
    <row r="521">
      <c r="G521" s="261"/>
    </row>
    <row r="522">
      <c r="G522" s="261"/>
    </row>
    <row r="523">
      <c r="G523" s="261"/>
    </row>
    <row r="524">
      <c r="G524" s="261"/>
    </row>
    <row r="525">
      <c r="G525" s="261"/>
    </row>
    <row r="526">
      <c r="G526" s="261"/>
    </row>
    <row r="527">
      <c r="G527" s="261"/>
    </row>
    <row r="528">
      <c r="G528" s="261"/>
    </row>
    <row r="529">
      <c r="G529" s="261"/>
    </row>
    <row r="530">
      <c r="G530" s="261"/>
    </row>
    <row r="531">
      <c r="G531" s="261"/>
    </row>
    <row r="532">
      <c r="G532" s="261"/>
    </row>
    <row r="533">
      <c r="G533" s="261"/>
    </row>
    <row r="534">
      <c r="G534" s="261"/>
    </row>
    <row r="535">
      <c r="G535" s="261"/>
    </row>
    <row r="536">
      <c r="G536" s="261"/>
    </row>
    <row r="537">
      <c r="G537" s="261"/>
    </row>
    <row r="538">
      <c r="G538" s="261"/>
    </row>
    <row r="539">
      <c r="G539" s="261"/>
    </row>
    <row r="540">
      <c r="G540" s="261"/>
    </row>
    <row r="541">
      <c r="G541" s="261"/>
    </row>
    <row r="542">
      <c r="G542" s="261"/>
    </row>
    <row r="543">
      <c r="G543" s="261"/>
    </row>
    <row r="544">
      <c r="G544" s="261"/>
    </row>
    <row r="545">
      <c r="G545" s="261"/>
    </row>
    <row r="546">
      <c r="G546" s="261"/>
    </row>
    <row r="547">
      <c r="G547" s="261"/>
    </row>
    <row r="548">
      <c r="G548" s="261"/>
    </row>
    <row r="549">
      <c r="G549" s="261"/>
    </row>
    <row r="550">
      <c r="G550" s="261"/>
    </row>
    <row r="551">
      <c r="G551" s="261"/>
    </row>
    <row r="552">
      <c r="G552" s="261"/>
    </row>
    <row r="553">
      <c r="G553" s="261"/>
    </row>
    <row r="554">
      <c r="G554" s="261"/>
    </row>
    <row r="555">
      <c r="G555" s="261"/>
    </row>
    <row r="556">
      <c r="G556" s="261"/>
    </row>
    <row r="557">
      <c r="G557" s="261"/>
    </row>
    <row r="558">
      <c r="G558" s="261"/>
    </row>
    <row r="559">
      <c r="G559" s="261"/>
    </row>
    <row r="560">
      <c r="G560" s="261"/>
    </row>
    <row r="561">
      <c r="G561" s="261"/>
    </row>
    <row r="562">
      <c r="G562" s="261"/>
    </row>
    <row r="563">
      <c r="G563" s="261"/>
    </row>
    <row r="564">
      <c r="G564" s="261"/>
    </row>
    <row r="565">
      <c r="G565" s="261"/>
    </row>
    <row r="566">
      <c r="G566" s="261"/>
    </row>
    <row r="567">
      <c r="G567" s="261"/>
    </row>
    <row r="568">
      <c r="G568" s="261"/>
    </row>
    <row r="569">
      <c r="G569" s="261"/>
    </row>
    <row r="570">
      <c r="G570" s="261"/>
    </row>
    <row r="571">
      <c r="G571" s="261"/>
    </row>
    <row r="572">
      <c r="G572" s="261"/>
    </row>
    <row r="573">
      <c r="G573" s="261"/>
    </row>
    <row r="574">
      <c r="G574" s="261"/>
    </row>
    <row r="575">
      <c r="G575" s="261"/>
    </row>
    <row r="576">
      <c r="G576" s="261"/>
    </row>
    <row r="577">
      <c r="G577" s="261"/>
    </row>
    <row r="578">
      <c r="G578" s="261"/>
    </row>
    <row r="579">
      <c r="G579" s="261"/>
    </row>
    <row r="580">
      <c r="G580" s="261"/>
    </row>
    <row r="581">
      <c r="G581" s="261"/>
    </row>
    <row r="582">
      <c r="G582" s="261"/>
    </row>
    <row r="583">
      <c r="G583" s="261"/>
    </row>
    <row r="584">
      <c r="G584" s="261"/>
    </row>
    <row r="585">
      <c r="G585" s="261"/>
    </row>
    <row r="586">
      <c r="G586" s="261"/>
    </row>
    <row r="587">
      <c r="G587" s="261"/>
    </row>
    <row r="588">
      <c r="G588" s="261"/>
    </row>
    <row r="589">
      <c r="G589" s="261"/>
    </row>
    <row r="590">
      <c r="G590" s="261"/>
    </row>
    <row r="591">
      <c r="G591" s="261"/>
    </row>
    <row r="592">
      <c r="G592" s="261"/>
    </row>
    <row r="593">
      <c r="G593" s="261"/>
    </row>
    <row r="594">
      <c r="G594" s="261"/>
    </row>
    <row r="595">
      <c r="G595" s="261"/>
    </row>
    <row r="596">
      <c r="G596" s="261"/>
    </row>
    <row r="597">
      <c r="G597" s="261"/>
    </row>
    <row r="598">
      <c r="G598" s="261"/>
    </row>
    <row r="599">
      <c r="G599" s="261"/>
    </row>
    <row r="600">
      <c r="G600" s="261"/>
    </row>
    <row r="601">
      <c r="G601" s="261"/>
    </row>
    <row r="602">
      <c r="G602" s="261"/>
    </row>
    <row r="603">
      <c r="G603" s="261"/>
    </row>
    <row r="604">
      <c r="G604" s="261"/>
    </row>
    <row r="605">
      <c r="G605" s="261"/>
    </row>
    <row r="606">
      <c r="G606" s="261"/>
    </row>
    <row r="607">
      <c r="G607" s="261"/>
    </row>
    <row r="608">
      <c r="G608" s="261"/>
    </row>
    <row r="609">
      <c r="G609" s="261"/>
    </row>
    <row r="610">
      <c r="G610" s="261"/>
    </row>
    <row r="611">
      <c r="G611" s="261"/>
    </row>
    <row r="612">
      <c r="G612" s="261"/>
    </row>
    <row r="613">
      <c r="G613" s="261"/>
    </row>
    <row r="614">
      <c r="G614" s="261"/>
    </row>
    <row r="615">
      <c r="G615" s="261"/>
    </row>
    <row r="616">
      <c r="G616" s="261"/>
    </row>
    <row r="617">
      <c r="G617" s="261"/>
    </row>
    <row r="618">
      <c r="G618" s="261"/>
    </row>
    <row r="619">
      <c r="G619" s="261"/>
    </row>
    <row r="620">
      <c r="G620" s="261"/>
    </row>
    <row r="621">
      <c r="G621" s="261"/>
    </row>
    <row r="622">
      <c r="G622" s="261"/>
    </row>
    <row r="623">
      <c r="G623" s="261"/>
    </row>
    <row r="624">
      <c r="G624" s="261"/>
    </row>
    <row r="625">
      <c r="G625" s="261"/>
    </row>
    <row r="626">
      <c r="G626" s="261"/>
    </row>
    <row r="627">
      <c r="G627" s="261"/>
    </row>
    <row r="628">
      <c r="G628" s="261"/>
    </row>
    <row r="629">
      <c r="G629" s="261"/>
    </row>
    <row r="630">
      <c r="G630" s="261"/>
    </row>
    <row r="631">
      <c r="G631" s="261"/>
    </row>
    <row r="632">
      <c r="G632" s="261"/>
    </row>
    <row r="633">
      <c r="G633" s="261"/>
    </row>
    <row r="634">
      <c r="G634" s="261"/>
    </row>
    <row r="635">
      <c r="G635" s="261"/>
    </row>
    <row r="636">
      <c r="G636" s="261"/>
    </row>
    <row r="637">
      <c r="G637" s="261"/>
    </row>
    <row r="638">
      <c r="G638" s="261"/>
    </row>
    <row r="639">
      <c r="G639" s="261"/>
    </row>
    <row r="640">
      <c r="G640" s="261"/>
    </row>
    <row r="641">
      <c r="G641" s="261"/>
    </row>
    <row r="642">
      <c r="G642" s="261"/>
    </row>
    <row r="643">
      <c r="G643" s="261"/>
    </row>
    <row r="644">
      <c r="G644" s="261"/>
    </row>
    <row r="645">
      <c r="G645" s="261"/>
    </row>
    <row r="646">
      <c r="G646" s="261"/>
    </row>
    <row r="647">
      <c r="G647" s="261"/>
    </row>
    <row r="648">
      <c r="G648" s="261"/>
    </row>
    <row r="649">
      <c r="G649" s="261"/>
    </row>
    <row r="650">
      <c r="G650" s="261"/>
    </row>
    <row r="651">
      <c r="G651" s="261"/>
    </row>
    <row r="652">
      <c r="G652" s="261"/>
    </row>
    <row r="653">
      <c r="G653" s="261"/>
    </row>
    <row r="654">
      <c r="G654" s="261"/>
    </row>
    <row r="655">
      <c r="G655" s="261"/>
    </row>
    <row r="656">
      <c r="G656" s="261"/>
    </row>
    <row r="657">
      <c r="G657" s="261"/>
    </row>
    <row r="658">
      <c r="G658" s="261"/>
    </row>
    <row r="659">
      <c r="G659" s="261"/>
    </row>
    <row r="660">
      <c r="G660" s="261"/>
    </row>
    <row r="661">
      <c r="G661" s="261"/>
    </row>
    <row r="662">
      <c r="G662" s="261"/>
    </row>
    <row r="663">
      <c r="G663" s="261"/>
    </row>
    <row r="664">
      <c r="G664" s="261"/>
    </row>
    <row r="665">
      <c r="G665" s="261"/>
    </row>
    <row r="666">
      <c r="G666" s="261"/>
    </row>
    <row r="667">
      <c r="G667" s="261"/>
    </row>
    <row r="668">
      <c r="G668" s="261"/>
    </row>
    <row r="669">
      <c r="G669" s="261"/>
    </row>
    <row r="670">
      <c r="G670" s="261"/>
    </row>
    <row r="671">
      <c r="G671" s="261"/>
    </row>
    <row r="672">
      <c r="G672" s="261"/>
    </row>
    <row r="673">
      <c r="G673" s="261"/>
    </row>
    <row r="674">
      <c r="G674" s="261"/>
    </row>
    <row r="675">
      <c r="G675" s="261"/>
    </row>
    <row r="676">
      <c r="G676" s="261"/>
    </row>
    <row r="677">
      <c r="G677" s="261"/>
    </row>
    <row r="678">
      <c r="G678" s="261"/>
    </row>
    <row r="679">
      <c r="G679" s="261"/>
    </row>
    <row r="680">
      <c r="G680" s="261"/>
    </row>
    <row r="681">
      <c r="G681" s="261"/>
    </row>
    <row r="682">
      <c r="G682" s="261"/>
    </row>
    <row r="683">
      <c r="G683" s="261"/>
    </row>
    <row r="684">
      <c r="G684" s="261"/>
    </row>
    <row r="685">
      <c r="G685" s="261"/>
    </row>
    <row r="686">
      <c r="G686" s="261"/>
    </row>
    <row r="687">
      <c r="G687" s="261"/>
    </row>
    <row r="688">
      <c r="G688" s="261"/>
    </row>
    <row r="689">
      <c r="G689" s="261"/>
    </row>
    <row r="690">
      <c r="G690" s="261"/>
    </row>
    <row r="691">
      <c r="G691" s="261"/>
    </row>
    <row r="692">
      <c r="G692" s="261"/>
    </row>
    <row r="693">
      <c r="G693" s="261"/>
    </row>
    <row r="694">
      <c r="G694" s="261"/>
    </row>
    <row r="695">
      <c r="G695" s="261"/>
    </row>
    <row r="696">
      <c r="G696" s="261"/>
    </row>
    <row r="697">
      <c r="G697" s="261"/>
    </row>
    <row r="698">
      <c r="G698" s="261"/>
    </row>
    <row r="699">
      <c r="G699" s="261"/>
    </row>
    <row r="700">
      <c r="G700" s="261"/>
    </row>
    <row r="701">
      <c r="G701" s="261"/>
    </row>
    <row r="702">
      <c r="G702" s="261"/>
    </row>
    <row r="703">
      <c r="G703" s="261"/>
    </row>
    <row r="704">
      <c r="G704" s="261"/>
    </row>
    <row r="705">
      <c r="G705" s="261"/>
    </row>
    <row r="706">
      <c r="G706" s="261"/>
    </row>
    <row r="707">
      <c r="G707" s="261"/>
    </row>
    <row r="708">
      <c r="G708" s="261"/>
    </row>
    <row r="709">
      <c r="G709" s="261"/>
    </row>
    <row r="710">
      <c r="G710" s="261"/>
    </row>
    <row r="711">
      <c r="G711" s="261"/>
    </row>
    <row r="712">
      <c r="G712" s="261"/>
    </row>
    <row r="713">
      <c r="G713" s="261"/>
    </row>
    <row r="714">
      <c r="G714" s="261"/>
    </row>
    <row r="715">
      <c r="G715" s="261"/>
    </row>
    <row r="716">
      <c r="G716" s="261"/>
    </row>
    <row r="717">
      <c r="G717" s="261"/>
    </row>
    <row r="718">
      <c r="G718" s="261"/>
    </row>
    <row r="719">
      <c r="G719" s="261"/>
    </row>
    <row r="720">
      <c r="G720" s="261"/>
    </row>
    <row r="721">
      <c r="G721" s="261"/>
    </row>
    <row r="722">
      <c r="G722" s="261"/>
    </row>
    <row r="723">
      <c r="G723" s="261"/>
    </row>
    <row r="724">
      <c r="G724" s="261"/>
    </row>
    <row r="725">
      <c r="G725" s="261"/>
    </row>
    <row r="726">
      <c r="G726" s="261"/>
    </row>
    <row r="727">
      <c r="G727" s="261"/>
    </row>
    <row r="728">
      <c r="G728" s="261"/>
    </row>
    <row r="729">
      <c r="G729" s="261"/>
    </row>
    <row r="730">
      <c r="G730" s="261"/>
    </row>
    <row r="731">
      <c r="G731" s="261"/>
    </row>
    <row r="732">
      <c r="G732" s="261"/>
    </row>
    <row r="733">
      <c r="G733" s="261"/>
    </row>
    <row r="734">
      <c r="G734" s="261"/>
    </row>
    <row r="735">
      <c r="G735" s="261"/>
    </row>
    <row r="736">
      <c r="G736" s="261"/>
    </row>
    <row r="737">
      <c r="G737" s="261"/>
    </row>
    <row r="738">
      <c r="G738" s="261"/>
    </row>
    <row r="739">
      <c r="G739" s="261"/>
    </row>
    <row r="740">
      <c r="G740" s="261"/>
    </row>
    <row r="741">
      <c r="G741" s="261"/>
    </row>
    <row r="742">
      <c r="G742" s="261"/>
    </row>
    <row r="743">
      <c r="G743" s="261"/>
    </row>
    <row r="744">
      <c r="G744" s="261"/>
    </row>
    <row r="745">
      <c r="G745" s="261"/>
    </row>
    <row r="746">
      <c r="G746" s="261"/>
    </row>
    <row r="747">
      <c r="G747" s="261"/>
    </row>
    <row r="748">
      <c r="G748" s="261"/>
    </row>
    <row r="749">
      <c r="G749" s="261"/>
    </row>
    <row r="750">
      <c r="G750" s="261"/>
    </row>
    <row r="751">
      <c r="G751" s="261"/>
    </row>
    <row r="752">
      <c r="G752" s="261"/>
    </row>
    <row r="753">
      <c r="G753" s="261"/>
    </row>
    <row r="754">
      <c r="G754" s="261"/>
    </row>
    <row r="755">
      <c r="G755" s="261"/>
    </row>
    <row r="756">
      <c r="G756" s="261"/>
    </row>
    <row r="757">
      <c r="G757" s="261"/>
    </row>
    <row r="758">
      <c r="G758" s="261"/>
    </row>
    <row r="759">
      <c r="G759" s="261"/>
    </row>
    <row r="760">
      <c r="G760" s="261"/>
    </row>
    <row r="761">
      <c r="G761" s="261"/>
    </row>
    <row r="762">
      <c r="G762" s="261"/>
    </row>
    <row r="763">
      <c r="G763" s="261"/>
    </row>
    <row r="764">
      <c r="G764" s="261"/>
    </row>
    <row r="765">
      <c r="G765" s="261"/>
    </row>
    <row r="766">
      <c r="G766" s="261"/>
    </row>
    <row r="767">
      <c r="G767" s="261"/>
    </row>
    <row r="768">
      <c r="G768" s="261"/>
    </row>
    <row r="769">
      <c r="G769" s="261"/>
    </row>
    <row r="770">
      <c r="G770" s="261"/>
    </row>
    <row r="771">
      <c r="G771" s="261"/>
    </row>
    <row r="772">
      <c r="G772" s="261"/>
    </row>
    <row r="773">
      <c r="G773" s="261"/>
    </row>
    <row r="774">
      <c r="G774" s="261"/>
    </row>
    <row r="775">
      <c r="G775" s="261"/>
    </row>
    <row r="776">
      <c r="G776" s="261"/>
    </row>
    <row r="777">
      <c r="G777" s="261"/>
    </row>
    <row r="778">
      <c r="G778" s="261"/>
    </row>
    <row r="779">
      <c r="G779" s="261"/>
    </row>
    <row r="780">
      <c r="G780" s="261"/>
    </row>
    <row r="781">
      <c r="G781" s="261"/>
    </row>
    <row r="782">
      <c r="G782" s="261"/>
    </row>
    <row r="783">
      <c r="G783" s="261"/>
    </row>
    <row r="784">
      <c r="G784" s="261"/>
    </row>
    <row r="785">
      <c r="G785" s="261"/>
    </row>
    <row r="786">
      <c r="G786" s="261"/>
    </row>
    <row r="787">
      <c r="G787" s="261"/>
    </row>
    <row r="788">
      <c r="G788" s="261"/>
    </row>
    <row r="789">
      <c r="G789" s="261"/>
    </row>
    <row r="790">
      <c r="G790" s="261"/>
    </row>
    <row r="791">
      <c r="G791" s="261"/>
    </row>
    <row r="792">
      <c r="G792" s="261"/>
    </row>
    <row r="793">
      <c r="G793" s="261"/>
    </row>
    <row r="794">
      <c r="G794" s="261"/>
    </row>
    <row r="795">
      <c r="G795" s="261"/>
    </row>
    <row r="796">
      <c r="G796" s="261"/>
    </row>
    <row r="797">
      <c r="G797" s="261"/>
    </row>
    <row r="798">
      <c r="G798" s="261"/>
    </row>
    <row r="799">
      <c r="G799" s="261"/>
    </row>
    <row r="800">
      <c r="G800" s="261"/>
    </row>
    <row r="801">
      <c r="G801" s="261"/>
    </row>
    <row r="802">
      <c r="G802" s="261"/>
    </row>
    <row r="803">
      <c r="G803" s="261"/>
    </row>
    <row r="804">
      <c r="G804" s="261"/>
    </row>
    <row r="805">
      <c r="G805" s="261"/>
    </row>
    <row r="806">
      <c r="G806" s="261"/>
    </row>
    <row r="807">
      <c r="G807" s="261"/>
    </row>
    <row r="808">
      <c r="G808" s="261"/>
    </row>
    <row r="809">
      <c r="G809" s="261"/>
    </row>
    <row r="810">
      <c r="G810" s="261"/>
    </row>
    <row r="811">
      <c r="G811" s="261"/>
    </row>
    <row r="812">
      <c r="G812" s="261"/>
    </row>
    <row r="813">
      <c r="G813" s="261"/>
    </row>
    <row r="814">
      <c r="G814" s="261"/>
    </row>
    <row r="815">
      <c r="G815" s="261"/>
    </row>
    <row r="816">
      <c r="G816" s="261"/>
    </row>
    <row r="817">
      <c r="G817" s="261"/>
    </row>
    <row r="818">
      <c r="G818" s="261"/>
    </row>
    <row r="819">
      <c r="G819" s="261"/>
    </row>
    <row r="820">
      <c r="G820" s="261"/>
    </row>
    <row r="821">
      <c r="G821" s="261"/>
    </row>
    <row r="822">
      <c r="G822" s="261"/>
    </row>
    <row r="823">
      <c r="G823" s="261"/>
    </row>
    <row r="824">
      <c r="G824" s="261"/>
    </row>
    <row r="825">
      <c r="G825" s="261"/>
    </row>
    <row r="826">
      <c r="G826" s="261"/>
    </row>
    <row r="827">
      <c r="G827" s="261"/>
    </row>
    <row r="828">
      <c r="G828" s="261"/>
    </row>
    <row r="829">
      <c r="G829" s="261"/>
    </row>
    <row r="830">
      <c r="G830" s="261"/>
    </row>
    <row r="831">
      <c r="G831" s="261"/>
    </row>
    <row r="832">
      <c r="G832" s="261"/>
    </row>
    <row r="833">
      <c r="G833" s="261"/>
    </row>
    <row r="834">
      <c r="G834" s="261"/>
    </row>
    <row r="835">
      <c r="G835" s="261"/>
    </row>
    <row r="836">
      <c r="G836" s="261"/>
    </row>
    <row r="837">
      <c r="G837" s="261"/>
    </row>
    <row r="838">
      <c r="G838" s="261"/>
    </row>
    <row r="839">
      <c r="G839" s="261"/>
    </row>
    <row r="840">
      <c r="G840" s="261"/>
    </row>
    <row r="841">
      <c r="G841" s="261"/>
    </row>
    <row r="842">
      <c r="G842" s="261"/>
    </row>
    <row r="843">
      <c r="G843" s="261"/>
    </row>
    <row r="844">
      <c r="G844" s="261"/>
    </row>
    <row r="845">
      <c r="G845" s="261"/>
    </row>
    <row r="846">
      <c r="G846" s="261"/>
    </row>
    <row r="847">
      <c r="G847" s="261"/>
    </row>
    <row r="848">
      <c r="G848" s="261"/>
    </row>
    <row r="849">
      <c r="G849" s="261"/>
    </row>
    <row r="850">
      <c r="G850" s="261"/>
    </row>
    <row r="851">
      <c r="G851" s="261"/>
    </row>
    <row r="852">
      <c r="G852" s="261"/>
    </row>
    <row r="853">
      <c r="G853" s="261"/>
    </row>
    <row r="854">
      <c r="G854" s="261"/>
    </row>
    <row r="855">
      <c r="G855" s="261"/>
    </row>
    <row r="856">
      <c r="G856" s="261"/>
    </row>
    <row r="857">
      <c r="G857" s="261"/>
    </row>
    <row r="858">
      <c r="G858" s="261"/>
    </row>
    <row r="859">
      <c r="G859" s="261"/>
    </row>
    <row r="860">
      <c r="G860" s="261"/>
    </row>
    <row r="861">
      <c r="G861" s="261"/>
    </row>
    <row r="862">
      <c r="G862" s="261"/>
    </row>
    <row r="863">
      <c r="G863" s="261"/>
    </row>
    <row r="864">
      <c r="G864" s="261"/>
    </row>
    <row r="865">
      <c r="G865" s="261"/>
    </row>
    <row r="866">
      <c r="G866" s="261"/>
    </row>
    <row r="867">
      <c r="G867" s="261"/>
    </row>
    <row r="868">
      <c r="G868" s="261"/>
    </row>
    <row r="869">
      <c r="G869" s="261"/>
    </row>
    <row r="870">
      <c r="G870" s="261"/>
    </row>
    <row r="871">
      <c r="G871" s="261"/>
    </row>
    <row r="872">
      <c r="G872" s="261"/>
    </row>
    <row r="873">
      <c r="G873" s="261"/>
    </row>
    <row r="874">
      <c r="G874" s="261"/>
    </row>
    <row r="875">
      <c r="G875" s="261"/>
    </row>
    <row r="876">
      <c r="G876" s="261"/>
    </row>
    <row r="877">
      <c r="G877" s="261"/>
    </row>
    <row r="878">
      <c r="G878" s="261"/>
    </row>
    <row r="879">
      <c r="G879" s="261"/>
    </row>
    <row r="880">
      <c r="G880" s="261"/>
    </row>
    <row r="881">
      <c r="G881" s="261"/>
    </row>
    <row r="882">
      <c r="G882" s="261"/>
    </row>
    <row r="883">
      <c r="G883" s="261"/>
    </row>
    <row r="884">
      <c r="G884" s="261"/>
    </row>
    <row r="885">
      <c r="G885" s="261"/>
    </row>
    <row r="886">
      <c r="G886" s="261"/>
    </row>
    <row r="887">
      <c r="G887" s="261"/>
    </row>
    <row r="888">
      <c r="G888" s="261"/>
    </row>
    <row r="889">
      <c r="G889" s="261"/>
    </row>
    <row r="890">
      <c r="G890" s="261"/>
    </row>
    <row r="891">
      <c r="G891" s="261"/>
    </row>
    <row r="892">
      <c r="G892" s="261"/>
    </row>
    <row r="893">
      <c r="G893" s="261"/>
    </row>
    <row r="894">
      <c r="G894" s="261"/>
    </row>
    <row r="895">
      <c r="G895" s="261"/>
    </row>
    <row r="896">
      <c r="G896" s="261"/>
    </row>
    <row r="897">
      <c r="G897" s="261"/>
    </row>
    <row r="898">
      <c r="G898" s="261"/>
    </row>
    <row r="899">
      <c r="G899" s="261"/>
    </row>
    <row r="900">
      <c r="G900" s="261"/>
    </row>
    <row r="901">
      <c r="G901" s="261"/>
    </row>
    <row r="902">
      <c r="G902" s="261"/>
    </row>
    <row r="903">
      <c r="G903" s="261"/>
    </row>
    <row r="904">
      <c r="G904" s="261"/>
    </row>
    <row r="905">
      <c r="G905" s="261"/>
    </row>
    <row r="906">
      <c r="G906" s="261"/>
    </row>
    <row r="907">
      <c r="G907" s="261"/>
    </row>
    <row r="908">
      <c r="G908" s="261"/>
    </row>
    <row r="909">
      <c r="G909" s="261"/>
    </row>
    <row r="910">
      <c r="G910" s="261"/>
    </row>
    <row r="911">
      <c r="G911" s="261"/>
    </row>
    <row r="912">
      <c r="G912" s="261"/>
    </row>
    <row r="913">
      <c r="G913" s="261"/>
    </row>
    <row r="914">
      <c r="G914" s="261"/>
    </row>
    <row r="915">
      <c r="G915" s="261"/>
    </row>
    <row r="916">
      <c r="G916" s="261"/>
    </row>
    <row r="917">
      <c r="G917" s="261"/>
    </row>
    <row r="918">
      <c r="G918" s="261"/>
    </row>
    <row r="919">
      <c r="G919" s="261"/>
    </row>
    <row r="920">
      <c r="G920" s="261"/>
    </row>
    <row r="921">
      <c r="G921" s="261"/>
    </row>
    <row r="922">
      <c r="G922" s="261"/>
    </row>
    <row r="923">
      <c r="G923" s="261"/>
    </row>
    <row r="924">
      <c r="G924" s="261"/>
    </row>
    <row r="925">
      <c r="G925" s="261"/>
    </row>
    <row r="926">
      <c r="G926" s="261"/>
    </row>
    <row r="927">
      <c r="G927" s="261"/>
    </row>
    <row r="928">
      <c r="G928" s="261"/>
    </row>
    <row r="929">
      <c r="G929" s="261"/>
    </row>
    <row r="930">
      <c r="G930" s="261"/>
    </row>
    <row r="931">
      <c r="G931" s="261"/>
    </row>
    <row r="932">
      <c r="G932" s="261"/>
    </row>
    <row r="933">
      <c r="G933" s="261"/>
    </row>
    <row r="934">
      <c r="G934" s="261"/>
    </row>
    <row r="935">
      <c r="G935" s="261"/>
    </row>
    <row r="936">
      <c r="G936" s="261"/>
    </row>
    <row r="937">
      <c r="G937" s="261"/>
    </row>
    <row r="938">
      <c r="G938" s="261"/>
    </row>
    <row r="939">
      <c r="G939" s="261"/>
    </row>
    <row r="940">
      <c r="G940" s="261"/>
    </row>
    <row r="941">
      <c r="G941" s="261"/>
    </row>
    <row r="942">
      <c r="G942" s="261"/>
    </row>
    <row r="943">
      <c r="G943" s="261"/>
    </row>
    <row r="944">
      <c r="G944" s="261"/>
    </row>
    <row r="945">
      <c r="G945" s="261"/>
    </row>
    <row r="946">
      <c r="G946" s="261"/>
    </row>
    <row r="947">
      <c r="G947" s="261"/>
    </row>
    <row r="948">
      <c r="G948" s="261"/>
    </row>
    <row r="949">
      <c r="G949" s="261"/>
    </row>
    <row r="950">
      <c r="G950" s="261"/>
    </row>
    <row r="951">
      <c r="G951" s="261"/>
    </row>
    <row r="952">
      <c r="G952" s="261"/>
    </row>
    <row r="953">
      <c r="G953" s="261"/>
    </row>
    <row r="954">
      <c r="G954" s="261"/>
    </row>
    <row r="955">
      <c r="G955" s="261"/>
    </row>
    <row r="956">
      <c r="G956" s="261"/>
    </row>
    <row r="957">
      <c r="G957" s="261"/>
    </row>
    <row r="958">
      <c r="G958" s="261"/>
    </row>
    <row r="959">
      <c r="G959" s="261"/>
    </row>
    <row r="960">
      <c r="G960" s="261"/>
    </row>
    <row r="961">
      <c r="G961" s="261"/>
    </row>
    <row r="962">
      <c r="G962" s="261"/>
    </row>
    <row r="963">
      <c r="G963" s="261"/>
    </row>
    <row r="964">
      <c r="G964" s="261"/>
    </row>
    <row r="965">
      <c r="G965" s="261"/>
    </row>
    <row r="966">
      <c r="G966" s="261"/>
    </row>
    <row r="967">
      <c r="G967" s="261"/>
    </row>
    <row r="968">
      <c r="G968" s="261"/>
    </row>
    <row r="969">
      <c r="G969" s="261"/>
    </row>
    <row r="970">
      <c r="G970" s="261"/>
    </row>
    <row r="971">
      <c r="G971" s="261"/>
    </row>
    <row r="972">
      <c r="G972" s="261"/>
    </row>
    <row r="973">
      <c r="G973" s="261"/>
    </row>
    <row r="974">
      <c r="G974" s="261"/>
    </row>
    <row r="975">
      <c r="G975" s="261"/>
    </row>
    <row r="976">
      <c r="G976" s="261"/>
    </row>
    <row r="977">
      <c r="G977" s="261"/>
    </row>
    <row r="978">
      <c r="G978" s="261"/>
    </row>
    <row r="979">
      <c r="G979" s="261"/>
    </row>
    <row r="980">
      <c r="G980" s="261"/>
    </row>
    <row r="981">
      <c r="G981" s="261"/>
    </row>
    <row r="982">
      <c r="G982" s="261"/>
    </row>
    <row r="983">
      <c r="G983" s="261"/>
    </row>
    <row r="984">
      <c r="G984" s="261"/>
    </row>
    <row r="985">
      <c r="G985" s="261"/>
    </row>
    <row r="986">
      <c r="G986" s="261"/>
    </row>
    <row r="987">
      <c r="G987" s="261"/>
    </row>
    <row r="988">
      <c r="G988" s="261"/>
    </row>
    <row r="989">
      <c r="G989" s="261"/>
    </row>
    <row r="990">
      <c r="G990" s="261"/>
    </row>
    <row r="991">
      <c r="G991" s="261"/>
    </row>
    <row r="992">
      <c r="G992" s="261"/>
    </row>
    <row r="993">
      <c r="G993" s="261"/>
    </row>
    <row r="994">
      <c r="G994" s="261"/>
    </row>
    <row r="995">
      <c r="G995" s="261"/>
    </row>
    <row r="996">
      <c r="G996" s="261"/>
    </row>
    <row r="997">
      <c r="G997" s="261"/>
    </row>
    <row r="998">
      <c r="G998" s="261"/>
    </row>
    <row r="999">
      <c r="G999" s="261"/>
    </row>
    <row r="1000">
      <c r="G1000" s="261"/>
    </row>
  </sheetData>
  <hyperlinks>
    <hyperlink r:id="rId1" ref="J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4.38"/>
    <col customWidth="1" min="9" max="9" width="14.88"/>
    <col customWidth="1" min="12" max="12" width="42.0"/>
  </cols>
  <sheetData>
    <row r="1">
      <c r="A1" s="262" t="s">
        <v>15</v>
      </c>
      <c r="B1" s="263" t="s">
        <v>6</v>
      </c>
      <c r="C1" s="263" t="s">
        <v>16</v>
      </c>
      <c r="D1" s="263" t="s">
        <v>17</v>
      </c>
      <c r="E1" s="264" t="s">
        <v>18</v>
      </c>
      <c r="F1" s="264" t="s">
        <v>19</v>
      </c>
      <c r="G1" s="264" t="s">
        <v>20</v>
      </c>
      <c r="H1" s="265" t="s">
        <v>21</v>
      </c>
      <c r="I1" s="264" t="s">
        <v>22</v>
      </c>
      <c r="J1" s="264" t="s">
        <v>23</v>
      </c>
      <c r="K1" s="263" t="s">
        <v>12</v>
      </c>
      <c r="L1" s="263" t="s">
        <v>13</v>
      </c>
    </row>
    <row r="2">
      <c r="A2" s="266">
        <v>1.0</v>
      </c>
      <c r="B2" s="267" t="s">
        <v>1222</v>
      </c>
      <c r="C2" s="266"/>
      <c r="D2" s="268" t="s">
        <v>1223</v>
      </c>
      <c r="E2" s="266" t="s">
        <v>1224</v>
      </c>
      <c r="F2" s="267">
        <v>6.361168923E9</v>
      </c>
      <c r="G2" s="267" t="s">
        <v>1225</v>
      </c>
      <c r="H2" s="266" t="s">
        <v>56</v>
      </c>
      <c r="I2" s="267" t="s">
        <v>1226</v>
      </c>
      <c r="J2" s="267" t="s">
        <v>1227</v>
      </c>
      <c r="K2" s="266" t="s">
        <v>1228</v>
      </c>
      <c r="L2" s="266" t="s">
        <v>1229</v>
      </c>
      <c r="M2" s="261"/>
      <c r="N2" s="261"/>
      <c r="O2" s="261"/>
      <c r="P2" s="261"/>
      <c r="Q2" s="261"/>
      <c r="R2" s="261"/>
    </row>
    <row r="3">
      <c r="A3" s="266">
        <v>2.0</v>
      </c>
      <c r="B3" s="267" t="s">
        <v>1222</v>
      </c>
      <c r="C3" s="266"/>
      <c r="D3" s="268" t="s">
        <v>1230</v>
      </c>
      <c r="E3" s="266" t="s">
        <v>548</v>
      </c>
      <c r="F3" s="267">
        <v>9.98676239E9</v>
      </c>
      <c r="G3" s="268" t="s">
        <v>1231</v>
      </c>
      <c r="H3" s="266" t="s">
        <v>1232</v>
      </c>
      <c r="I3" s="267" t="s">
        <v>1233</v>
      </c>
      <c r="J3" s="267" t="s">
        <v>1227</v>
      </c>
      <c r="K3" s="266" t="s">
        <v>1234</v>
      </c>
      <c r="L3" s="266" t="s">
        <v>1235</v>
      </c>
      <c r="M3" s="261"/>
      <c r="N3" s="261"/>
      <c r="O3" s="261"/>
      <c r="P3" s="261"/>
      <c r="Q3" s="261"/>
      <c r="R3" s="261"/>
    </row>
    <row r="4">
      <c r="A4" s="266">
        <v>3.0</v>
      </c>
      <c r="B4" s="267" t="s">
        <v>1222</v>
      </c>
      <c r="C4" s="266"/>
      <c r="D4" s="268" t="s">
        <v>1236</v>
      </c>
      <c r="E4" s="266" t="s">
        <v>1237</v>
      </c>
      <c r="F4" s="267">
        <v>9.845252707E9</v>
      </c>
      <c r="G4" s="267" t="s">
        <v>1238</v>
      </c>
      <c r="H4" s="266" t="s">
        <v>63</v>
      </c>
      <c r="I4" s="267" t="s">
        <v>1239</v>
      </c>
      <c r="J4" s="268" t="s">
        <v>1240</v>
      </c>
      <c r="K4" s="266" t="s">
        <v>1234</v>
      </c>
      <c r="L4" s="266" t="s">
        <v>1241</v>
      </c>
      <c r="M4" s="261"/>
      <c r="N4" s="261"/>
      <c r="O4" s="261"/>
      <c r="P4" s="261"/>
      <c r="Q4" s="261"/>
      <c r="R4" s="261"/>
    </row>
    <row r="5">
      <c r="A5" s="269">
        <v>4.0</v>
      </c>
      <c r="B5" s="270">
        <v>46167.0</v>
      </c>
      <c r="C5" s="269"/>
      <c r="D5" s="269" t="s">
        <v>434</v>
      </c>
      <c r="E5" s="269" t="s">
        <v>1242</v>
      </c>
      <c r="F5" s="271">
        <v>9.836745E9</v>
      </c>
      <c r="G5" s="269" t="s">
        <v>1243</v>
      </c>
      <c r="H5" s="269" t="s">
        <v>56</v>
      </c>
      <c r="I5" s="269"/>
      <c r="J5" s="269" t="s">
        <v>1244</v>
      </c>
      <c r="K5" s="269" t="s">
        <v>1245</v>
      </c>
      <c r="L5" s="269" t="s">
        <v>1246</v>
      </c>
      <c r="M5" s="272"/>
      <c r="N5" s="272"/>
      <c r="O5" s="272"/>
      <c r="P5" s="272"/>
      <c r="Q5" s="272"/>
      <c r="R5" s="272"/>
      <c r="S5" s="273"/>
      <c r="T5" s="273"/>
      <c r="U5" s="273"/>
      <c r="V5" s="273"/>
      <c r="W5" s="273"/>
      <c r="X5" s="273"/>
      <c r="Y5" s="273"/>
    </row>
    <row r="6">
      <c r="A6" s="269">
        <v>5.0</v>
      </c>
      <c r="B6" s="270">
        <v>46167.0</v>
      </c>
      <c r="C6" s="269"/>
      <c r="D6" s="269" t="s">
        <v>1247</v>
      </c>
      <c r="E6" s="269" t="s">
        <v>1248</v>
      </c>
      <c r="F6" s="269">
        <v>9.34173222E9</v>
      </c>
      <c r="G6" s="269" t="s">
        <v>1249</v>
      </c>
      <c r="H6" s="269" t="s">
        <v>316</v>
      </c>
      <c r="I6" s="269" t="s">
        <v>1250</v>
      </c>
      <c r="J6" s="269" t="s">
        <v>1227</v>
      </c>
      <c r="K6" s="269" t="s">
        <v>1228</v>
      </c>
      <c r="L6" s="269" t="s">
        <v>1251</v>
      </c>
      <c r="M6" s="272"/>
      <c r="N6" s="272"/>
      <c r="O6" s="272"/>
      <c r="P6" s="272"/>
      <c r="Q6" s="272"/>
      <c r="R6" s="272"/>
      <c r="S6" s="273"/>
      <c r="T6" s="273"/>
      <c r="U6" s="273"/>
      <c r="V6" s="273"/>
      <c r="W6" s="273"/>
      <c r="X6" s="273"/>
      <c r="Y6" s="273"/>
    </row>
    <row r="7">
      <c r="A7" s="266">
        <v>6.0</v>
      </c>
      <c r="B7" s="274">
        <v>46167.0</v>
      </c>
      <c r="C7" s="266"/>
      <c r="D7" s="266" t="s">
        <v>1252</v>
      </c>
      <c r="E7" s="266" t="s">
        <v>1253</v>
      </c>
      <c r="F7" s="266">
        <v>9.741501015E9</v>
      </c>
      <c r="G7" s="266" t="s">
        <v>1254</v>
      </c>
      <c r="H7" s="266" t="s">
        <v>1255</v>
      </c>
      <c r="I7" s="266" t="s">
        <v>1256</v>
      </c>
      <c r="J7" s="266" t="s">
        <v>1227</v>
      </c>
      <c r="K7" s="266" t="s">
        <v>1234</v>
      </c>
      <c r="L7" s="266" t="s">
        <v>1257</v>
      </c>
      <c r="M7" s="261"/>
      <c r="N7" s="261"/>
      <c r="O7" s="261"/>
      <c r="P7" s="261"/>
      <c r="Q7" s="261"/>
      <c r="R7" s="261"/>
    </row>
    <row r="8">
      <c r="A8" s="266">
        <v>7.0</v>
      </c>
      <c r="B8" s="274">
        <v>46168.0</v>
      </c>
      <c r="C8" s="266"/>
      <c r="D8" s="266" t="s">
        <v>1258</v>
      </c>
      <c r="E8" s="266" t="s">
        <v>1259</v>
      </c>
      <c r="F8" s="266">
        <v>9.844064025E9</v>
      </c>
      <c r="G8" s="266" t="s">
        <v>1260</v>
      </c>
      <c r="H8" s="266" t="s">
        <v>305</v>
      </c>
      <c r="I8" s="266" t="s">
        <v>1261</v>
      </c>
      <c r="J8" s="266" t="s">
        <v>1262</v>
      </c>
      <c r="K8" s="266" t="s">
        <v>1234</v>
      </c>
      <c r="L8" s="266" t="s">
        <v>1263</v>
      </c>
      <c r="M8" s="261"/>
      <c r="N8" s="261"/>
      <c r="O8" s="261"/>
      <c r="P8" s="261"/>
      <c r="Q8" s="261"/>
      <c r="R8" s="261"/>
    </row>
    <row r="9">
      <c r="A9" s="269">
        <v>9.0</v>
      </c>
      <c r="B9" s="270">
        <v>46171.0</v>
      </c>
      <c r="C9" s="273"/>
      <c r="D9" s="275" t="s">
        <v>1264</v>
      </c>
      <c r="E9" s="275" t="s">
        <v>548</v>
      </c>
      <c r="F9" s="269">
        <v>9.980156286E9</v>
      </c>
      <c r="G9" s="275" t="s">
        <v>1265</v>
      </c>
      <c r="H9" s="275" t="s">
        <v>1266</v>
      </c>
      <c r="I9" s="275" t="s">
        <v>1267</v>
      </c>
      <c r="J9" s="273"/>
      <c r="K9" s="275" t="s">
        <v>1234</v>
      </c>
      <c r="L9" s="275" t="s">
        <v>1268</v>
      </c>
      <c r="M9" s="273"/>
      <c r="N9" s="273"/>
      <c r="O9" s="273"/>
      <c r="P9" s="273"/>
      <c r="Q9" s="273"/>
      <c r="R9" s="273"/>
      <c r="S9" s="273"/>
      <c r="T9" s="273"/>
      <c r="U9" s="273"/>
      <c r="V9" s="273"/>
      <c r="W9" s="273"/>
      <c r="X9" s="273"/>
      <c r="Y9" s="273"/>
    </row>
    <row r="10">
      <c r="A10" s="266">
        <v>10.0</v>
      </c>
      <c r="B10" s="166" t="s">
        <v>1269</v>
      </c>
      <c r="D10" s="166" t="s">
        <v>1270</v>
      </c>
      <c r="E10" s="166" t="s">
        <v>1271</v>
      </c>
      <c r="F10" s="266">
        <v>9.620551055E9</v>
      </c>
      <c r="G10" s="166" t="s">
        <v>1272</v>
      </c>
      <c r="H10" s="166" t="s">
        <v>63</v>
      </c>
      <c r="I10" s="166" t="s">
        <v>1273</v>
      </c>
      <c r="J10" s="166" t="s">
        <v>1227</v>
      </c>
      <c r="K10" s="166" t="s">
        <v>1274</v>
      </c>
      <c r="L10" s="166" t="s">
        <v>1275</v>
      </c>
    </row>
    <row r="11">
      <c r="A11" s="266">
        <v>11.0</v>
      </c>
      <c r="B11" s="274">
        <v>46177.0</v>
      </c>
      <c r="C11" s="261"/>
      <c r="D11" s="266" t="s">
        <v>561</v>
      </c>
      <c r="E11" s="261"/>
      <c r="F11" s="266">
        <v>9.90294752E9</v>
      </c>
      <c r="G11" s="166" t="s">
        <v>1276</v>
      </c>
      <c r="H11" s="166" t="s">
        <v>63</v>
      </c>
      <c r="I11" s="166" t="s">
        <v>1277</v>
      </c>
      <c r="J11" s="166" t="s">
        <v>1278</v>
      </c>
      <c r="K11" s="166" t="s">
        <v>1234</v>
      </c>
      <c r="L11" s="166" t="s">
        <v>1279</v>
      </c>
    </row>
    <row r="12">
      <c r="A12" s="266">
        <v>12.0</v>
      </c>
      <c r="B12" s="274">
        <v>46176.0</v>
      </c>
      <c r="C12" s="261"/>
      <c r="D12" s="266" t="s">
        <v>1280</v>
      </c>
      <c r="E12" s="266" t="s">
        <v>1281</v>
      </c>
      <c r="F12" s="266">
        <v>7.003379527E9</v>
      </c>
      <c r="G12" s="166" t="s">
        <v>1282</v>
      </c>
      <c r="H12" s="166" t="s">
        <v>56</v>
      </c>
      <c r="I12" s="166" t="s">
        <v>1283</v>
      </c>
      <c r="J12" s="166" t="s">
        <v>1284</v>
      </c>
      <c r="K12" s="166" t="s">
        <v>1234</v>
      </c>
      <c r="L12" s="166" t="s">
        <v>1285</v>
      </c>
    </row>
    <row r="13">
      <c r="A13" s="266">
        <v>13.0</v>
      </c>
      <c r="I13" s="166" t="s">
        <v>1286</v>
      </c>
      <c r="J13" s="166" t="s">
        <v>1287</v>
      </c>
      <c r="K13" s="166" t="s">
        <v>1234</v>
      </c>
      <c r="L13" s="166" t="s">
        <v>1288</v>
      </c>
    </row>
    <row r="14">
      <c r="K14" s="276"/>
    </row>
    <row r="15">
      <c r="K15" s="276"/>
    </row>
    <row r="16">
      <c r="K16" s="276"/>
    </row>
    <row r="17">
      <c r="K17" s="276"/>
    </row>
    <row r="18">
      <c r="K18" s="276"/>
    </row>
    <row r="19">
      <c r="K19" s="276"/>
    </row>
    <row r="20">
      <c r="K20" s="276"/>
    </row>
    <row r="21">
      <c r="K21" s="276"/>
    </row>
    <row r="22">
      <c r="K22" s="276"/>
    </row>
    <row r="23">
      <c r="K23" s="276"/>
    </row>
    <row r="24">
      <c r="K24" s="276"/>
    </row>
    <row r="25">
      <c r="K25" s="276"/>
    </row>
    <row r="26">
      <c r="K26" s="276"/>
    </row>
    <row r="27">
      <c r="K27" s="276"/>
    </row>
    <row r="28">
      <c r="K28" s="276"/>
    </row>
    <row r="29">
      <c r="K29" s="276"/>
    </row>
    <row r="30">
      <c r="K30" s="276"/>
    </row>
    <row r="31">
      <c r="K31" s="276"/>
    </row>
    <row r="32">
      <c r="K32" s="276"/>
    </row>
    <row r="33">
      <c r="K33" s="276"/>
    </row>
    <row r="34">
      <c r="K34" s="276"/>
    </row>
    <row r="35">
      <c r="K35" s="276"/>
    </row>
    <row r="36">
      <c r="K36" s="276"/>
    </row>
    <row r="37">
      <c r="K37" s="276"/>
    </row>
    <row r="38">
      <c r="K38" s="276"/>
    </row>
    <row r="39">
      <c r="K39" s="276"/>
    </row>
    <row r="40">
      <c r="K40" s="276"/>
    </row>
    <row r="41">
      <c r="K41" s="276"/>
    </row>
    <row r="42">
      <c r="K42" s="276"/>
    </row>
    <row r="43">
      <c r="K43" s="276"/>
    </row>
    <row r="44">
      <c r="K44" s="276"/>
    </row>
    <row r="45">
      <c r="K45" s="276"/>
    </row>
    <row r="46">
      <c r="K46" s="276"/>
    </row>
    <row r="47">
      <c r="K47" s="276"/>
    </row>
    <row r="48">
      <c r="K48" s="276"/>
    </row>
    <row r="49">
      <c r="K49" s="276"/>
    </row>
    <row r="50">
      <c r="K50" s="276"/>
    </row>
    <row r="51">
      <c r="K51" s="276"/>
    </row>
    <row r="52">
      <c r="K52" s="276"/>
    </row>
    <row r="53">
      <c r="K53" s="276"/>
    </row>
    <row r="54">
      <c r="K54" s="276"/>
    </row>
    <row r="55">
      <c r="K55" s="276"/>
    </row>
    <row r="56">
      <c r="K56" s="276"/>
    </row>
    <row r="57">
      <c r="K57" s="276"/>
    </row>
    <row r="58">
      <c r="K58" s="276"/>
    </row>
    <row r="59">
      <c r="K59" s="276"/>
    </row>
    <row r="60">
      <c r="K60" s="276"/>
    </row>
    <row r="61">
      <c r="K61" s="276"/>
    </row>
    <row r="62">
      <c r="K62" s="276"/>
    </row>
    <row r="63">
      <c r="K63" s="276"/>
    </row>
    <row r="64">
      <c r="K64" s="276"/>
    </row>
    <row r="65">
      <c r="K65" s="276"/>
    </row>
    <row r="66">
      <c r="K66" s="276"/>
    </row>
    <row r="67">
      <c r="K67" s="276"/>
    </row>
    <row r="68">
      <c r="K68" s="276"/>
    </row>
    <row r="69">
      <c r="K69" s="276"/>
    </row>
    <row r="70">
      <c r="K70" s="276"/>
    </row>
    <row r="71">
      <c r="K71" s="276"/>
    </row>
    <row r="72">
      <c r="K72" s="276"/>
    </row>
    <row r="73">
      <c r="K73" s="276"/>
    </row>
    <row r="74">
      <c r="K74" s="276"/>
    </row>
    <row r="75">
      <c r="K75" s="276"/>
    </row>
    <row r="76">
      <c r="K76" s="276"/>
    </row>
    <row r="77">
      <c r="K77" s="276"/>
    </row>
    <row r="78">
      <c r="K78" s="276"/>
    </row>
    <row r="79">
      <c r="K79" s="276"/>
    </row>
    <row r="80">
      <c r="K80" s="276"/>
    </row>
    <row r="81">
      <c r="K81" s="276"/>
    </row>
    <row r="82">
      <c r="K82" s="276"/>
    </row>
    <row r="83">
      <c r="K83" s="276"/>
    </row>
    <row r="84">
      <c r="K84" s="276"/>
    </row>
    <row r="85">
      <c r="K85" s="276"/>
    </row>
    <row r="86">
      <c r="K86" s="276"/>
    </row>
    <row r="87">
      <c r="K87" s="276"/>
    </row>
    <row r="88">
      <c r="K88" s="276"/>
    </row>
    <row r="89">
      <c r="K89" s="276"/>
    </row>
    <row r="90">
      <c r="K90" s="276"/>
    </row>
    <row r="91">
      <c r="K91" s="276"/>
    </row>
    <row r="92">
      <c r="K92" s="276"/>
    </row>
    <row r="93">
      <c r="K93" s="276"/>
    </row>
    <row r="94">
      <c r="K94" s="276"/>
    </row>
    <row r="95">
      <c r="K95" s="276"/>
    </row>
    <row r="96">
      <c r="K96" s="276"/>
    </row>
    <row r="97">
      <c r="K97" s="276"/>
    </row>
    <row r="98">
      <c r="K98" s="276"/>
    </row>
    <row r="99">
      <c r="K99" s="276"/>
    </row>
    <row r="100">
      <c r="K100" s="276"/>
    </row>
    <row r="101">
      <c r="K101" s="276"/>
    </row>
    <row r="102">
      <c r="K102" s="276"/>
    </row>
  </sheetData>
  <dataValidations>
    <dataValidation type="list" allowBlank="1" showErrorMessage="1" sqref="K2:K102">
      <formula1>"Cold Lead,Hot lead,Warm Lead,None of the above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13"/>
    <col customWidth="1" min="3" max="3" width="23.38"/>
    <col customWidth="1" min="4" max="4" width="45.25"/>
    <col customWidth="1" min="5" max="5" width="27.5"/>
  </cols>
  <sheetData>
    <row r="1">
      <c r="A1" s="277" t="s">
        <v>1289</v>
      </c>
      <c r="B1" s="278"/>
      <c r="C1" s="278"/>
      <c r="D1" s="278"/>
      <c r="E1" s="278"/>
      <c r="F1" s="278"/>
    </row>
    <row r="2">
      <c r="A2" s="277" t="s">
        <v>1290</v>
      </c>
      <c r="B2" s="277" t="s">
        <v>1291</v>
      </c>
      <c r="C2" s="277" t="s">
        <v>1292</v>
      </c>
      <c r="D2" s="278"/>
      <c r="E2" s="278"/>
      <c r="F2" s="278"/>
    </row>
    <row r="3">
      <c r="A3" s="277" t="s">
        <v>1293</v>
      </c>
      <c r="B3" s="277" t="s">
        <v>1294</v>
      </c>
      <c r="C3" s="277" t="s">
        <v>1295</v>
      </c>
      <c r="D3" s="277" t="s">
        <v>1296</v>
      </c>
      <c r="E3" s="277" t="s">
        <v>1297</v>
      </c>
      <c r="F3" s="278"/>
    </row>
    <row r="4">
      <c r="A4" s="277" t="s">
        <v>1298</v>
      </c>
      <c r="B4" s="277" t="s">
        <v>1299</v>
      </c>
      <c r="C4" s="277" t="s">
        <v>1300</v>
      </c>
      <c r="D4" s="277" t="s">
        <v>1301</v>
      </c>
      <c r="E4" s="277" t="s">
        <v>1302</v>
      </c>
      <c r="F4" s="278"/>
    </row>
    <row r="5">
      <c r="A5" s="277" t="s">
        <v>1298</v>
      </c>
      <c r="B5" s="277" t="s">
        <v>1303</v>
      </c>
      <c r="C5" s="277" t="s">
        <v>1304</v>
      </c>
      <c r="D5" s="277" t="s">
        <v>1305</v>
      </c>
      <c r="E5" s="277" t="s">
        <v>1306</v>
      </c>
      <c r="F5" s="278"/>
    </row>
    <row r="6">
      <c r="A6" s="277" t="s">
        <v>1298</v>
      </c>
      <c r="B6" s="277" t="s">
        <v>1307</v>
      </c>
      <c r="C6" s="278"/>
      <c r="D6" s="277" t="s">
        <v>1308</v>
      </c>
      <c r="E6" s="277" t="s">
        <v>1309</v>
      </c>
      <c r="F6" s="278"/>
    </row>
    <row r="7">
      <c r="A7" s="277" t="s">
        <v>1298</v>
      </c>
      <c r="B7" s="277" t="s">
        <v>1310</v>
      </c>
      <c r="C7" s="278"/>
      <c r="D7" s="277" t="s">
        <v>1311</v>
      </c>
      <c r="E7" s="277" t="s">
        <v>1312</v>
      </c>
      <c r="F7" s="278"/>
    </row>
    <row r="8">
      <c r="A8" s="277" t="s">
        <v>1313</v>
      </c>
      <c r="B8" s="277" t="s">
        <v>1314</v>
      </c>
      <c r="C8" s="277" t="s">
        <v>1315</v>
      </c>
      <c r="D8" s="277" t="s">
        <v>1316</v>
      </c>
      <c r="E8" s="277" t="s">
        <v>1317</v>
      </c>
      <c r="F8" s="277" t="s">
        <v>1318</v>
      </c>
    </row>
    <row r="9">
      <c r="A9" s="277" t="s">
        <v>1319</v>
      </c>
      <c r="B9" s="277" t="s">
        <v>1320</v>
      </c>
      <c r="C9" s="277" t="s">
        <v>1321</v>
      </c>
      <c r="D9" s="277" t="s">
        <v>1322</v>
      </c>
      <c r="E9" s="277" t="s">
        <v>1323</v>
      </c>
      <c r="F9" s="278"/>
    </row>
    <row r="10">
      <c r="A10" s="277" t="s">
        <v>1298</v>
      </c>
      <c r="B10" s="277" t="s">
        <v>1324</v>
      </c>
      <c r="C10" s="277" t="s">
        <v>1325</v>
      </c>
      <c r="D10" s="277" t="s">
        <v>1326</v>
      </c>
      <c r="E10" s="277" t="s">
        <v>1327</v>
      </c>
      <c r="F10" s="277" t="s">
        <v>1301</v>
      </c>
    </row>
    <row r="11">
      <c r="A11" s="277" t="s">
        <v>1298</v>
      </c>
      <c r="B11" s="277" t="s">
        <v>1328</v>
      </c>
      <c r="C11" s="277" t="s">
        <v>1329</v>
      </c>
      <c r="D11" s="277" t="s">
        <v>1330</v>
      </c>
      <c r="E11" s="277" t="s">
        <v>1331</v>
      </c>
      <c r="F11" s="277" t="s">
        <v>1332</v>
      </c>
      <c r="G11" s="166" t="s">
        <v>1333</v>
      </c>
    </row>
    <row r="12">
      <c r="A12" s="277" t="s">
        <v>1334</v>
      </c>
    </row>
    <row r="13">
      <c r="B13" s="166" t="s">
        <v>1335</v>
      </c>
    </row>
    <row r="14">
      <c r="A14" s="277" t="s">
        <v>1298</v>
      </c>
      <c r="B14" s="166" t="s">
        <v>1336</v>
      </c>
      <c r="C14" s="166" t="s">
        <v>1337</v>
      </c>
      <c r="D14" s="166" t="s">
        <v>1338</v>
      </c>
      <c r="E14" s="166" t="s">
        <v>1339</v>
      </c>
      <c r="F14" s="166" t="s">
        <v>1340</v>
      </c>
    </row>
    <row r="15">
      <c r="B15" s="279" t="s">
        <v>1341</v>
      </c>
      <c r="C15" s="166" t="s">
        <v>1342</v>
      </c>
      <c r="D15" s="166" t="s">
        <v>1343</v>
      </c>
      <c r="E15" s="166" t="s">
        <v>1340</v>
      </c>
    </row>
    <row r="16">
      <c r="C16" s="166" t="s">
        <v>1344</v>
      </c>
      <c r="D16" s="166" t="s">
        <v>1345</v>
      </c>
      <c r="E16" s="166" t="s">
        <v>1340</v>
      </c>
    </row>
    <row r="17">
      <c r="B17" s="166" t="s">
        <v>1346</v>
      </c>
      <c r="C17" s="166" t="s">
        <v>1347</v>
      </c>
      <c r="D17" s="166" t="s">
        <v>1348</v>
      </c>
      <c r="E17" s="166" t="s">
        <v>1349</v>
      </c>
      <c r="F17" s="166" t="s">
        <v>1350</v>
      </c>
    </row>
    <row r="18">
      <c r="B18" s="280" t="s">
        <v>1351</v>
      </c>
      <c r="C18" s="166" t="s">
        <v>1352</v>
      </c>
      <c r="D18" s="166" t="s">
        <v>1353</v>
      </c>
      <c r="E18" s="166" t="s">
        <v>1354</v>
      </c>
    </row>
    <row r="19">
      <c r="C19" s="166" t="s">
        <v>1355</v>
      </c>
      <c r="D19" s="166" t="s">
        <v>1356</v>
      </c>
      <c r="E19" s="166" t="s">
        <v>1357</v>
      </c>
    </row>
    <row r="20">
      <c r="C20" s="166" t="s">
        <v>1358</v>
      </c>
      <c r="D20" s="166" t="s">
        <v>1359</v>
      </c>
      <c r="E20" s="166" t="s">
        <v>1360</v>
      </c>
    </row>
    <row r="21">
      <c r="B21" s="166" t="s">
        <v>1361</v>
      </c>
      <c r="C21" s="166" t="s">
        <v>1362</v>
      </c>
      <c r="D21" s="166" t="s">
        <v>1363</v>
      </c>
      <c r="E21" s="166" t="s">
        <v>1364</v>
      </c>
      <c r="F21" s="166" t="s">
        <v>1365</v>
      </c>
    </row>
    <row r="22">
      <c r="B22" s="166" t="s">
        <v>1366</v>
      </c>
      <c r="C22" s="166" t="s">
        <v>1367</v>
      </c>
      <c r="D22" s="166" t="s">
        <v>1368</v>
      </c>
      <c r="E22" s="166" t="s">
        <v>1369</v>
      </c>
    </row>
    <row r="23">
      <c r="B23" s="166" t="s">
        <v>1370</v>
      </c>
      <c r="C23" s="166" t="s">
        <v>1371</v>
      </c>
      <c r="D23" s="166" t="s">
        <v>1372</v>
      </c>
      <c r="E23" s="166" t="s">
        <v>1373</v>
      </c>
      <c r="F23" s="166" t="s">
        <v>1374</v>
      </c>
    </row>
    <row r="24">
      <c r="B24" s="166" t="s">
        <v>1375</v>
      </c>
    </row>
    <row r="25">
      <c r="B25" s="166" t="s">
        <v>1376</v>
      </c>
    </row>
    <row r="27">
      <c r="A27" s="281" t="s">
        <v>1377</v>
      </c>
      <c r="B27" s="281" t="s">
        <v>1378</v>
      </c>
      <c r="C27" s="281" t="s">
        <v>1379</v>
      </c>
      <c r="D27" s="281" t="s">
        <v>1380</v>
      </c>
      <c r="E27" s="281" t="s">
        <v>1381</v>
      </c>
      <c r="F27" s="281" t="s">
        <v>1382</v>
      </c>
      <c r="G27" s="282"/>
      <c r="H27" s="282"/>
      <c r="I27" s="282"/>
      <c r="J27" s="282"/>
      <c r="K27" s="282"/>
      <c r="L27" s="282"/>
      <c r="M27" s="282"/>
      <c r="N27" s="282"/>
      <c r="O27" s="282"/>
      <c r="P27" s="282"/>
      <c r="Q27" s="282"/>
      <c r="R27" s="282"/>
      <c r="S27" s="282"/>
      <c r="T27" s="282"/>
      <c r="U27" s="282"/>
      <c r="V27" s="282"/>
      <c r="W27" s="282"/>
      <c r="X27" s="282"/>
      <c r="Y27" s="282"/>
      <c r="Z27" s="282"/>
    </row>
    <row r="28">
      <c r="A28" s="166" t="s">
        <v>1383</v>
      </c>
    </row>
    <row r="29">
      <c r="A29" s="166" t="s">
        <v>1384</v>
      </c>
    </row>
    <row r="30">
      <c r="A30" s="166" t="s">
        <v>1385</v>
      </c>
      <c r="B30" s="166" t="s">
        <v>1386</v>
      </c>
      <c r="C30" s="166" t="s">
        <v>1387</v>
      </c>
      <c r="D30" s="166" t="s">
        <v>1388</v>
      </c>
      <c r="E30" s="166" t="s">
        <v>1389</v>
      </c>
      <c r="F30" s="166">
        <v>1.0</v>
      </c>
    </row>
    <row r="32">
      <c r="A32" s="166" t="s">
        <v>1390</v>
      </c>
      <c r="B32" s="166" t="s">
        <v>1391</v>
      </c>
      <c r="C32" s="166" t="s">
        <v>1392</v>
      </c>
      <c r="D32" s="166" t="s">
        <v>1393</v>
      </c>
      <c r="E32" s="166" t="s">
        <v>1394</v>
      </c>
      <c r="F32" s="166" t="s">
        <v>1395</v>
      </c>
      <c r="G32" s="166" t="s">
        <v>1396</v>
      </c>
    </row>
    <row r="33">
      <c r="A33" s="166" t="s">
        <v>1397</v>
      </c>
      <c r="B33" s="166" t="s">
        <v>1398</v>
      </c>
      <c r="C33" s="166" t="s">
        <v>1392</v>
      </c>
      <c r="D33" s="166" t="s">
        <v>1399</v>
      </c>
      <c r="E33" s="166" t="s">
        <v>1400</v>
      </c>
      <c r="F33" s="166" t="s">
        <v>1401</v>
      </c>
      <c r="G33" s="166" t="s">
        <v>1402</v>
      </c>
    </row>
    <row r="34">
      <c r="A34" s="166" t="s">
        <v>1403</v>
      </c>
      <c r="B34" s="166" t="s">
        <v>1404</v>
      </c>
      <c r="C34" s="166" t="s">
        <v>1392</v>
      </c>
      <c r="D34" s="166" t="s">
        <v>1405</v>
      </c>
      <c r="E34" s="166" t="s">
        <v>1406</v>
      </c>
      <c r="F34" s="166" t="s">
        <v>1407</v>
      </c>
      <c r="G34" s="166" t="s">
        <v>1402</v>
      </c>
    </row>
    <row r="35">
      <c r="A35" s="166"/>
      <c r="B35" s="166" t="s">
        <v>1408</v>
      </c>
      <c r="C35" s="166" t="s">
        <v>1409</v>
      </c>
      <c r="D35" s="166" t="s">
        <v>1410</v>
      </c>
      <c r="E35" s="166" t="s">
        <v>1411</v>
      </c>
      <c r="F35" s="166" t="s">
        <v>1412</v>
      </c>
      <c r="G35" s="166" t="s">
        <v>1402</v>
      </c>
    </row>
    <row r="36">
      <c r="A36" s="166" t="s">
        <v>1413</v>
      </c>
      <c r="B36" s="166" t="s">
        <v>1414</v>
      </c>
      <c r="C36" s="166" t="s">
        <v>1415</v>
      </c>
      <c r="D36" s="166" t="s">
        <v>1416</v>
      </c>
      <c r="E36" s="166" t="s">
        <v>1417</v>
      </c>
      <c r="F36" s="166">
        <v>12.0</v>
      </c>
      <c r="G36" s="166" t="s">
        <v>1402</v>
      </c>
    </row>
    <row r="37">
      <c r="A37" s="166" t="s">
        <v>1418</v>
      </c>
      <c r="B37" s="166" t="s">
        <v>1419</v>
      </c>
      <c r="C37" s="166" t="s">
        <v>1420</v>
      </c>
      <c r="D37" s="166" t="s">
        <v>1421</v>
      </c>
      <c r="E37" s="166" t="s">
        <v>1422</v>
      </c>
      <c r="F37" s="166" t="s">
        <v>1423</v>
      </c>
      <c r="G37" s="166" t="s">
        <v>1424</v>
      </c>
    </row>
    <row r="38">
      <c r="A38" s="166" t="s">
        <v>1425</v>
      </c>
      <c r="B38" s="166" t="s">
        <v>1426</v>
      </c>
      <c r="C38" s="166" t="s">
        <v>1427</v>
      </c>
      <c r="D38" s="166" t="s">
        <v>1428</v>
      </c>
      <c r="E38" s="166" t="s">
        <v>1429</v>
      </c>
      <c r="F38" s="166" t="s">
        <v>1430</v>
      </c>
      <c r="G38" s="166" t="s">
        <v>1402</v>
      </c>
    </row>
    <row r="39">
      <c r="A39" s="166" t="s">
        <v>1431</v>
      </c>
      <c r="B39" s="166" t="s">
        <v>1432</v>
      </c>
      <c r="C39" s="166" t="s">
        <v>1409</v>
      </c>
      <c r="D39" s="166" t="s">
        <v>1433</v>
      </c>
      <c r="E39" s="166" t="s">
        <v>1434</v>
      </c>
      <c r="F39" s="166" t="s">
        <v>1435</v>
      </c>
      <c r="G39" s="166" t="s">
        <v>1436</v>
      </c>
    </row>
    <row r="40">
      <c r="A40" s="166" t="s">
        <v>1437</v>
      </c>
      <c r="B40" s="166" t="s">
        <v>1438</v>
      </c>
      <c r="C40" s="166" t="s">
        <v>1420</v>
      </c>
      <c r="D40" s="166" t="s">
        <v>1439</v>
      </c>
      <c r="E40" s="166" t="s">
        <v>1440</v>
      </c>
      <c r="F40" s="166" t="s">
        <v>1395</v>
      </c>
      <c r="G40" s="166" t="s">
        <v>1402</v>
      </c>
    </row>
    <row r="41">
      <c r="A41" s="166" t="s">
        <v>1441</v>
      </c>
      <c r="B41" s="166" t="s">
        <v>1438</v>
      </c>
      <c r="C41" s="166" t="s">
        <v>1420</v>
      </c>
      <c r="D41" s="166" t="s">
        <v>1442</v>
      </c>
      <c r="E41" s="166" t="s">
        <v>1443</v>
      </c>
      <c r="F41" s="166" t="s">
        <v>1444</v>
      </c>
      <c r="G41" s="166" t="s">
        <v>1402</v>
      </c>
    </row>
    <row r="42">
      <c r="A42" s="166" t="s">
        <v>1445</v>
      </c>
      <c r="B42" s="166" t="s">
        <v>1446</v>
      </c>
      <c r="C42" s="166" t="s">
        <v>1427</v>
      </c>
      <c r="D42" s="166" t="s">
        <v>1447</v>
      </c>
      <c r="E42" s="166" t="s">
        <v>1448</v>
      </c>
      <c r="F42" s="166" t="s">
        <v>1449</v>
      </c>
      <c r="G42" s="166" t="s">
        <v>1402</v>
      </c>
    </row>
    <row r="43">
      <c r="A43" s="166" t="s">
        <v>1445</v>
      </c>
      <c r="B43" s="166" t="s">
        <v>1450</v>
      </c>
      <c r="C43" s="166" t="s">
        <v>1427</v>
      </c>
      <c r="D43" s="166" t="s">
        <v>1451</v>
      </c>
      <c r="E43" s="166" t="s">
        <v>1448</v>
      </c>
      <c r="F43" s="166" t="s">
        <v>1452</v>
      </c>
      <c r="G43" s="166" t="s">
        <v>1402</v>
      </c>
    </row>
    <row r="44">
      <c r="A44" s="166" t="s">
        <v>1453</v>
      </c>
      <c r="C44" s="166" t="s">
        <v>1420</v>
      </c>
      <c r="D44" s="166" t="s">
        <v>1454</v>
      </c>
      <c r="E44" s="166" t="s">
        <v>1455</v>
      </c>
    </row>
    <row r="45">
      <c r="A45" s="166" t="s">
        <v>1456</v>
      </c>
    </row>
  </sheetData>
  <mergeCells count="2">
    <mergeCell ref="B15:B16"/>
    <mergeCell ref="B18:B2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0.0"/>
    <col customWidth="1" min="4" max="4" width="25.5"/>
    <col customWidth="1" min="5" max="5" width="14.75"/>
    <col customWidth="1" min="6" max="6" width="20.5"/>
    <col customWidth="1" min="7" max="7" width="18.75"/>
    <col customWidth="1" min="8" max="8" width="16.88"/>
    <col customWidth="1" min="9" max="9" width="25.0"/>
    <col customWidth="1" min="10" max="10" width="19.88"/>
    <col customWidth="1" min="11" max="11" width="31.63"/>
    <col customWidth="1" min="12" max="12" width="22.63"/>
    <col customWidth="1" min="13" max="13" width="22.38"/>
    <col customWidth="1" min="14" max="14" width="25.5"/>
    <col customWidth="1" hidden="1" min="15" max="15" width="35.38"/>
    <col customWidth="1" hidden="1" min="16" max="16" width="46.88"/>
    <col customWidth="1" min="17" max="17" width="81.13"/>
    <col customWidth="1" min="18" max="18" width="26.38"/>
  </cols>
  <sheetData>
    <row r="1">
      <c r="A1" s="283"/>
      <c r="B1" s="283"/>
      <c r="C1" s="283"/>
      <c r="D1" s="283"/>
      <c r="E1" s="283"/>
      <c r="F1" s="283"/>
      <c r="G1" s="283"/>
      <c r="H1" s="283"/>
      <c r="I1" s="283"/>
      <c r="J1" s="283"/>
      <c r="K1" s="283"/>
      <c r="L1" s="283"/>
      <c r="M1" s="283"/>
      <c r="N1" s="283"/>
      <c r="O1" s="283"/>
      <c r="P1" s="283"/>
      <c r="Q1" s="283"/>
      <c r="R1" s="283"/>
      <c r="S1" s="283"/>
      <c r="T1" s="283"/>
      <c r="U1" s="283"/>
      <c r="V1" s="283"/>
      <c r="W1" s="283"/>
      <c r="X1" s="283"/>
      <c r="Y1" s="283"/>
    </row>
    <row r="2">
      <c r="A2" s="283"/>
      <c r="B2" s="283"/>
      <c r="C2" s="283"/>
      <c r="D2" s="283"/>
      <c r="E2" s="283"/>
      <c r="F2" s="283"/>
      <c r="G2" s="283"/>
      <c r="H2" s="283"/>
      <c r="I2" s="283"/>
      <c r="J2" s="283"/>
      <c r="K2" s="283"/>
      <c r="L2" s="283"/>
      <c r="M2" s="283"/>
      <c r="N2" s="283"/>
      <c r="O2" s="283"/>
      <c r="P2" s="283"/>
      <c r="Q2" s="283"/>
      <c r="R2" s="283"/>
      <c r="S2" s="283"/>
      <c r="T2" s="283"/>
      <c r="U2" s="283"/>
      <c r="V2" s="283"/>
      <c r="W2" s="283"/>
      <c r="X2" s="283"/>
      <c r="Y2" s="283"/>
    </row>
    <row r="3" ht="22.5" customHeight="1">
      <c r="A3" s="283"/>
      <c r="B3" s="284" t="s">
        <v>504</v>
      </c>
      <c r="C3" s="285" t="s">
        <v>1457</v>
      </c>
      <c r="D3" s="285" t="s">
        <v>1458</v>
      </c>
      <c r="E3" s="285" t="s">
        <v>1459</v>
      </c>
      <c r="F3" s="285" t="s">
        <v>1460</v>
      </c>
      <c r="G3" s="285" t="s">
        <v>1461</v>
      </c>
      <c r="H3" s="285" t="s">
        <v>1224</v>
      </c>
      <c r="I3" s="285" t="s">
        <v>1462</v>
      </c>
      <c r="J3" s="285" t="s">
        <v>1463</v>
      </c>
      <c r="K3" s="285" t="s">
        <v>1464</v>
      </c>
      <c r="L3" s="285" t="s">
        <v>369</v>
      </c>
      <c r="M3" s="285" t="s">
        <v>1465</v>
      </c>
      <c r="N3" s="285" t="s">
        <v>1466</v>
      </c>
      <c r="O3" s="285" t="s">
        <v>1237</v>
      </c>
      <c r="P3" s="285" t="s">
        <v>230</v>
      </c>
      <c r="Q3" s="285" t="s">
        <v>1467</v>
      </c>
      <c r="R3" s="286" t="s">
        <v>1468</v>
      </c>
      <c r="S3" s="283"/>
      <c r="T3" s="283"/>
      <c r="U3" s="283"/>
      <c r="V3" s="283"/>
      <c r="W3" s="283"/>
      <c r="X3" s="283"/>
      <c r="Y3" s="283"/>
    </row>
    <row r="4" ht="27.0" hidden="1" customHeight="1">
      <c r="A4" s="283"/>
      <c r="B4" s="287" t="s">
        <v>1469</v>
      </c>
      <c r="C4" s="288" t="s">
        <v>1470</v>
      </c>
      <c r="D4" s="289" t="s">
        <v>1471</v>
      </c>
      <c r="E4" s="288" t="s">
        <v>6</v>
      </c>
      <c r="F4" s="288" t="s">
        <v>1472</v>
      </c>
      <c r="G4" s="288" t="s">
        <v>17</v>
      </c>
      <c r="H4" s="288" t="s">
        <v>18</v>
      </c>
      <c r="I4" s="288" t="s">
        <v>1473</v>
      </c>
      <c r="J4" s="288" t="s">
        <v>1474</v>
      </c>
      <c r="K4" s="288" t="s">
        <v>1475</v>
      </c>
      <c r="L4" s="288" t="s">
        <v>1476</v>
      </c>
      <c r="M4" s="288" t="s">
        <v>1477</v>
      </c>
      <c r="N4" s="290"/>
      <c r="O4" s="288" t="s">
        <v>1478</v>
      </c>
      <c r="P4" s="288" t="s">
        <v>1479</v>
      </c>
      <c r="Q4" s="288" t="s">
        <v>1480</v>
      </c>
      <c r="R4" s="291"/>
      <c r="S4" s="283"/>
      <c r="T4" s="283"/>
      <c r="U4" s="283"/>
      <c r="V4" s="283"/>
      <c r="W4" s="283"/>
      <c r="X4" s="283"/>
      <c r="Y4" s="283"/>
    </row>
    <row r="5" ht="75.75" customHeight="1">
      <c r="A5" s="292"/>
      <c r="B5" s="287">
        <v>1.0</v>
      </c>
      <c r="C5" s="293" t="s">
        <v>539</v>
      </c>
      <c r="D5" s="289" t="s">
        <v>1481</v>
      </c>
      <c r="E5" s="288" t="s">
        <v>1482</v>
      </c>
      <c r="F5" s="293" t="s">
        <v>26</v>
      </c>
      <c r="G5" s="293" t="s">
        <v>1483</v>
      </c>
      <c r="H5" s="288" t="s">
        <v>180</v>
      </c>
      <c r="I5" s="293">
        <v>7.977173038E9</v>
      </c>
      <c r="J5" s="294" t="s">
        <v>1484</v>
      </c>
      <c r="K5" s="293" t="s">
        <v>1485</v>
      </c>
      <c r="L5" s="288" t="s">
        <v>1486</v>
      </c>
      <c r="M5" s="288" t="s">
        <v>1487</v>
      </c>
      <c r="N5" s="289" t="s">
        <v>80</v>
      </c>
      <c r="O5" s="293" t="s">
        <v>1488</v>
      </c>
      <c r="P5" s="295">
        <v>46056.0</v>
      </c>
      <c r="Q5" s="288" t="s">
        <v>1489</v>
      </c>
      <c r="R5" s="291"/>
      <c r="S5" s="292"/>
      <c r="T5" s="292"/>
      <c r="U5" s="292"/>
      <c r="V5" s="292"/>
      <c r="W5" s="292"/>
      <c r="X5" s="292"/>
      <c r="Y5" s="292"/>
    </row>
    <row r="6" ht="22.5" customHeight="1">
      <c r="A6" s="283"/>
      <c r="B6" s="287">
        <v>2.0</v>
      </c>
      <c r="C6" s="293" t="s">
        <v>539</v>
      </c>
      <c r="D6" s="289" t="s">
        <v>1481</v>
      </c>
      <c r="E6" s="288" t="s">
        <v>1482</v>
      </c>
      <c r="F6" s="293" t="s">
        <v>26</v>
      </c>
      <c r="G6" s="293" t="s">
        <v>1490</v>
      </c>
      <c r="H6" s="293" t="s">
        <v>1491</v>
      </c>
      <c r="I6" s="293">
        <v>9.820883437E9</v>
      </c>
      <c r="J6" s="294" t="s">
        <v>1492</v>
      </c>
      <c r="K6" s="293" t="s">
        <v>1493</v>
      </c>
      <c r="L6" s="293">
        <v>20.0</v>
      </c>
      <c r="M6" s="288" t="s">
        <v>1487</v>
      </c>
      <c r="N6" s="289" t="s">
        <v>80</v>
      </c>
      <c r="O6" s="293" t="s">
        <v>1488</v>
      </c>
      <c r="P6" s="295">
        <v>46056.0</v>
      </c>
      <c r="Q6" s="288" t="s">
        <v>1494</v>
      </c>
      <c r="R6" s="291"/>
      <c r="S6" s="283"/>
      <c r="T6" s="283"/>
      <c r="U6" s="283"/>
      <c r="V6" s="283"/>
      <c r="W6" s="283"/>
      <c r="X6" s="283"/>
      <c r="Y6" s="283"/>
    </row>
    <row r="7" ht="22.5" customHeight="1">
      <c r="A7" s="283"/>
      <c r="B7" s="287">
        <v>3.0</v>
      </c>
      <c r="C7" s="293" t="s">
        <v>539</v>
      </c>
      <c r="D7" s="296"/>
      <c r="E7" s="288" t="s">
        <v>1482</v>
      </c>
      <c r="F7" s="293" t="s">
        <v>26</v>
      </c>
      <c r="G7" s="293" t="s">
        <v>1495</v>
      </c>
      <c r="H7" s="293" t="s">
        <v>1496</v>
      </c>
      <c r="I7" s="293">
        <v>7.7425635E9</v>
      </c>
      <c r="J7" s="297" t="s">
        <v>1497</v>
      </c>
      <c r="K7" s="293" t="s">
        <v>1498</v>
      </c>
      <c r="L7" s="293">
        <v>5.0</v>
      </c>
      <c r="M7" s="288" t="s">
        <v>1487</v>
      </c>
      <c r="N7" s="289" t="s">
        <v>33</v>
      </c>
      <c r="O7" s="293" t="s">
        <v>1499</v>
      </c>
      <c r="P7" s="295">
        <v>46042.0</v>
      </c>
      <c r="Q7" s="288" t="s">
        <v>1500</v>
      </c>
      <c r="R7" s="291"/>
      <c r="S7" s="283"/>
      <c r="T7" s="283"/>
      <c r="U7" s="283"/>
      <c r="V7" s="283"/>
      <c r="W7" s="283"/>
      <c r="X7" s="283"/>
      <c r="Y7" s="283"/>
    </row>
    <row r="8" ht="22.5" customHeight="1">
      <c r="A8" s="283"/>
      <c r="B8" s="287">
        <v>4.0</v>
      </c>
      <c r="C8" s="293" t="s">
        <v>539</v>
      </c>
      <c r="D8" s="296"/>
      <c r="E8" s="288" t="s">
        <v>1482</v>
      </c>
      <c r="F8" s="293" t="s">
        <v>26</v>
      </c>
      <c r="G8" s="293" t="s">
        <v>1501</v>
      </c>
      <c r="H8" s="293" t="s">
        <v>1502</v>
      </c>
      <c r="I8" s="293">
        <v>9.92077773E9</v>
      </c>
      <c r="J8" s="297" t="s">
        <v>1503</v>
      </c>
      <c r="K8" s="293" t="s">
        <v>1504</v>
      </c>
      <c r="L8" s="293">
        <v>1.0</v>
      </c>
      <c r="M8" s="288" t="s">
        <v>1505</v>
      </c>
      <c r="N8" s="289" t="s">
        <v>33</v>
      </c>
      <c r="O8" s="293" t="s">
        <v>1506</v>
      </c>
      <c r="P8" s="295">
        <v>46030.0</v>
      </c>
      <c r="Q8" s="288" t="s">
        <v>1507</v>
      </c>
      <c r="R8" s="291"/>
      <c r="S8" s="283"/>
      <c r="T8" s="283"/>
      <c r="U8" s="283"/>
      <c r="V8" s="283"/>
      <c r="W8" s="283"/>
      <c r="X8" s="283"/>
      <c r="Y8" s="283"/>
    </row>
    <row r="9" ht="22.5" customHeight="1">
      <c r="A9" s="283"/>
      <c r="B9" s="287">
        <v>5.0</v>
      </c>
      <c r="C9" s="293" t="s">
        <v>539</v>
      </c>
      <c r="D9" s="296"/>
      <c r="E9" s="288" t="s">
        <v>1482</v>
      </c>
      <c r="F9" s="293" t="s">
        <v>26</v>
      </c>
      <c r="G9" s="293" t="s">
        <v>1508</v>
      </c>
      <c r="H9" s="293" t="s">
        <v>1509</v>
      </c>
      <c r="I9" s="293">
        <v>9.82003217E9</v>
      </c>
      <c r="J9" s="297" t="s">
        <v>1510</v>
      </c>
      <c r="K9" s="293" t="s">
        <v>1511</v>
      </c>
      <c r="L9" s="288">
        <v>6.0</v>
      </c>
      <c r="M9" s="288" t="s">
        <v>1487</v>
      </c>
      <c r="N9" s="289" t="s">
        <v>33</v>
      </c>
      <c r="O9" s="293" t="s">
        <v>1512</v>
      </c>
      <c r="P9" s="295">
        <v>46042.0</v>
      </c>
      <c r="Q9" s="288" t="s">
        <v>1513</v>
      </c>
      <c r="R9" s="291"/>
      <c r="S9" s="283"/>
      <c r="T9" s="283"/>
      <c r="U9" s="283"/>
      <c r="V9" s="283"/>
      <c r="W9" s="283"/>
      <c r="X9" s="283"/>
      <c r="Y9" s="283"/>
    </row>
    <row r="10" ht="22.5" customHeight="1">
      <c r="A10" s="283"/>
      <c r="B10" s="287">
        <v>6.0</v>
      </c>
      <c r="C10" s="293" t="s">
        <v>539</v>
      </c>
      <c r="D10" s="289" t="s">
        <v>1481</v>
      </c>
      <c r="E10" s="288" t="s">
        <v>1482</v>
      </c>
      <c r="F10" s="293" t="s">
        <v>26</v>
      </c>
      <c r="G10" s="293" t="s">
        <v>1514</v>
      </c>
      <c r="H10" s="293" t="s">
        <v>907</v>
      </c>
      <c r="I10" s="293">
        <v>9.004444288E9</v>
      </c>
      <c r="J10" s="297" t="s">
        <v>1515</v>
      </c>
      <c r="K10" s="293" t="s">
        <v>1516</v>
      </c>
      <c r="L10" s="293">
        <v>6.0</v>
      </c>
      <c r="M10" s="288" t="s">
        <v>1487</v>
      </c>
      <c r="N10" s="289" t="s">
        <v>80</v>
      </c>
      <c r="O10" s="293" t="s">
        <v>1517</v>
      </c>
      <c r="P10" s="295">
        <v>46056.0</v>
      </c>
      <c r="Q10" s="288" t="s">
        <v>1518</v>
      </c>
      <c r="R10" s="291"/>
      <c r="S10" s="283"/>
      <c r="T10" s="283"/>
      <c r="U10" s="283"/>
      <c r="V10" s="283"/>
      <c r="W10" s="283"/>
      <c r="X10" s="283"/>
      <c r="Y10" s="283"/>
    </row>
    <row r="11" ht="22.5" customHeight="1">
      <c r="A11" s="283"/>
      <c r="B11" s="287">
        <v>7.0</v>
      </c>
      <c r="C11" s="293" t="s">
        <v>539</v>
      </c>
      <c r="D11" s="289" t="s">
        <v>1481</v>
      </c>
      <c r="E11" s="288" t="s">
        <v>1482</v>
      </c>
      <c r="F11" s="293" t="s">
        <v>26</v>
      </c>
      <c r="G11" s="293" t="s">
        <v>1519</v>
      </c>
      <c r="H11" s="293" t="s">
        <v>1520</v>
      </c>
      <c r="I11" s="293">
        <v>9.730563383E9</v>
      </c>
      <c r="J11" s="297" t="s">
        <v>1521</v>
      </c>
      <c r="K11" s="293" t="s">
        <v>1522</v>
      </c>
      <c r="L11" s="293">
        <v>15.0</v>
      </c>
      <c r="M11" s="288" t="s">
        <v>1505</v>
      </c>
      <c r="N11" s="289" t="s">
        <v>80</v>
      </c>
      <c r="O11" s="293" t="s">
        <v>1488</v>
      </c>
      <c r="P11" s="295">
        <v>46056.0</v>
      </c>
      <c r="Q11" s="288" t="s">
        <v>1523</v>
      </c>
      <c r="R11" s="291"/>
      <c r="S11" s="283"/>
      <c r="T11" s="283"/>
      <c r="U11" s="283"/>
      <c r="V11" s="283"/>
      <c r="W11" s="283"/>
      <c r="X11" s="283"/>
      <c r="Y11" s="283"/>
    </row>
    <row r="12" ht="22.5" customHeight="1">
      <c r="A12" s="283"/>
      <c r="B12" s="287">
        <v>8.0</v>
      </c>
      <c r="C12" s="293" t="s">
        <v>539</v>
      </c>
      <c r="D12" s="289"/>
      <c r="E12" s="288" t="s">
        <v>1482</v>
      </c>
      <c r="F12" s="293" t="s">
        <v>26</v>
      </c>
      <c r="G12" s="293" t="s">
        <v>1524</v>
      </c>
      <c r="H12" s="293" t="s">
        <v>1025</v>
      </c>
      <c r="I12" s="293">
        <v>9.892602882E9</v>
      </c>
      <c r="J12" s="297" t="s">
        <v>1525</v>
      </c>
      <c r="K12" s="293" t="s">
        <v>1526</v>
      </c>
      <c r="L12" s="293">
        <v>100.0</v>
      </c>
      <c r="M12" s="293" t="s">
        <v>1527</v>
      </c>
      <c r="N12" s="289" t="s">
        <v>33</v>
      </c>
      <c r="O12" s="293" t="s">
        <v>1506</v>
      </c>
      <c r="P12" s="295">
        <v>46027.0</v>
      </c>
      <c r="Q12" s="293" t="s">
        <v>1528</v>
      </c>
      <c r="R12" s="298"/>
      <c r="S12" s="283"/>
      <c r="T12" s="283"/>
      <c r="U12" s="283"/>
      <c r="V12" s="283"/>
      <c r="W12" s="283"/>
      <c r="X12" s="283"/>
      <c r="Y12" s="283"/>
    </row>
    <row r="13" ht="22.5" customHeight="1">
      <c r="A13" s="283"/>
      <c r="B13" s="287">
        <v>9.0</v>
      </c>
      <c r="C13" s="293" t="s">
        <v>539</v>
      </c>
      <c r="D13" s="289" t="s">
        <v>1481</v>
      </c>
      <c r="E13" s="288" t="s">
        <v>1482</v>
      </c>
      <c r="F13" s="293" t="s">
        <v>26</v>
      </c>
      <c r="G13" s="293" t="s">
        <v>1529</v>
      </c>
      <c r="H13" s="293" t="s">
        <v>112</v>
      </c>
      <c r="I13" s="293">
        <v>8.451841731E9</v>
      </c>
      <c r="J13" s="297" t="s">
        <v>1530</v>
      </c>
      <c r="K13" s="293" t="s">
        <v>1531</v>
      </c>
      <c r="L13" s="288">
        <v>35.0</v>
      </c>
      <c r="M13" s="288" t="s">
        <v>1487</v>
      </c>
      <c r="N13" s="289" t="s">
        <v>33</v>
      </c>
      <c r="O13" s="293" t="s">
        <v>1488</v>
      </c>
      <c r="P13" s="295">
        <v>46056.0</v>
      </c>
      <c r="Q13" s="288" t="s">
        <v>1532</v>
      </c>
      <c r="R13" s="291"/>
      <c r="S13" s="283"/>
      <c r="T13" s="283"/>
      <c r="U13" s="283"/>
      <c r="V13" s="283"/>
      <c r="W13" s="283"/>
      <c r="X13" s="283"/>
      <c r="Y13" s="283"/>
    </row>
    <row r="14" ht="22.5" customHeight="1">
      <c r="A14" s="283"/>
      <c r="B14" s="287">
        <v>10.0</v>
      </c>
      <c r="C14" s="293" t="s">
        <v>539</v>
      </c>
      <c r="D14" s="296"/>
      <c r="E14" s="288" t="s">
        <v>1482</v>
      </c>
      <c r="F14" s="293" t="s">
        <v>26</v>
      </c>
      <c r="G14" s="293" t="s">
        <v>1533</v>
      </c>
      <c r="H14" s="293"/>
      <c r="I14" s="293">
        <v>7.304104528E9</v>
      </c>
      <c r="J14" s="297" t="s">
        <v>1534</v>
      </c>
      <c r="K14" s="293" t="s">
        <v>1535</v>
      </c>
      <c r="L14" s="293">
        <v>1.0</v>
      </c>
      <c r="M14" s="293" t="s">
        <v>1536</v>
      </c>
      <c r="N14" s="289" t="s">
        <v>33</v>
      </c>
      <c r="O14" s="293" t="s">
        <v>1537</v>
      </c>
      <c r="P14" s="295">
        <v>46034.0</v>
      </c>
      <c r="Q14" s="288" t="s">
        <v>1538</v>
      </c>
      <c r="R14" s="291"/>
      <c r="S14" s="283"/>
      <c r="T14" s="283"/>
      <c r="U14" s="283"/>
      <c r="V14" s="283"/>
      <c r="W14" s="283"/>
      <c r="X14" s="283"/>
      <c r="Y14" s="283"/>
    </row>
    <row r="15" ht="22.5" customHeight="1">
      <c r="A15" s="283"/>
      <c r="B15" s="287">
        <v>11.0</v>
      </c>
      <c r="C15" s="293" t="s">
        <v>539</v>
      </c>
      <c r="D15" s="296"/>
      <c r="E15" s="288" t="s">
        <v>1539</v>
      </c>
      <c r="F15" s="293" t="s">
        <v>26</v>
      </c>
      <c r="G15" s="293" t="s">
        <v>1540</v>
      </c>
      <c r="H15" s="293" t="s">
        <v>1541</v>
      </c>
      <c r="I15" s="293">
        <v>9.004640567E9</v>
      </c>
      <c r="J15" s="297" t="s">
        <v>1542</v>
      </c>
      <c r="K15" s="293" t="s">
        <v>1543</v>
      </c>
      <c r="L15" s="293">
        <v>13.0</v>
      </c>
      <c r="M15" s="293" t="s">
        <v>1544</v>
      </c>
      <c r="N15" s="289" t="s">
        <v>33</v>
      </c>
      <c r="O15" s="293" t="s">
        <v>1488</v>
      </c>
      <c r="P15" s="295">
        <v>46042.0</v>
      </c>
      <c r="Q15" s="288" t="s">
        <v>1545</v>
      </c>
      <c r="R15" s="291"/>
      <c r="S15" s="283"/>
      <c r="T15" s="283"/>
      <c r="U15" s="283"/>
      <c r="V15" s="283"/>
      <c r="W15" s="283"/>
      <c r="X15" s="283"/>
      <c r="Y15" s="283"/>
    </row>
    <row r="16" ht="22.5" customHeight="1">
      <c r="A16" s="283"/>
      <c r="B16" s="287">
        <v>12.0</v>
      </c>
      <c r="C16" s="293" t="s">
        <v>539</v>
      </c>
      <c r="D16" s="289" t="s">
        <v>1481</v>
      </c>
      <c r="E16" s="288" t="s">
        <v>1539</v>
      </c>
      <c r="F16" s="293" t="s">
        <v>26</v>
      </c>
      <c r="G16" s="293" t="s">
        <v>378</v>
      </c>
      <c r="H16" s="293" t="s">
        <v>1546</v>
      </c>
      <c r="I16" s="293">
        <v>9.82035258E9</v>
      </c>
      <c r="J16" s="297" t="s">
        <v>1547</v>
      </c>
      <c r="K16" s="293" t="s">
        <v>1548</v>
      </c>
      <c r="L16" s="288" t="s">
        <v>1549</v>
      </c>
      <c r="M16" s="288" t="s">
        <v>1487</v>
      </c>
      <c r="N16" s="289" t="s">
        <v>33</v>
      </c>
      <c r="O16" s="293" t="s">
        <v>1512</v>
      </c>
      <c r="P16" s="295">
        <v>46056.0</v>
      </c>
      <c r="Q16" s="288" t="s">
        <v>1550</v>
      </c>
      <c r="R16" s="291"/>
      <c r="S16" s="283"/>
      <c r="T16" s="283"/>
      <c r="U16" s="283"/>
      <c r="V16" s="283"/>
      <c r="W16" s="283"/>
      <c r="X16" s="283"/>
      <c r="Y16" s="283"/>
    </row>
    <row r="17" ht="22.5" customHeight="1">
      <c r="A17" s="283"/>
      <c r="B17" s="287">
        <v>13.0</v>
      </c>
      <c r="C17" s="293" t="s">
        <v>539</v>
      </c>
      <c r="D17" s="296"/>
      <c r="E17" s="288" t="s">
        <v>1539</v>
      </c>
      <c r="F17" s="293" t="s">
        <v>26</v>
      </c>
      <c r="G17" s="293" t="s">
        <v>1551</v>
      </c>
      <c r="H17" s="293" t="s">
        <v>1552</v>
      </c>
      <c r="I17" s="293">
        <v>8.904491815E9</v>
      </c>
      <c r="J17" s="297" t="s">
        <v>1553</v>
      </c>
      <c r="K17" s="293" t="s">
        <v>1554</v>
      </c>
      <c r="L17" s="293">
        <v>20.0</v>
      </c>
      <c r="M17" s="293" t="s">
        <v>1555</v>
      </c>
      <c r="N17" s="296"/>
      <c r="O17" s="293" t="s">
        <v>1506</v>
      </c>
      <c r="P17" s="288" t="s">
        <v>1556</v>
      </c>
      <c r="Q17" s="293" t="s">
        <v>1557</v>
      </c>
      <c r="R17" s="298"/>
      <c r="S17" s="283"/>
      <c r="T17" s="283"/>
      <c r="U17" s="283"/>
      <c r="V17" s="283"/>
      <c r="W17" s="283"/>
      <c r="X17" s="283"/>
      <c r="Y17" s="283"/>
    </row>
    <row r="18" ht="22.5" customHeight="1">
      <c r="A18" s="283"/>
      <c r="B18" s="287">
        <v>14.0</v>
      </c>
      <c r="C18" s="293" t="s">
        <v>539</v>
      </c>
      <c r="D18" s="296"/>
      <c r="E18" s="288" t="s">
        <v>1539</v>
      </c>
      <c r="F18" s="293" t="s">
        <v>26</v>
      </c>
      <c r="G18" s="293" t="s">
        <v>1558</v>
      </c>
      <c r="H18" s="293" t="s">
        <v>1559</v>
      </c>
      <c r="I18" s="293">
        <v>9.819188228E9</v>
      </c>
      <c r="J18" s="297" t="s">
        <v>1560</v>
      </c>
      <c r="K18" s="293" t="s">
        <v>1561</v>
      </c>
      <c r="L18" s="293">
        <v>20.0</v>
      </c>
      <c r="M18" s="288" t="s">
        <v>1487</v>
      </c>
      <c r="N18" s="289" t="s">
        <v>95</v>
      </c>
      <c r="O18" s="293" t="s">
        <v>1488</v>
      </c>
      <c r="P18" s="295">
        <v>46043.0</v>
      </c>
      <c r="Q18" s="288" t="s">
        <v>1562</v>
      </c>
      <c r="R18" s="291"/>
      <c r="S18" s="283"/>
      <c r="T18" s="283"/>
      <c r="U18" s="283"/>
      <c r="V18" s="283"/>
      <c r="W18" s="283"/>
      <c r="X18" s="283"/>
      <c r="Y18" s="283"/>
    </row>
    <row r="19" ht="22.5" customHeight="1">
      <c r="A19" s="283"/>
      <c r="B19" s="287">
        <v>15.0</v>
      </c>
      <c r="C19" s="293" t="s">
        <v>539</v>
      </c>
      <c r="D19" s="289" t="s">
        <v>1481</v>
      </c>
      <c r="E19" s="288" t="s">
        <v>1539</v>
      </c>
      <c r="F19" s="293" t="s">
        <v>26</v>
      </c>
      <c r="G19" s="293" t="s">
        <v>1483</v>
      </c>
      <c r="H19" s="293" t="s">
        <v>1563</v>
      </c>
      <c r="I19" s="293">
        <v>9.821541428E9</v>
      </c>
      <c r="J19" s="297" t="s">
        <v>1564</v>
      </c>
      <c r="K19" s="293" t="s">
        <v>1565</v>
      </c>
      <c r="L19" s="293">
        <v>2.0</v>
      </c>
      <c r="M19" s="288" t="s">
        <v>1505</v>
      </c>
      <c r="N19" s="289" t="s">
        <v>95</v>
      </c>
      <c r="O19" s="299">
        <v>46082.0</v>
      </c>
      <c r="P19" s="295">
        <v>46056.0</v>
      </c>
      <c r="Q19" s="288" t="s">
        <v>1566</v>
      </c>
      <c r="R19" s="291"/>
      <c r="S19" s="283"/>
      <c r="T19" s="283"/>
      <c r="U19" s="283"/>
      <c r="V19" s="283"/>
      <c r="W19" s="283"/>
      <c r="X19" s="283"/>
      <c r="Y19" s="283"/>
    </row>
    <row r="20" ht="22.5" customHeight="1">
      <c r="A20" s="283"/>
      <c r="B20" s="287">
        <v>16.0</v>
      </c>
      <c r="C20" s="293" t="s">
        <v>539</v>
      </c>
      <c r="D20" s="296"/>
      <c r="E20" s="288" t="s">
        <v>1567</v>
      </c>
      <c r="F20" s="293" t="s">
        <v>26</v>
      </c>
      <c r="G20" s="293" t="s">
        <v>1568</v>
      </c>
      <c r="H20" s="293" t="s">
        <v>1569</v>
      </c>
      <c r="I20" s="293">
        <v>9.702604882E9</v>
      </c>
      <c r="J20" s="297" t="s">
        <v>1570</v>
      </c>
      <c r="K20" s="293" t="s">
        <v>1571</v>
      </c>
      <c r="L20" s="288">
        <v>2.0</v>
      </c>
      <c r="M20" s="288" t="s">
        <v>1505</v>
      </c>
      <c r="N20" s="289" t="s">
        <v>33</v>
      </c>
      <c r="O20" s="293" t="s">
        <v>1488</v>
      </c>
      <c r="P20" s="295">
        <v>46042.0</v>
      </c>
      <c r="Q20" s="288" t="s">
        <v>1572</v>
      </c>
      <c r="R20" s="291"/>
      <c r="S20" s="283"/>
      <c r="T20" s="283"/>
      <c r="U20" s="283"/>
      <c r="V20" s="283"/>
      <c r="W20" s="283"/>
      <c r="X20" s="283"/>
      <c r="Y20" s="283"/>
    </row>
    <row r="21" ht="22.5" customHeight="1">
      <c r="A21" s="283"/>
      <c r="B21" s="287">
        <v>17.0</v>
      </c>
      <c r="C21" s="293" t="s">
        <v>539</v>
      </c>
      <c r="D21" s="289" t="s">
        <v>1481</v>
      </c>
      <c r="E21" s="288" t="s">
        <v>1573</v>
      </c>
      <c r="F21" s="293" t="s">
        <v>26</v>
      </c>
      <c r="G21" s="300" t="s">
        <v>1574</v>
      </c>
      <c r="H21" s="300" t="s">
        <v>1575</v>
      </c>
      <c r="I21" s="301">
        <v>9.820123057E9</v>
      </c>
      <c r="J21" s="297" t="s">
        <v>1576</v>
      </c>
      <c r="K21" s="300" t="s">
        <v>1577</v>
      </c>
      <c r="L21" s="288" t="s">
        <v>1578</v>
      </c>
      <c r="M21" s="288"/>
      <c r="N21" s="289" t="s">
        <v>80</v>
      </c>
      <c r="O21" s="293"/>
      <c r="P21" s="295">
        <v>46056.0</v>
      </c>
      <c r="Q21" s="302" t="s">
        <v>1579</v>
      </c>
      <c r="R21" s="303"/>
      <c r="S21" s="283"/>
      <c r="T21" s="283"/>
      <c r="U21" s="283"/>
      <c r="V21" s="283"/>
      <c r="W21" s="283"/>
      <c r="X21" s="283"/>
      <c r="Y21" s="283"/>
    </row>
    <row r="22" ht="22.5" customHeight="1">
      <c r="A22" s="283"/>
      <c r="B22" s="287">
        <v>18.0</v>
      </c>
      <c r="C22" s="293" t="s">
        <v>539</v>
      </c>
      <c r="D22" s="289" t="s">
        <v>32</v>
      </c>
      <c r="E22" s="288" t="s">
        <v>1573</v>
      </c>
      <c r="F22" s="293" t="s">
        <v>26</v>
      </c>
      <c r="G22" s="300" t="s">
        <v>1580</v>
      </c>
      <c r="H22" s="300" t="s">
        <v>1581</v>
      </c>
      <c r="I22" s="301">
        <v>7.666102464E9</v>
      </c>
      <c r="J22" s="297" t="s">
        <v>1582</v>
      </c>
      <c r="K22" s="300" t="s">
        <v>1583</v>
      </c>
      <c r="L22" s="293"/>
      <c r="M22" s="288"/>
      <c r="N22" s="289" t="s">
        <v>33</v>
      </c>
      <c r="O22" s="293"/>
      <c r="P22" s="295"/>
      <c r="Q22" s="288" t="s">
        <v>1584</v>
      </c>
      <c r="R22" s="298"/>
      <c r="S22" s="283"/>
      <c r="T22" s="283"/>
      <c r="U22" s="283"/>
      <c r="V22" s="283"/>
      <c r="W22" s="283"/>
      <c r="X22" s="283"/>
      <c r="Y22" s="283"/>
    </row>
    <row r="23" ht="22.5" customHeight="1">
      <c r="A23" s="283"/>
      <c r="B23" s="287">
        <v>19.0</v>
      </c>
      <c r="C23" s="293" t="s">
        <v>539</v>
      </c>
      <c r="D23" s="289"/>
      <c r="E23" s="288" t="s">
        <v>1573</v>
      </c>
      <c r="F23" s="293" t="s">
        <v>26</v>
      </c>
      <c r="G23" s="301" t="s">
        <v>1585</v>
      </c>
      <c r="H23" s="300" t="s">
        <v>138</v>
      </c>
      <c r="I23" s="301">
        <v>9.619145801E9</v>
      </c>
      <c r="J23" s="297" t="s">
        <v>1586</v>
      </c>
      <c r="K23" s="300" t="s">
        <v>1587</v>
      </c>
      <c r="L23" s="288" t="s">
        <v>1588</v>
      </c>
      <c r="M23" s="288" t="s">
        <v>1589</v>
      </c>
      <c r="N23" s="289" t="s">
        <v>33</v>
      </c>
      <c r="O23" s="293"/>
      <c r="P23" s="295"/>
      <c r="Q23" s="293"/>
      <c r="R23" s="298"/>
      <c r="S23" s="283"/>
      <c r="T23" s="283"/>
      <c r="U23" s="283"/>
      <c r="V23" s="283"/>
      <c r="W23" s="283"/>
      <c r="X23" s="283"/>
      <c r="Y23" s="283"/>
    </row>
    <row r="24" ht="22.5" customHeight="1">
      <c r="A24" s="283"/>
      <c r="B24" s="287">
        <v>20.0</v>
      </c>
      <c r="C24" s="293" t="s">
        <v>539</v>
      </c>
      <c r="D24" s="289"/>
      <c r="E24" s="288" t="s">
        <v>1573</v>
      </c>
      <c r="F24" s="293" t="s">
        <v>26</v>
      </c>
      <c r="G24" s="300" t="s">
        <v>1590</v>
      </c>
      <c r="H24" s="300" t="s">
        <v>1591</v>
      </c>
      <c r="I24" s="301">
        <v>9.773866988E9</v>
      </c>
      <c r="J24" s="297" t="s">
        <v>1592</v>
      </c>
      <c r="K24" s="300" t="s">
        <v>1593</v>
      </c>
      <c r="L24" s="288" t="s">
        <v>1594</v>
      </c>
      <c r="M24" s="288" t="s">
        <v>1487</v>
      </c>
      <c r="N24" s="289" t="s">
        <v>33</v>
      </c>
      <c r="O24" s="288" t="s">
        <v>1595</v>
      </c>
      <c r="P24" s="295">
        <v>46034.0</v>
      </c>
      <c r="Q24" s="302" t="s">
        <v>1596</v>
      </c>
      <c r="R24" s="303"/>
      <c r="S24" s="283"/>
      <c r="T24" s="283"/>
      <c r="U24" s="283"/>
      <c r="V24" s="283"/>
      <c r="W24" s="283"/>
      <c r="X24" s="283"/>
      <c r="Y24" s="283"/>
    </row>
    <row r="25" ht="22.5" customHeight="1">
      <c r="A25" s="283"/>
      <c r="B25" s="287">
        <v>21.0</v>
      </c>
      <c r="C25" s="293" t="s">
        <v>539</v>
      </c>
      <c r="D25" s="289" t="s">
        <v>1481</v>
      </c>
      <c r="E25" s="288" t="s">
        <v>1573</v>
      </c>
      <c r="F25" s="293" t="s">
        <v>26</v>
      </c>
      <c r="G25" s="300" t="s">
        <v>1597</v>
      </c>
      <c r="H25" s="300" t="s">
        <v>1598</v>
      </c>
      <c r="I25" s="301">
        <v>9.892381742E9</v>
      </c>
      <c r="J25" s="297" t="s">
        <v>1599</v>
      </c>
      <c r="K25" s="304" t="s">
        <v>1600</v>
      </c>
      <c r="L25" s="288" t="s">
        <v>1601</v>
      </c>
      <c r="M25" s="288" t="s">
        <v>1505</v>
      </c>
      <c r="N25" s="289" t="s">
        <v>80</v>
      </c>
      <c r="O25" s="293"/>
      <c r="P25" s="295">
        <v>46056.0</v>
      </c>
      <c r="Q25" s="302" t="s">
        <v>1602</v>
      </c>
      <c r="R25" s="303"/>
      <c r="S25" s="283"/>
      <c r="T25" s="283"/>
      <c r="U25" s="283"/>
      <c r="V25" s="283"/>
      <c r="W25" s="283"/>
      <c r="X25" s="283"/>
      <c r="Y25" s="283"/>
    </row>
    <row r="26" ht="22.5" customHeight="1">
      <c r="A26" s="283"/>
      <c r="B26" s="287">
        <v>22.0</v>
      </c>
      <c r="C26" s="293" t="s">
        <v>539</v>
      </c>
      <c r="D26" s="296"/>
      <c r="E26" s="288" t="s">
        <v>1573</v>
      </c>
      <c r="F26" s="293" t="s">
        <v>26</v>
      </c>
      <c r="G26" s="300" t="s">
        <v>1603</v>
      </c>
      <c r="H26" s="300" t="s">
        <v>1604</v>
      </c>
      <c r="I26" s="301">
        <v>9.619119055E9</v>
      </c>
      <c r="J26" s="297" t="s">
        <v>1605</v>
      </c>
      <c r="K26" s="305" t="s">
        <v>1606</v>
      </c>
      <c r="L26" s="293"/>
      <c r="M26" s="288"/>
      <c r="N26" s="289" t="s">
        <v>33</v>
      </c>
      <c r="O26" s="293"/>
      <c r="P26" s="295">
        <v>46030.0</v>
      </c>
      <c r="Q26" s="302" t="s">
        <v>1607</v>
      </c>
      <c r="R26" s="303"/>
      <c r="S26" s="283"/>
      <c r="T26" s="283"/>
      <c r="U26" s="283"/>
      <c r="V26" s="283"/>
      <c r="W26" s="283"/>
      <c r="X26" s="283"/>
      <c r="Y26" s="283"/>
    </row>
    <row r="27" ht="22.5" customHeight="1">
      <c r="A27" s="283"/>
      <c r="B27" s="287">
        <v>23.0</v>
      </c>
      <c r="C27" s="293" t="s">
        <v>539</v>
      </c>
      <c r="D27" s="289" t="s">
        <v>1481</v>
      </c>
      <c r="E27" s="288" t="s">
        <v>1573</v>
      </c>
      <c r="F27" s="293" t="s">
        <v>26</v>
      </c>
      <c r="G27" s="300" t="s">
        <v>1608</v>
      </c>
      <c r="H27" s="300" t="s">
        <v>1609</v>
      </c>
      <c r="I27" s="305">
        <v>8.108240707E9</v>
      </c>
      <c r="J27" s="297" t="s">
        <v>1610</v>
      </c>
      <c r="K27" s="301" t="s">
        <v>1611</v>
      </c>
      <c r="L27" s="288" t="s">
        <v>1612</v>
      </c>
      <c r="M27" s="288" t="s">
        <v>1487</v>
      </c>
      <c r="N27" s="289" t="s">
        <v>46</v>
      </c>
      <c r="O27" s="293"/>
      <c r="P27" s="295">
        <v>46043.0</v>
      </c>
      <c r="Q27" s="302" t="s">
        <v>1613</v>
      </c>
      <c r="R27" s="303"/>
      <c r="S27" s="283"/>
      <c r="T27" s="283"/>
      <c r="U27" s="283"/>
      <c r="V27" s="283"/>
      <c r="W27" s="283"/>
      <c r="X27" s="283"/>
      <c r="Y27" s="283"/>
    </row>
    <row r="28" ht="22.5" customHeight="1">
      <c r="A28" s="283"/>
      <c r="B28" s="287">
        <v>24.0</v>
      </c>
      <c r="C28" s="288" t="s">
        <v>25</v>
      </c>
      <c r="D28" s="289" t="s">
        <v>1481</v>
      </c>
      <c r="E28" s="288" t="s">
        <v>1614</v>
      </c>
      <c r="F28" s="288" t="s">
        <v>26</v>
      </c>
      <c r="G28" s="301" t="s">
        <v>592</v>
      </c>
      <c r="H28" s="301" t="s">
        <v>479</v>
      </c>
      <c r="I28" s="305">
        <v>9.820025529E9</v>
      </c>
      <c r="J28" s="297" t="s">
        <v>1615</v>
      </c>
      <c r="K28" s="305" t="s">
        <v>1616</v>
      </c>
      <c r="L28" s="288" t="s">
        <v>1617</v>
      </c>
      <c r="M28" s="288" t="s">
        <v>1618</v>
      </c>
      <c r="N28" s="289" t="s">
        <v>46</v>
      </c>
      <c r="O28" s="293"/>
      <c r="P28" s="295">
        <v>46043.0</v>
      </c>
      <c r="Q28" s="302" t="s">
        <v>1619</v>
      </c>
      <c r="R28" s="303"/>
      <c r="S28" s="283"/>
      <c r="T28" s="283"/>
      <c r="U28" s="283"/>
      <c r="V28" s="283"/>
      <c r="W28" s="283"/>
      <c r="X28" s="283"/>
      <c r="Y28" s="283"/>
    </row>
    <row r="29" ht="22.5" customHeight="1">
      <c r="A29" s="306"/>
      <c r="B29" s="287">
        <v>25.0</v>
      </c>
      <c r="C29" s="288" t="s">
        <v>25</v>
      </c>
      <c r="D29" s="289" t="s">
        <v>32</v>
      </c>
      <c r="E29" s="288" t="s">
        <v>1614</v>
      </c>
      <c r="F29" s="288" t="s">
        <v>26</v>
      </c>
      <c r="G29" s="300" t="s">
        <v>1620</v>
      </c>
      <c r="H29" s="300" t="s">
        <v>180</v>
      </c>
      <c r="I29" s="301">
        <v>9.867266669E9</v>
      </c>
      <c r="J29" s="297" t="s">
        <v>1621</v>
      </c>
      <c r="K29" s="300" t="s">
        <v>1622</v>
      </c>
      <c r="L29" s="288">
        <v>2.0</v>
      </c>
      <c r="M29" s="288" t="s">
        <v>1623</v>
      </c>
      <c r="N29" s="289" t="s">
        <v>33</v>
      </c>
      <c r="O29" s="288" t="s">
        <v>1624</v>
      </c>
      <c r="P29" s="295">
        <v>46042.0</v>
      </c>
      <c r="Q29" s="302" t="s">
        <v>1625</v>
      </c>
      <c r="R29" s="303"/>
      <c r="S29" s="306"/>
      <c r="T29" s="306"/>
      <c r="U29" s="306"/>
      <c r="V29" s="306"/>
      <c r="W29" s="306"/>
      <c r="X29" s="306"/>
      <c r="Y29" s="306"/>
    </row>
    <row r="30" ht="22.5" customHeight="1">
      <c r="A30" s="283"/>
      <c r="B30" s="287">
        <v>26.0</v>
      </c>
      <c r="C30" s="288" t="s">
        <v>25</v>
      </c>
      <c r="D30" s="296"/>
      <c r="E30" s="288" t="s">
        <v>1614</v>
      </c>
      <c r="F30" s="288" t="s">
        <v>26</v>
      </c>
      <c r="G30" s="300" t="s">
        <v>1626</v>
      </c>
      <c r="H30" s="300" t="s">
        <v>1502</v>
      </c>
      <c r="I30" s="301">
        <v>9.820277091E9</v>
      </c>
      <c r="J30" s="297" t="s">
        <v>1627</v>
      </c>
      <c r="K30" s="300" t="s">
        <v>1628</v>
      </c>
      <c r="L30" s="288"/>
      <c r="M30" s="288" t="s">
        <v>1629</v>
      </c>
      <c r="N30" s="289" t="s">
        <v>33</v>
      </c>
      <c r="O30" s="293"/>
      <c r="P30" s="295"/>
      <c r="Q30" s="293"/>
      <c r="R30" s="298"/>
      <c r="S30" s="283"/>
      <c r="T30" s="283"/>
      <c r="U30" s="283"/>
      <c r="V30" s="283"/>
      <c r="W30" s="283"/>
      <c r="X30" s="283"/>
      <c r="Y30" s="283"/>
    </row>
    <row r="31" ht="22.5" customHeight="1">
      <c r="A31" s="306"/>
      <c r="B31" s="287">
        <v>27.0</v>
      </c>
      <c r="C31" s="288" t="s">
        <v>25</v>
      </c>
      <c r="D31" s="296"/>
      <c r="E31" s="288" t="s">
        <v>1614</v>
      </c>
      <c r="F31" s="288" t="s">
        <v>26</v>
      </c>
      <c r="G31" s="300" t="s">
        <v>149</v>
      </c>
      <c r="H31" s="300" t="s">
        <v>1630</v>
      </c>
      <c r="I31" s="301">
        <v>9.13623862E9</v>
      </c>
      <c r="J31" s="297" t="s">
        <v>1631</v>
      </c>
      <c r="K31" s="300" t="s">
        <v>1632</v>
      </c>
      <c r="L31" s="288" t="s">
        <v>1633</v>
      </c>
      <c r="M31" s="288" t="s">
        <v>1618</v>
      </c>
      <c r="N31" s="289" t="s">
        <v>33</v>
      </c>
      <c r="O31" s="288" t="s">
        <v>1488</v>
      </c>
      <c r="P31" s="295">
        <v>46039.0</v>
      </c>
      <c r="Q31" s="302" t="s">
        <v>1634</v>
      </c>
      <c r="R31" s="303"/>
      <c r="S31" s="306"/>
      <c r="T31" s="306"/>
      <c r="U31" s="306"/>
      <c r="V31" s="306"/>
      <c r="W31" s="306"/>
      <c r="X31" s="306"/>
      <c r="Y31" s="306"/>
    </row>
    <row r="32" ht="22.5" hidden="1" customHeight="1">
      <c r="A32" s="283"/>
      <c r="B32" s="287">
        <v>28.0</v>
      </c>
      <c r="C32" s="288" t="s">
        <v>25</v>
      </c>
      <c r="D32" s="296"/>
      <c r="E32" s="295">
        <v>46032.0</v>
      </c>
      <c r="F32" s="288" t="s">
        <v>26</v>
      </c>
      <c r="G32" s="300" t="s">
        <v>405</v>
      </c>
      <c r="H32" s="300" t="s">
        <v>1635</v>
      </c>
      <c r="I32" s="301">
        <v>7.710010366E9</v>
      </c>
      <c r="J32" s="297" t="s">
        <v>1636</v>
      </c>
      <c r="K32" s="300" t="s">
        <v>1637</v>
      </c>
      <c r="L32" s="288">
        <v>1.0</v>
      </c>
      <c r="M32" s="288" t="s">
        <v>1505</v>
      </c>
      <c r="N32" s="290"/>
      <c r="O32" s="288" t="s">
        <v>1595</v>
      </c>
      <c r="P32" s="295">
        <v>46035.0</v>
      </c>
      <c r="Q32" s="302" t="s">
        <v>1638</v>
      </c>
      <c r="R32" s="303"/>
      <c r="S32" s="283"/>
      <c r="T32" s="283"/>
      <c r="U32" s="283"/>
      <c r="V32" s="283"/>
      <c r="W32" s="283"/>
      <c r="X32" s="283"/>
      <c r="Y32" s="283"/>
    </row>
    <row r="33" ht="22.5" hidden="1" customHeight="1">
      <c r="A33" s="283"/>
      <c r="B33" s="287">
        <v>29.0</v>
      </c>
      <c r="C33" s="288" t="s">
        <v>25</v>
      </c>
      <c r="D33" s="296"/>
      <c r="E33" s="295">
        <v>46032.0</v>
      </c>
      <c r="F33" s="288" t="s">
        <v>26</v>
      </c>
      <c r="G33" s="300" t="s">
        <v>1639</v>
      </c>
      <c r="H33" s="300" t="s">
        <v>1640</v>
      </c>
      <c r="I33" s="301">
        <v>9.320037294E9</v>
      </c>
      <c r="J33" s="297" t="s">
        <v>1641</v>
      </c>
      <c r="K33" s="300" t="s">
        <v>1642</v>
      </c>
      <c r="L33" s="288"/>
      <c r="M33" s="288" t="s">
        <v>1643</v>
      </c>
      <c r="N33" s="290"/>
      <c r="O33" s="288" t="s">
        <v>1517</v>
      </c>
      <c r="P33" s="295">
        <v>46042.0</v>
      </c>
      <c r="Q33" s="302" t="s">
        <v>1644</v>
      </c>
      <c r="R33" s="303"/>
      <c r="S33" s="283"/>
      <c r="T33" s="283"/>
      <c r="U33" s="283"/>
      <c r="V33" s="283"/>
      <c r="W33" s="283"/>
      <c r="X33" s="283"/>
      <c r="Y33" s="283"/>
    </row>
    <row r="34" ht="22.5" hidden="1" customHeight="1">
      <c r="A34" s="283"/>
      <c r="B34" s="287">
        <v>30.0</v>
      </c>
      <c r="C34" s="288" t="s">
        <v>25</v>
      </c>
      <c r="D34" s="296"/>
      <c r="E34" s="295">
        <v>46032.0</v>
      </c>
      <c r="F34" s="288" t="s">
        <v>26</v>
      </c>
      <c r="G34" s="300" t="s">
        <v>1645</v>
      </c>
      <c r="H34" s="300" t="s">
        <v>1646</v>
      </c>
      <c r="I34" s="301">
        <v>9.223439398E9</v>
      </c>
      <c r="J34" s="297" t="s">
        <v>1647</v>
      </c>
      <c r="K34" s="300" t="s">
        <v>1648</v>
      </c>
      <c r="L34" s="288" t="s">
        <v>1649</v>
      </c>
      <c r="M34" s="288" t="s">
        <v>1487</v>
      </c>
      <c r="N34" s="290"/>
      <c r="O34" s="288" t="s">
        <v>1650</v>
      </c>
      <c r="P34" s="295">
        <v>46034.0</v>
      </c>
      <c r="Q34" s="302" t="s">
        <v>1651</v>
      </c>
      <c r="R34" s="303"/>
      <c r="S34" s="283"/>
      <c r="T34" s="283"/>
      <c r="U34" s="283"/>
      <c r="V34" s="283"/>
      <c r="W34" s="283"/>
      <c r="X34" s="283"/>
      <c r="Y34" s="283"/>
    </row>
    <row r="35" ht="22.5" hidden="1" customHeight="1">
      <c r="A35" s="283"/>
      <c r="B35" s="287">
        <v>31.0</v>
      </c>
      <c r="C35" s="288" t="s">
        <v>25</v>
      </c>
      <c r="D35" s="289" t="s">
        <v>1481</v>
      </c>
      <c r="E35" s="295">
        <v>46034.0</v>
      </c>
      <c r="F35" s="288" t="s">
        <v>26</v>
      </c>
      <c r="G35" s="300" t="s">
        <v>1652</v>
      </c>
      <c r="H35" s="300" t="s">
        <v>1653</v>
      </c>
      <c r="I35" s="301">
        <v>7.977337683E9</v>
      </c>
      <c r="J35" s="297" t="s">
        <v>1654</v>
      </c>
      <c r="K35" s="300" t="s">
        <v>1655</v>
      </c>
      <c r="L35" s="288"/>
      <c r="M35" s="288" t="s">
        <v>1656</v>
      </c>
      <c r="N35" s="290"/>
      <c r="O35" s="288"/>
      <c r="P35" s="295">
        <v>46056.0</v>
      </c>
      <c r="Q35" s="302" t="s">
        <v>1657</v>
      </c>
      <c r="R35" s="303"/>
      <c r="S35" s="283"/>
      <c r="T35" s="283"/>
      <c r="U35" s="283"/>
      <c r="V35" s="283"/>
      <c r="W35" s="283"/>
      <c r="X35" s="283"/>
      <c r="Y35" s="283"/>
    </row>
    <row r="36" ht="22.5" hidden="1" customHeight="1">
      <c r="A36" s="283"/>
      <c r="B36" s="287">
        <v>32.0</v>
      </c>
      <c r="C36" s="288" t="s">
        <v>25</v>
      </c>
      <c r="D36" s="289" t="s">
        <v>1481</v>
      </c>
      <c r="E36" s="295">
        <v>46034.0</v>
      </c>
      <c r="F36" s="288" t="s">
        <v>26</v>
      </c>
      <c r="G36" s="300" t="s">
        <v>1658</v>
      </c>
      <c r="H36" s="300" t="s">
        <v>1659</v>
      </c>
      <c r="I36" s="301">
        <v>9.892201301E9</v>
      </c>
      <c r="J36" s="297" t="s">
        <v>1660</v>
      </c>
      <c r="K36" s="300" t="s">
        <v>1661</v>
      </c>
      <c r="L36" s="288" t="s">
        <v>1662</v>
      </c>
      <c r="M36" s="288" t="s">
        <v>1487</v>
      </c>
      <c r="N36" s="290"/>
      <c r="O36" s="288"/>
      <c r="P36" s="295">
        <v>46056.0</v>
      </c>
      <c r="Q36" s="302" t="s">
        <v>1663</v>
      </c>
      <c r="R36" s="303"/>
      <c r="S36" s="283"/>
      <c r="T36" s="283"/>
      <c r="U36" s="283"/>
      <c r="V36" s="283"/>
      <c r="W36" s="283"/>
      <c r="X36" s="283"/>
      <c r="Y36" s="283"/>
    </row>
    <row r="37" ht="22.5" hidden="1" customHeight="1">
      <c r="A37" s="283"/>
      <c r="B37" s="287">
        <v>33.0</v>
      </c>
      <c r="C37" s="288" t="s">
        <v>25</v>
      </c>
      <c r="D37" s="289"/>
      <c r="E37" s="295">
        <v>46034.0</v>
      </c>
      <c r="F37" s="288" t="s">
        <v>26</v>
      </c>
      <c r="G37" s="300" t="s">
        <v>1664</v>
      </c>
      <c r="H37" s="300" t="s">
        <v>1665</v>
      </c>
      <c r="I37" s="301">
        <v>9.820509904E9</v>
      </c>
      <c r="J37" s="297" t="s">
        <v>1666</v>
      </c>
      <c r="K37" s="300" t="s">
        <v>1667</v>
      </c>
      <c r="L37" s="288" t="s">
        <v>1668</v>
      </c>
      <c r="M37" s="288" t="s">
        <v>1487</v>
      </c>
      <c r="N37" s="290"/>
      <c r="O37" s="288" t="s">
        <v>1537</v>
      </c>
      <c r="P37" s="295">
        <v>46043.0</v>
      </c>
      <c r="Q37" s="302" t="s">
        <v>1669</v>
      </c>
      <c r="R37" s="303"/>
      <c r="S37" s="283"/>
      <c r="T37" s="283"/>
      <c r="U37" s="283"/>
      <c r="V37" s="283"/>
      <c r="W37" s="283"/>
      <c r="X37" s="283"/>
      <c r="Y37" s="283"/>
    </row>
    <row r="38" ht="22.5" hidden="1" customHeight="1">
      <c r="A38" s="283"/>
      <c r="B38" s="287">
        <v>34.0</v>
      </c>
      <c r="C38" s="288" t="s">
        <v>25</v>
      </c>
      <c r="D38" s="289" t="s">
        <v>32</v>
      </c>
      <c r="E38" s="295">
        <v>46034.0</v>
      </c>
      <c r="F38" s="288" t="s">
        <v>26</v>
      </c>
      <c r="G38" s="300" t="s">
        <v>399</v>
      </c>
      <c r="H38" s="300" t="s">
        <v>488</v>
      </c>
      <c r="I38" s="301">
        <v>9.619320119E9</v>
      </c>
      <c r="J38" s="297" t="s">
        <v>489</v>
      </c>
      <c r="K38" s="300" t="s">
        <v>1670</v>
      </c>
      <c r="L38" s="288"/>
      <c r="M38" s="288"/>
      <c r="N38" s="290"/>
      <c r="O38" s="288"/>
      <c r="P38" s="295">
        <v>46046.0</v>
      </c>
      <c r="Q38" s="302" t="s">
        <v>1671</v>
      </c>
      <c r="R38" s="303"/>
      <c r="S38" s="283"/>
      <c r="T38" s="283"/>
      <c r="U38" s="283"/>
      <c r="V38" s="283"/>
      <c r="W38" s="283"/>
      <c r="X38" s="283"/>
      <c r="Y38" s="283"/>
    </row>
    <row r="39" ht="22.5" hidden="1" customHeight="1">
      <c r="A39" s="283"/>
      <c r="B39" s="287">
        <v>35.0</v>
      </c>
      <c r="C39" s="288" t="s">
        <v>25</v>
      </c>
      <c r="D39" s="289"/>
      <c r="E39" s="295">
        <v>46034.0</v>
      </c>
      <c r="F39" s="288" t="s">
        <v>26</v>
      </c>
      <c r="G39" s="300" t="s">
        <v>1672</v>
      </c>
      <c r="H39" s="300" t="s">
        <v>1673</v>
      </c>
      <c r="I39" s="301">
        <v>9.769501923E9</v>
      </c>
      <c r="J39" s="297" t="s">
        <v>1674</v>
      </c>
      <c r="K39" s="300" t="s">
        <v>1675</v>
      </c>
      <c r="L39" s="288" t="s">
        <v>918</v>
      </c>
      <c r="M39" s="288" t="s">
        <v>1505</v>
      </c>
      <c r="N39" s="290"/>
      <c r="O39" s="288"/>
      <c r="P39" s="295"/>
      <c r="Q39" s="293"/>
      <c r="R39" s="298"/>
      <c r="S39" s="283"/>
      <c r="T39" s="283"/>
      <c r="U39" s="283"/>
      <c r="V39" s="283"/>
      <c r="W39" s="283"/>
      <c r="X39" s="283"/>
      <c r="Y39" s="283"/>
    </row>
    <row r="40" ht="22.5" hidden="1" customHeight="1">
      <c r="A40" s="283"/>
      <c r="B40" s="287">
        <v>36.0</v>
      </c>
      <c r="C40" s="288" t="s">
        <v>539</v>
      </c>
      <c r="D40" s="289" t="s">
        <v>32</v>
      </c>
      <c r="E40" s="295">
        <v>46035.0</v>
      </c>
      <c r="F40" s="288" t="s">
        <v>26</v>
      </c>
      <c r="G40" s="300" t="s">
        <v>1676</v>
      </c>
      <c r="H40" s="300" t="s">
        <v>1677</v>
      </c>
      <c r="I40" s="305">
        <v>9.820133016E9</v>
      </c>
      <c r="J40" s="297" t="s">
        <v>1678</v>
      </c>
      <c r="K40" s="305" t="s">
        <v>1679</v>
      </c>
      <c r="L40" s="288" t="s">
        <v>1680</v>
      </c>
      <c r="M40" s="288" t="s">
        <v>1618</v>
      </c>
      <c r="N40" s="290"/>
      <c r="O40" s="288" t="s">
        <v>1681</v>
      </c>
      <c r="P40" s="295">
        <v>46044.0</v>
      </c>
      <c r="Q40" s="307" t="s">
        <v>1682</v>
      </c>
      <c r="R40" s="308"/>
      <c r="S40" s="283"/>
      <c r="T40" s="283"/>
      <c r="U40" s="283"/>
      <c r="V40" s="283"/>
      <c r="W40" s="283"/>
      <c r="X40" s="283"/>
      <c r="Y40" s="283"/>
    </row>
    <row r="41" ht="22.5" hidden="1" customHeight="1">
      <c r="A41" s="306"/>
      <c r="B41" s="287">
        <v>37.0</v>
      </c>
      <c r="C41" s="288" t="s">
        <v>539</v>
      </c>
      <c r="D41" s="289" t="s">
        <v>1481</v>
      </c>
      <c r="E41" s="295">
        <v>46035.0</v>
      </c>
      <c r="F41" s="288" t="s">
        <v>26</v>
      </c>
      <c r="G41" s="301" t="s">
        <v>1683</v>
      </c>
      <c r="H41" s="309" t="s">
        <v>1684</v>
      </c>
      <c r="I41" s="301">
        <v>9.94064216E9</v>
      </c>
      <c r="J41" s="297" t="s">
        <v>1685</v>
      </c>
      <c r="K41" s="305" t="s">
        <v>1686</v>
      </c>
      <c r="L41" s="288"/>
      <c r="M41" s="288"/>
      <c r="N41" s="290"/>
      <c r="O41" s="288"/>
      <c r="P41" s="295">
        <v>46051.0</v>
      </c>
      <c r="Q41" s="307" t="s">
        <v>1687</v>
      </c>
      <c r="R41" s="310"/>
      <c r="S41" s="306"/>
      <c r="T41" s="306"/>
      <c r="U41" s="306"/>
      <c r="V41" s="306"/>
      <c r="W41" s="306"/>
      <c r="X41" s="306"/>
      <c r="Y41" s="306"/>
    </row>
    <row r="42" ht="22.5" hidden="1" customHeight="1">
      <c r="A42" s="283"/>
      <c r="B42" s="287">
        <v>38.0</v>
      </c>
      <c r="C42" s="288" t="s">
        <v>539</v>
      </c>
      <c r="D42" s="289" t="s">
        <v>1481</v>
      </c>
      <c r="E42" s="295">
        <v>46041.0</v>
      </c>
      <c r="F42" s="288" t="s">
        <v>26</v>
      </c>
      <c r="G42" s="300" t="s">
        <v>1688</v>
      </c>
      <c r="H42" s="300" t="s">
        <v>1689</v>
      </c>
      <c r="I42" s="301">
        <v>9.930002615E9</v>
      </c>
      <c r="J42" s="297" t="s">
        <v>1690</v>
      </c>
      <c r="K42" s="304" t="s">
        <v>1691</v>
      </c>
      <c r="L42" s="288" t="s">
        <v>1692</v>
      </c>
      <c r="M42" s="288" t="s">
        <v>1487</v>
      </c>
      <c r="N42" s="290"/>
      <c r="O42" s="288" t="s">
        <v>1488</v>
      </c>
      <c r="P42" s="311">
        <v>46051.0</v>
      </c>
      <c r="Q42" s="302" t="s">
        <v>1693</v>
      </c>
      <c r="R42" s="303"/>
      <c r="S42" s="283"/>
      <c r="T42" s="283"/>
      <c r="U42" s="283"/>
      <c r="V42" s="283"/>
      <c r="W42" s="283"/>
      <c r="X42" s="283"/>
      <c r="Y42" s="283"/>
    </row>
    <row r="43" ht="22.5" hidden="1" customHeight="1">
      <c r="A43" s="283"/>
      <c r="B43" s="287">
        <v>39.0</v>
      </c>
      <c r="C43" s="288" t="s">
        <v>539</v>
      </c>
      <c r="D43" s="289" t="s">
        <v>1481</v>
      </c>
      <c r="E43" s="295">
        <v>46041.0</v>
      </c>
      <c r="F43" s="288" t="s">
        <v>26</v>
      </c>
      <c r="G43" s="300" t="s">
        <v>1694</v>
      </c>
      <c r="H43" s="300" t="s">
        <v>1695</v>
      </c>
      <c r="I43" s="301">
        <v>9.321468885E9</v>
      </c>
      <c r="J43" s="297" t="s">
        <v>1696</v>
      </c>
      <c r="K43" s="300" t="s">
        <v>1697</v>
      </c>
      <c r="L43" s="288"/>
      <c r="M43" s="288"/>
      <c r="N43" s="290"/>
      <c r="O43" s="288"/>
      <c r="P43" s="295">
        <v>46056.0</v>
      </c>
      <c r="Q43" s="302" t="s">
        <v>1698</v>
      </c>
      <c r="R43" s="303"/>
      <c r="S43" s="283"/>
      <c r="T43" s="283"/>
      <c r="U43" s="283"/>
      <c r="V43" s="283"/>
      <c r="W43" s="283"/>
      <c r="X43" s="283"/>
      <c r="Y43" s="283"/>
    </row>
    <row r="44" ht="22.5" hidden="1" customHeight="1">
      <c r="A44" s="283"/>
      <c r="B44" s="287">
        <v>40.0</v>
      </c>
      <c r="C44" s="288" t="s">
        <v>539</v>
      </c>
      <c r="D44" s="289" t="s">
        <v>1481</v>
      </c>
      <c r="E44" s="295">
        <v>46041.0</v>
      </c>
      <c r="F44" s="288" t="s">
        <v>26</v>
      </c>
      <c r="G44" s="300" t="s">
        <v>1699</v>
      </c>
      <c r="H44" s="300" t="s">
        <v>1700</v>
      </c>
      <c r="I44" s="301">
        <v>9.42039824E9</v>
      </c>
      <c r="J44" s="297" t="s">
        <v>1701</v>
      </c>
      <c r="K44" s="300" t="s">
        <v>1702</v>
      </c>
      <c r="L44" s="288">
        <v>1.0</v>
      </c>
      <c r="M44" s="288" t="s">
        <v>1505</v>
      </c>
      <c r="N44" s="290"/>
      <c r="O44" s="288" t="s">
        <v>1517</v>
      </c>
      <c r="P44" s="295">
        <v>46056.0</v>
      </c>
      <c r="Q44" s="302" t="s">
        <v>1703</v>
      </c>
      <c r="R44" s="303"/>
      <c r="S44" s="283"/>
      <c r="T44" s="283"/>
      <c r="U44" s="283"/>
      <c r="V44" s="283"/>
      <c r="W44" s="283"/>
      <c r="X44" s="283"/>
      <c r="Y44" s="283"/>
    </row>
    <row r="45" ht="22.5" hidden="1" customHeight="1">
      <c r="A45" s="283"/>
      <c r="B45" s="287">
        <v>41.0</v>
      </c>
      <c r="C45" s="288" t="s">
        <v>539</v>
      </c>
      <c r="D45" s="289" t="s">
        <v>1481</v>
      </c>
      <c r="E45" s="295">
        <v>46041.0</v>
      </c>
      <c r="F45" s="288" t="s">
        <v>26</v>
      </c>
      <c r="G45" s="300" t="s">
        <v>1704</v>
      </c>
      <c r="H45" s="300" t="s">
        <v>1705</v>
      </c>
      <c r="I45" s="301">
        <v>7.666104099E9</v>
      </c>
      <c r="J45" s="297" t="s">
        <v>1706</v>
      </c>
      <c r="K45" s="300" t="s">
        <v>306</v>
      </c>
      <c r="L45" s="288"/>
      <c r="M45" s="288"/>
      <c r="N45" s="290"/>
      <c r="O45" s="288"/>
      <c r="P45" s="295">
        <v>46056.0</v>
      </c>
      <c r="Q45" s="302" t="s">
        <v>1707</v>
      </c>
      <c r="R45" s="303"/>
      <c r="S45" s="283"/>
      <c r="T45" s="283"/>
      <c r="U45" s="283"/>
      <c r="V45" s="283"/>
      <c r="W45" s="283"/>
      <c r="X45" s="283"/>
      <c r="Y45" s="283"/>
    </row>
    <row r="46" ht="22.5" hidden="1" customHeight="1">
      <c r="A46" s="283"/>
      <c r="B46" s="287">
        <v>42.0</v>
      </c>
      <c r="C46" s="288" t="s">
        <v>25</v>
      </c>
      <c r="D46" s="289" t="s">
        <v>1481</v>
      </c>
      <c r="E46" s="295">
        <v>46041.0</v>
      </c>
      <c r="F46" s="288" t="s">
        <v>26</v>
      </c>
      <c r="G46" s="301" t="s">
        <v>38</v>
      </c>
      <c r="H46" s="301" t="s">
        <v>1708</v>
      </c>
      <c r="I46" s="301">
        <v>9.867099994E9</v>
      </c>
      <c r="J46" s="297" t="s">
        <v>1709</v>
      </c>
      <c r="K46" s="300" t="s">
        <v>1710</v>
      </c>
      <c r="L46" s="288" t="s">
        <v>1711</v>
      </c>
      <c r="M46" s="288" t="s">
        <v>1487</v>
      </c>
      <c r="N46" s="290"/>
      <c r="O46" s="288" t="s">
        <v>1712</v>
      </c>
      <c r="P46" s="295">
        <v>46056.0</v>
      </c>
      <c r="Q46" s="302" t="s">
        <v>1713</v>
      </c>
      <c r="R46" s="303"/>
      <c r="S46" s="283"/>
      <c r="T46" s="283"/>
      <c r="U46" s="283"/>
      <c r="V46" s="283"/>
      <c r="W46" s="283"/>
      <c r="X46" s="283"/>
      <c r="Y46" s="283"/>
    </row>
    <row r="47" ht="22.5" hidden="1" customHeight="1">
      <c r="A47" s="283"/>
      <c r="B47" s="287">
        <v>43.0</v>
      </c>
      <c r="C47" s="288" t="s">
        <v>25</v>
      </c>
      <c r="D47" s="289"/>
      <c r="E47" s="295">
        <v>46041.0</v>
      </c>
      <c r="F47" s="288" t="s">
        <v>26</v>
      </c>
      <c r="G47" s="300" t="s">
        <v>1714</v>
      </c>
      <c r="H47" s="300" t="s">
        <v>1715</v>
      </c>
      <c r="I47" s="301">
        <v>9.28436722E9</v>
      </c>
      <c r="J47" s="297" t="s">
        <v>1716</v>
      </c>
      <c r="K47" s="300" t="s">
        <v>1717</v>
      </c>
      <c r="L47" s="288"/>
      <c r="M47" s="288"/>
      <c r="N47" s="290"/>
      <c r="O47" s="288"/>
      <c r="P47" s="295">
        <v>46043.0</v>
      </c>
      <c r="Q47" s="302" t="s">
        <v>1718</v>
      </c>
      <c r="R47" s="303"/>
      <c r="S47" s="283"/>
      <c r="T47" s="283"/>
      <c r="U47" s="283"/>
      <c r="V47" s="283"/>
      <c r="W47" s="283"/>
      <c r="X47" s="283"/>
      <c r="Y47" s="283"/>
    </row>
    <row r="48" ht="22.5" hidden="1" customHeight="1">
      <c r="A48" s="283"/>
      <c r="B48" s="287">
        <v>44.0</v>
      </c>
      <c r="C48" s="288" t="s">
        <v>25</v>
      </c>
      <c r="D48" s="289" t="s">
        <v>1481</v>
      </c>
      <c r="E48" s="295">
        <v>46041.0</v>
      </c>
      <c r="F48" s="288" t="s">
        <v>26</v>
      </c>
      <c r="G48" s="300" t="s">
        <v>43</v>
      </c>
      <c r="H48" s="300" t="s">
        <v>1719</v>
      </c>
      <c r="I48" s="301">
        <v>9.769947816E9</v>
      </c>
      <c r="J48" s="297" t="s">
        <v>1720</v>
      </c>
      <c r="K48" s="300" t="s">
        <v>1616</v>
      </c>
      <c r="L48" s="288"/>
      <c r="M48" s="288"/>
      <c r="N48" s="290"/>
      <c r="O48" s="288"/>
      <c r="P48" s="295">
        <v>46056.0</v>
      </c>
      <c r="Q48" s="302" t="s">
        <v>1721</v>
      </c>
      <c r="R48" s="303"/>
      <c r="S48" s="283"/>
      <c r="T48" s="283"/>
      <c r="U48" s="283"/>
      <c r="V48" s="283"/>
      <c r="W48" s="283"/>
      <c r="X48" s="283"/>
      <c r="Y48" s="283"/>
    </row>
    <row r="49" ht="22.5" hidden="1" customHeight="1">
      <c r="A49" s="283"/>
      <c r="B49" s="287">
        <v>45.0</v>
      </c>
      <c r="C49" s="288" t="s">
        <v>25</v>
      </c>
      <c r="D49" s="289" t="s">
        <v>1481</v>
      </c>
      <c r="E49" s="295">
        <v>46041.0</v>
      </c>
      <c r="F49" s="288" t="s">
        <v>26</v>
      </c>
      <c r="G49" s="300" t="s">
        <v>1722</v>
      </c>
      <c r="H49" s="300" t="s">
        <v>1723</v>
      </c>
      <c r="I49" s="301">
        <v>9.004994164E9</v>
      </c>
      <c r="J49" s="297" t="s">
        <v>1724</v>
      </c>
      <c r="K49" s="300" t="s">
        <v>44</v>
      </c>
      <c r="L49" s="288"/>
      <c r="M49" s="288"/>
      <c r="N49" s="290"/>
      <c r="O49" s="288"/>
      <c r="P49" s="295">
        <v>46056.0</v>
      </c>
      <c r="Q49" s="302" t="s">
        <v>1725</v>
      </c>
      <c r="R49" s="303"/>
      <c r="S49" s="283"/>
      <c r="T49" s="283"/>
      <c r="U49" s="283"/>
      <c r="V49" s="283"/>
      <c r="W49" s="283"/>
      <c r="X49" s="283"/>
      <c r="Y49" s="283"/>
    </row>
    <row r="50" ht="22.5" hidden="1" customHeight="1">
      <c r="A50" s="283"/>
      <c r="B50" s="287">
        <v>46.0</v>
      </c>
      <c r="C50" s="288" t="s">
        <v>25</v>
      </c>
      <c r="D50" s="289"/>
      <c r="E50" s="295">
        <v>46041.0</v>
      </c>
      <c r="F50" s="288" t="s">
        <v>26</v>
      </c>
      <c r="G50" s="300" t="s">
        <v>1726</v>
      </c>
      <c r="H50" s="300" t="s">
        <v>1727</v>
      </c>
      <c r="I50" s="301">
        <v>9.773196889E9</v>
      </c>
      <c r="J50" s="297" t="s">
        <v>1728</v>
      </c>
      <c r="K50" s="300" t="s">
        <v>1729</v>
      </c>
      <c r="L50" s="288" t="s">
        <v>1711</v>
      </c>
      <c r="M50" s="288" t="s">
        <v>1487</v>
      </c>
      <c r="N50" s="290"/>
      <c r="O50" s="288" t="s">
        <v>1488</v>
      </c>
      <c r="P50" s="295">
        <v>46043.0</v>
      </c>
      <c r="Q50" s="302" t="s">
        <v>1730</v>
      </c>
      <c r="R50" s="303"/>
      <c r="S50" s="283"/>
      <c r="T50" s="283"/>
      <c r="U50" s="283"/>
      <c r="V50" s="283"/>
      <c r="W50" s="283"/>
      <c r="X50" s="283"/>
      <c r="Y50" s="283"/>
    </row>
    <row r="51" ht="22.5" hidden="1" customHeight="1">
      <c r="A51" s="283"/>
      <c r="B51" s="287">
        <v>47.0</v>
      </c>
      <c r="C51" s="288" t="s">
        <v>25</v>
      </c>
      <c r="D51" s="289" t="s">
        <v>32</v>
      </c>
      <c r="E51" s="295">
        <v>46042.0</v>
      </c>
      <c r="F51" s="288" t="s">
        <v>26</v>
      </c>
      <c r="G51" s="301" t="s">
        <v>405</v>
      </c>
      <c r="H51" s="301" t="s">
        <v>1731</v>
      </c>
      <c r="I51" s="301">
        <v>9.869019187E9</v>
      </c>
      <c r="J51" s="297" t="s">
        <v>1732</v>
      </c>
      <c r="K51" s="300" t="s">
        <v>1733</v>
      </c>
      <c r="L51" s="288" t="s">
        <v>1734</v>
      </c>
      <c r="M51" s="288" t="s">
        <v>1735</v>
      </c>
      <c r="N51" s="290"/>
      <c r="O51" s="288" t="s">
        <v>1488</v>
      </c>
      <c r="P51" s="295">
        <v>46056.0</v>
      </c>
      <c r="Q51" s="302" t="s">
        <v>1736</v>
      </c>
      <c r="R51" s="303"/>
      <c r="S51" s="283"/>
      <c r="T51" s="283"/>
      <c r="U51" s="283"/>
      <c r="V51" s="283"/>
      <c r="W51" s="283"/>
      <c r="X51" s="283"/>
      <c r="Y51" s="283"/>
    </row>
    <row r="52" ht="22.5" hidden="1" customHeight="1">
      <c r="A52" s="306"/>
      <c r="B52" s="287">
        <v>48.0</v>
      </c>
      <c r="C52" s="288" t="s">
        <v>25</v>
      </c>
      <c r="D52" s="289" t="s">
        <v>1481</v>
      </c>
      <c r="E52" s="295">
        <v>46043.0</v>
      </c>
      <c r="F52" s="288" t="s">
        <v>26</v>
      </c>
      <c r="G52" s="300" t="s">
        <v>1737</v>
      </c>
      <c r="H52" s="300" t="s">
        <v>1738</v>
      </c>
      <c r="I52" s="301">
        <v>9.820029087E9</v>
      </c>
      <c r="J52" s="297" t="s">
        <v>1739</v>
      </c>
      <c r="K52" s="300" t="s">
        <v>1740</v>
      </c>
      <c r="L52" s="288"/>
      <c r="M52" s="288"/>
      <c r="N52" s="290"/>
      <c r="O52" s="288"/>
      <c r="P52" s="311">
        <v>46051.0</v>
      </c>
      <c r="Q52" s="302" t="s">
        <v>1741</v>
      </c>
      <c r="R52" s="312" t="s">
        <v>1742</v>
      </c>
      <c r="S52" s="306"/>
      <c r="T52" s="306"/>
      <c r="U52" s="306"/>
      <c r="V52" s="306"/>
      <c r="W52" s="306"/>
      <c r="X52" s="306"/>
      <c r="Y52" s="306"/>
    </row>
    <row r="53" ht="22.5" hidden="1" customHeight="1">
      <c r="A53" s="306"/>
      <c r="B53" s="287">
        <v>49.0</v>
      </c>
      <c r="C53" s="288" t="s">
        <v>25</v>
      </c>
      <c r="D53" s="289"/>
      <c r="E53" s="295">
        <v>46043.0</v>
      </c>
      <c r="F53" s="288" t="s">
        <v>26</v>
      </c>
      <c r="G53" s="300" t="s">
        <v>1743</v>
      </c>
      <c r="H53" s="300" t="s">
        <v>369</v>
      </c>
      <c r="I53" s="301">
        <v>9.892162841E9</v>
      </c>
      <c r="J53" s="297" t="s">
        <v>1744</v>
      </c>
      <c r="K53" s="300" t="s">
        <v>1745</v>
      </c>
      <c r="L53" s="288"/>
      <c r="M53" s="288"/>
      <c r="N53" s="290"/>
      <c r="O53" s="288"/>
      <c r="P53" s="295">
        <v>46043.0</v>
      </c>
      <c r="Q53" s="302" t="s">
        <v>1746</v>
      </c>
      <c r="R53" s="303"/>
      <c r="S53" s="306"/>
      <c r="T53" s="306"/>
      <c r="U53" s="306"/>
      <c r="V53" s="306"/>
      <c r="W53" s="306"/>
      <c r="X53" s="306"/>
      <c r="Y53" s="306"/>
    </row>
    <row r="54" ht="22.5" hidden="1" customHeight="1">
      <c r="A54" s="306"/>
      <c r="B54" s="287">
        <v>50.0</v>
      </c>
      <c r="C54" s="288" t="s">
        <v>25</v>
      </c>
      <c r="D54" s="289" t="s">
        <v>1481</v>
      </c>
      <c r="E54" s="295">
        <v>46045.0</v>
      </c>
      <c r="F54" s="288" t="s">
        <v>26</v>
      </c>
      <c r="G54" s="300" t="s">
        <v>1747</v>
      </c>
      <c r="H54" s="300" t="s">
        <v>1748</v>
      </c>
      <c r="I54" s="301">
        <v>9.819587975E9</v>
      </c>
      <c r="J54" s="297" t="s">
        <v>1749</v>
      </c>
      <c r="K54" s="300" t="s">
        <v>1750</v>
      </c>
      <c r="L54" s="288" t="s">
        <v>1751</v>
      </c>
      <c r="M54" s="288"/>
      <c r="N54" s="290"/>
      <c r="O54" s="288"/>
      <c r="P54" s="295">
        <v>46056.0</v>
      </c>
      <c r="Q54" s="302" t="s">
        <v>1752</v>
      </c>
      <c r="R54" s="303"/>
      <c r="S54" s="306"/>
      <c r="T54" s="306"/>
      <c r="U54" s="306"/>
      <c r="V54" s="306"/>
      <c r="W54" s="306"/>
      <c r="X54" s="306"/>
      <c r="Y54" s="306"/>
    </row>
    <row r="55" ht="22.5" hidden="1" customHeight="1">
      <c r="A55" s="306"/>
      <c r="B55" s="287">
        <v>51.0</v>
      </c>
      <c r="C55" s="288" t="s">
        <v>25</v>
      </c>
      <c r="D55" s="289" t="s">
        <v>1481</v>
      </c>
      <c r="E55" s="295">
        <v>46045.0</v>
      </c>
      <c r="F55" s="288" t="s">
        <v>26</v>
      </c>
      <c r="G55" s="300" t="s">
        <v>1753</v>
      </c>
      <c r="H55" s="300" t="s">
        <v>1754</v>
      </c>
      <c r="I55" s="301">
        <v>9.820081917E9</v>
      </c>
      <c r="J55" s="297" t="s">
        <v>1755</v>
      </c>
      <c r="K55" s="300" t="s">
        <v>1756</v>
      </c>
      <c r="L55" s="288"/>
      <c r="M55" s="288"/>
      <c r="N55" s="290"/>
      <c r="O55" s="288"/>
      <c r="P55" s="295">
        <v>46056.0</v>
      </c>
      <c r="Q55" s="302" t="s">
        <v>1757</v>
      </c>
      <c r="R55" s="303"/>
      <c r="S55" s="306"/>
      <c r="T55" s="306"/>
      <c r="U55" s="306"/>
      <c r="V55" s="306"/>
      <c r="W55" s="306"/>
      <c r="X55" s="306"/>
      <c r="Y55" s="306"/>
    </row>
    <row r="56" ht="22.5" hidden="1" customHeight="1">
      <c r="A56" s="306"/>
      <c r="B56" s="287">
        <v>53.0</v>
      </c>
      <c r="C56" s="288" t="s">
        <v>25</v>
      </c>
      <c r="D56" s="289" t="s">
        <v>1481</v>
      </c>
      <c r="E56" s="295">
        <v>46045.0</v>
      </c>
      <c r="F56" s="288" t="s">
        <v>26</v>
      </c>
      <c r="G56" s="300" t="s">
        <v>1758</v>
      </c>
      <c r="H56" s="300" t="s">
        <v>723</v>
      </c>
      <c r="I56" s="301">
        <v>9.820704488E9</v>
      </c>
      <c r="J56" s="297" t="s">
        <v>1759</v>
      </c>
      <c r="K56" s="300" t="s">
        <v>1760</v>
      </c>
      <c r="L56" s="288"/>
      <c r="M56" s="288"/>
      <c r="N56" s="290"/>
      <c r="O56" s="288"/>
      <c r="P56" s="295">
        <v>46045.0</v>
      </c>
      <c r="Q56" s="302" t="s">
        <v>1761</v>
      </c>
      <c r="R56" s="303"/>
      <c r="S56" s="306"/>
      <c r="T56" s="306"/>
      <c r="U56" s="306"/>
      <c r="V56" s="306"/>
      <c r="W56" s="306"/>
      <c r="X56" s="306"/>
      <c r="Y56" s="306"/>
    </row>
    <row r="57" ht="22.5" hidden="1" customHeight="1">
      <c r="A57" s="283"/>
      <c r="B57" s="287">
        <v>54.0</v>
      </c>
      <c r="C57" s="288" t="s">
        <v>25</v>
      </c>
      <c r="D57" s="289" t="s">
        <v>1481</v>
      </c>
      <c r="E57" s="295">
        <v>46046.0</v>
      </c>
      <c r="F57" s="288" t="s">
        <v>1762</v>
      </c>
      <c r="G57" s="313" t="s">
        <v>902</v>
      </c>
      <c r="H57" s="313" t="s">
        <v>1179</v>
      </c>
      <c r="I57" s="314">
        <v>9.000722939E9</v>
      </c>
      <c r="J57" s="297" t="s">
        <v>1763</v>
      </c>
      <c r="K57" s="313" t="s">
        <v>1764</v>
      </c>
      <c r="L57" s="315"/>
      <c r="M57" s="315"/>
      <c r="N57" s="316"/>
      <c r="O57" s="315"/>
      <c r="P57" s="295">
        <v>46050.0</v>
      </c>
      <c r="Q57" s="317" t="s">
        <v>1765</v>
      </c>
      <c r="R57" s="303"/>
      <c r="S57" s="283"/>
      <c r="T57" s="283"/>
      <c r="U57" s="283"/>
      <c r="V57" s="283"/>
      <c r="W57" s="283"/>
      <c r="X57" s="283"/>
      <c r="Y57" s="283"/>
    </row>
    <row r="58" ht="22.5" hidden="1" customHeight="1">
      <c r="A58" s="283"/>
      <c r="B58" s="287">
        <v>55.0</v>
      </c>
      <c r="C58" s="288" t="s">
        <v>25</v>
      </c>
      <c r="D58" s="289" t="s">
        <v>1481</v>
      </c>
      <c r="E58" s="295">
        <v>46046.0</v>
      </c>
      <c r="F58" s="288" t="s">
        <v>26</v>
      </c>
      <c r="G58" s="313" t="s">
        <v>1766</v>
      </c>
      <c r="H58" s="313" t="s">
        <v>1767</v>
      </c>
      <c r="I58" s="314">
        <v>9.594000059E9</v>
      </c>
      <c r="J58" s="297" t="s">
        <v>1768</v>
      </c>
      <c r="K58" s="313" t="s">
        <v>1769</v>
      </c>
      <c r="L58" s="315" t="s">
        <v>1770</v>
      </c>
      <c r="M58" s="315" t="s">
        <v>1618</v>
      </c>
      <c r="N58" s="316"/>
      <c r="O58" s="315"/>
      <c r="P58" s="295">
        <v>46056.0</v>
      </c>
      <c r="Q58" s="317" t="s">
        <v>1771</v>
      </c>
      <c r="R58" s="303"/>
      <c r="S58" s="283"/>
      <c r="T58" s="283"/>
      <c r="U58" s="283"/>
      <c r="V58" s="283"/>
      <c r="W58" s="283"/>
      <c r="X58" s="283"/>
      <c r="Y58" s="283"/>
    </row>
    <row r="59" ht="22.5" hidden="1" customHeight="1">
      <c r="A59" s="283"/>
      <c r="B59" s="287">
        <v>56.0</v>
      </c>
      <c r="C59" s="288" t="s">
        <v>25</v>
      </c>
      <c r="D59" s="318" t="s">
        <v>1481</v>
      </c>
      <c r="E59" s="319">
        <v>46049.0</v>
      </c>
      <c r="F59" s="288" t="s">
        <v>26</v>
      </c>
      <c r="G59" s="320" t="s">
        <v>1772</v>
      </c>
      <c r="H59" s="320" t="s">
        <v>1773</v>
      </c>
      <c r="I59" s="320">
        <v>9.819873699E9</v>
      </c>
      <c r="J59" s="320"/>
      <c r="K59" s="320" t="s">
        <v>1774</v>
      </c>
      <c r="L59" s="315" t="s">
        <v>1775</v>
      </c>
      <c r="M59" s="315" t="s">
        <v>1618</v>
      </c>
      <c r="N59" s="316"/>
      <c r="O59" s="315"/>
      <c r="P59" s="319">
        <v>46049.0</v>
      </c>
      <c r="Q59" s="321" t="s">
        <v>1776</v>
      </c>
      <c r="R59" s="322"/>
      <c r="S59" s="283"/>
      <c r="T59" s="283"/>
      <c r="U59" s="283"/>
      <c r="V59" s="283"/>
      <c r="W59" s="283"/>
      <c r="X59" s="283"/>
      <c r="Y59" s="283"/>
    </row>
    <row r="60" ht="22.5" hidden="1" customHeight="1">
      <c r="A60" s="283"/>
      <c r="B60" s="287">
        <v>57.0</v>
      </c>
      <c r="C60" s="288" t="s">
        <v>25</v>
      </c>
      <c r="D60" s="318" t="s">
        <v>1481</v>
      </c>
      <c r="E60" s="319">
        <v>46049.0</v>
      </c>
      <c r="F60" s="288" t="s">
        <v>26</v>
      </c>
      <c r="G60" s="320" t="s">
        <v>1777</v>
      </c>
      <c r="H60" s="320" t="s">
        <v>555</v>
      </c>
      <c r="I60" s="320">
        <v>9.619493633E9</v>
      </c>
      <c r="J60" s="320"/>
      <c r="K60" s="320" t="s">
        <v>1778</v>
      </c>
      <c r="L60" s="315">
        <v>1.0</v>
      </c>
      <c r="M60" s="315" t="s">
        <v>1618</v>
      </c>
      <c r="N60" s="316"/>
      <c r="O60" s="315"/>
      <c r="P60" s="295">
        <v>46056.0</v>
      </c>
      <c r="Q60" s="317" t="s">
        <v>1779</v>
      </c>
      <c r="R60" s="322"/>
      <c r="S60" s="283"/>
      <c r="T60" s="283"/>
      <c r="U60" s="283"/>
      <c r="V60" s="283"/>
      <c r="W60" s="283"/>
      <c r="X60" s="283"/>
      <c r="Y60" s="283"/>
    </row>
    <row r="61" ht="22.5" hidden="1" customHeight="1">
      <c r="A61" s="283"/>
      <c r="B61" s="287">
        <v>58.0</v>
      </c>
      <c r="C61" s="288" t="s">
        <v>25</v>
      </c>
      <c r="D61" s="318" t="s">
        <v>1481</v>
      </c>
      <c r="E61" s="319">
        <v>46049.0</v>
      </c>
      <c r="F61" s="288" t="s">
        <v>26</v>
      </c>
      <c r="G61" s="320" t="s">
        <v>1780</v>
      </c>
      <c r="H61" s="320" t="s">
        <v>1781</v>
      </c>
      <c r="I61" s="320">
        <v>9.820404795E9</v>
      </c>
      <c r="J61" s="320"/>
      <c r="K61" s="320" t="s">
        <v>1782</v>
      </c>
      <c r="L61" s="315" t="s">
        <v>1783</v>
      </c>
      <c r="M61" s="315" t="s">
        <v>1784</v>
      </c>
      <c r="N61" s="316"/>
      <c r="O61" s="315"/>
      <c r="P61" s="295">
        <v>46056.0</v>
      </c>
      <c r="Q61" s="317" t="s">
        <v>1785</v>
      </c>
      <c r="R61" s="322"/>
      <c r="S61" s="283"/>
      <c r="T61" s="283"/>
      <c r="U61" s="283"/>
      <c r="V61" s="283"/>
      <c r="W61" s="283"/>
      <c r="X61" s="283"/>
      <c r="Y61" s="283"/>
    </row>
    <row r="62" ht="22.5" hidden="1" customHeight="1">
      <c r="A62" s="283"/>
      <c r="B62" s="287">
        <v>59.0</v>
      </c>
      <c r="C62" s="288" t="s">
        <v>25</v>
      </c>
      <c r="D62" s="318" t="s">
        <v>32</v>
      </c>
      <c r="E62" s="319">
        <v>46049.0</v>
      </c>
      <c r="F62" s="288" t="s">
        <v>26</v>
      </c>
      <c r="G62" s="320" t="s">
        <v>1786</v>
      </c>
      <c r="H62" s="320" t="s">
        <v>1787</v>
      </c>
      <c r="I62" s="320">
        <v>9.810213922E9</v>
      </c>
      <c r="J62" s="320"/>
      <c r="K62" s="320" t="s">
        <v>1788</v>
      </c>
      <c r="L62" s="315"/>
      <c r="M62" s="315"/>
      <c r="N62" s="316"/>
      <c r="O62" s="315"/>
      <c r="P62" s="295">
        <v>46050.0</v>
      </c>
      <c r="Q62" s="321" t="s">
        <v>1789</v>
      </c>
      <c r="R62" s="322"/>
      <c r="S62" s="283"/>
      <c r="T62" s="283"/>
      <c r="U62" s="283"/>
      <c r="V62" s="283"/>
      <c r="W62" s="283"/>
      <c r="X62" s="283"/>
      <c r="Y62" s="283"/>
    </row>
    <row r="63" ht="22.5" hidden="1" customHeight="1">
      <c r="A63" s="283"/>
      <c r="B63" s="287">
        <v>60.0</v>
      </c>
      <c r="C63" s="288" t="s">
        <v>25</v>
      </c>
      <c r="D63" s="318"/>
      <c r="E63" s="319">
        <v>46049.0</v>
      </c>
      <c r="F63" s="288" t="s">
        <v>26</v>
      </c>
      <c r="G63" s="320" t="s">
        <v>1790</v>
      </c>
      <c r="H63" s="320" t="s">
        <v>1791</v>
      </c>
      <c r="I63" s="320">
        <v>8.454802509E9</v>
      </c>
      <c r="J63" s="320"/>
      <c r="K63" s="320"/>
      <c r="L63" s="315" t="s">
        <v>1775</v>
      </c>
      <c r="M63" s="315" t="s">
        <v>1618</v>
      </c>
      <c r="N63" s="316"/>
      <c r="O63" s="315"/>
      <c r="P63" s="319">
        <v>46049.0</v>
      </c>
      <c r="Q63" s="323" t="s">
        <v>1792</v>
      </c>
      <c r="R63" s="322"/>
      <c r="S63" s="283"/>
      <c r="T63" s="283"/>
      <c r="U63" s="283"/>
      <c r="V63" s="283"/>
      <c r="W63" s="283"/>
      <c r="X63" s="283"/>
      <c r="Y63" s="283"/>
    </row>
    <row r="64" ht="22.5" hidden="1" customHeight="1">
      <c r="A64" s="283"/>
      <c r="B64" s="287">
        <v>61.0</v>
      </c>
      <c r="C64" s="288" t="s">
        <v>25</v>
      </c>
      <c r="D64" s="318" t="s">
        <v>1481</v>
      </c>
      <c r="E64" s="319">
        <v>46050.0</v>
      </c>
      <c r="F64" s="288" t="s">
        <v>26</v>
      </c>
      <c r="G64" s="320" t="s">
        <v>1793</v>
      </c>
      <c r="H64" s="320" t="s">
        <v>1794</v>
      </c>
      <c r="I64" s="320">
        <v>7.506642603E9</v>
      </c>
      <c r="J64" s="320"/>
      <c r="K64" s="320" t="s">
        <v>1795</v>
      </c>
      <c r="L64" s="315"/>
      <c r="M64" s="315"/>
      <c r="N64" s="316"/>
      <c r="O64" s="315"/>
      <c r="P64" s="295">
        <v>46052.0</v>
      </c>
      <c r="Q64" s="323" t="s">
        <v>1796</v>
      </c>
      <c r="R64" s="322"/>
      <c r="S64" s="283"/>
      <c r="T64" s="283"/>
      <c r="U64" s="283"/>
      <c r="V64" s="283"/>
      <c r="W64" s="283"/>
      <c r="X64" s="283"/>
      <c r="Y64" s="283"/>
    </row>
    <row r="65" ht="22.5" hidden="1" customHeight="1">
      <c r="A65" s="283"/>
      <c r="B65" s="287">
        <v>62.0</v>
      </c>
      <c r="C65" s="288" t="s">
        <v>25</v>
      </c>
      <c r="D65" s="289" t="s">
        <v>1481</v>
      </c>
      <c r="E65" s="295">
        <v>46051.0</v>
      </c>
      <c r="F65" s="288" t="s">
        <v>26</v>
      </c>
      <c r="G65" s="324" t="s">
        <v>1797</v>
      </c>
      <c r="H65" s="324" t="s">
        <v>1798</v>
      </c>
      <c r="I65" s="324">
        <v>8.850110026E9</v>
      </c>
      <c r="J65" s="324"/>
      <c r="K65" s="324" t="s">
        <v>1799</v>
      </c>
      <c r="L65" s="288">
        <v>1.0</v>
      </c>
      <c r="M65" s="288" t="s">
        <v>1618</v>
      </c>
      <c r="N65" s="290"/>
      <c r="O65" s="288"/>
      <c r="P65" s="295">
        <v>46056.0</v>
      </c>
      <c r="Q65" s="325" t="s">
        <v>1800</v>
      </c>
      <c r="R65" s="326"/>
      <c r="S65" s="283"/>
      <c r="T65" s="283"/>
      <c r="U65" s="283"/>
      <c r="V65" s="283"/>
      <c r="W65" s="283"/>
      <c r="X65" s="283"/>
      <c r="Y65" s="283"/>
    </row>
    <row r="66" ht="22.5" hidden="1" customHeight="1">
      <c r="A66" s="283"/>
      <c r="B66" s="287">
        <v>63.0</v>
      </c>
      <c r="C66" s="288" t="s">
        <v>25</v>
      </c>
      <c r="D66" s="289" t="s">
        <v>1481</v>
      </c>
      <c r="E66" s="295">
        <v>46051.0</v>
      </c>
      <c r="F66" s="288" t="s">
        <v>26</v>
      </c>
      <c r="G66" s="324" t="s">
        <v>1793</v>
      </c>
      <c r="H66" s="324" t="s">
        <v>1801</v>
      </c>
      <c r="I66" s="324">
        <v>8.104082457E9</v>
      </c>
      <c r="J66" s="324"/>
      <c r="K66" s="324" t="s">
        <v>1802</v>
      </c>
      <c r="L66" s="288"/>
      <c r="M66" s="288"/>
      <c r="N66" s="290"/>
      <c r="O66" s="288"/>
      <c r="P66" s="295">
        <v>46056.0</v>
      </c>
      <c r="Q66" s="325" t="s">
        <v>1803</v>
      </c>
      <c r="R66" s="326"/>
      <c r="S66" s="283"/>
      <c r="T66" s="283"/>
      <c r="U66" s="283"/>
      <c r="V66" s="283"/>
      <c r="W66" s="283"/>
      <c r="X66" s="283"/>
      <c r="Y66" s="283"/>
    </row>
    <row r="67" ht="22.5" hidden="1" customHeight="1">
      <c r="A67" s="283"/>
      <c r="B67" s="287">
        <v>64.0</v>
      </c>
      <c r="C67" s="288" t="s">
        <v>25</v>
      </c>
      <c r="D67" s="318" t="s">
        <v>1481</v>
      </c>
      <c r="E67" s="295">
        <v>46052.0</v>
      </c>
      <c r="F67" s="288" t="s">
        <v>26</v>
      </c>
      <c r="G67" s="327" t="s">
        <v>1804</v>
      </c>
      <c r="H67" s="327" t="s">
        <v>1805</v>
      </c>
      <c r="I67" s="327">
        <v>8.65247453E9</v>
      </c>
      <c r="J67" s="327"/>
      <c r="K67" s="327" t="s">
        <v>1806</v>
      </c>
      <c r="L67" s="315"/>
      <c r="M67" s="315"/>
      <c r="N67" s="316"/>
      <c r="O67" s="315"/>
      <c r="P67" s="295">
        <v>46052.0</v>
      </c>
      <c r="Q67" s="328" t="s">
        <v>1807</v>
      </c>
      <c r="R67" s="322"/>
      <c r="S67" s="283"/>
      <c r="T67" s="283"/>
      <c r="U67" s="283"/>
      <c r="V67" s="283"/>
      <c r="W67" s="283"/>
      <c r="X67" s="283"/>
      <c r="Y67" s="283"/>
    </row>
    <row r="68" ht="18.0" customHeight="1">
      <c r="A68" s="283"/>
      <c r="B68" s="329">
        <v>65.0</v>
      </c>
      <c r="C68" s="288" t="s">
        <v>25</v>
      </c>
      <c r="D68" s="318" t="s">
        <v>1481</v>
      </c>
      <c r="E68" s="319">
        <v>46054.0</v>
      </c>
      <c r="F68" s="288" t="s">
        <v>26</v>
      </c>
      <c r="G68" s="327" t="s">
        <v>586</v>
      </c>
      <c r="H68" s="327" t="s">
        <v>1808</v>
      </c>
      <c r="I68" s="327">
        <v>9.820035931E9</v>
      </c>
      <c r="J68" s="327"/>
      <c r="K68" s="327" t="s">
        <v>1809</v>
      </c>
      <c r="L68" s="315"/>
      <c r="M68" s="315"/>
      <c r="N68" s="318" t="s">
        <v>33</v>
      </c>
      <c r="O68" s="315"/>
      <c r="P68" s="319">
        <v>46055.0</v>
      </c>
      <c r="Q68" s="328" t="s">
        <v>1810</v>
      </c>
      <c r="R68" s="322"/>
      <c r="S68" s="283"/>
      <c r="T68" s="283"/>
      <c r="U68" s="283"/>
      <c r="V68" s="283"/>
      <c r="W68" s="283"/>
      <c r="X68" s="283"/>
      <c r="Y68" s="283"/>
    </row>
    <row r="69" ht="17.25" customHeight="1">
      <c r="A69" s="330"/>
      <c r="B69" s="331">
        <v>66.0</v>
      </c>
      <c r="C69" s="332" t="s">
        <v>25</v>
      </c>
      <c r="D69" s="333" t="s">
        <v>1481</v>
      </c>
      <c r="E69" s="334">
        <v>46054.0</v>
      </c>
      <c r="F69" s="332" t="s">
        <v>26</v>
      </c>
      <c r="G69" s="335" t="s">
        <v>1811</v>
      </c>
      <c r="H69" s="335"/>
      <c r="I69" s="335">
        <v>9.32605976E9</v>
      </c>
      <c r="J69" s="335"/>
      <c r="K69" s="335" t="s">
        <v>1812</v>
      </c>
      <c r="L69" s="332"/>
      <c r="M69" s="332"/>
      <c r="N69" s="333" t="s">
        <v>46</v>
      </c>
      <c r="O69" s="332"/>
      <c r="P69" s="334">
        <v>46056.0</v>
      </c>
      <c r="Q69" s="336" t="s">
        <v>1813</v>
      </c>
      <c r="R69" s="337"/>
      <c r="S69" s="330"/>
      <c r="T69" s="330"/>
      <c r="U69" s="330"/>
      <c r="V69" s="330"/>
      <c r="W69" s="330"/>
      <c r="X69" s="330"/>
      <c r="Y69" s="330"/>
    </row>
    <row r="70" ht="22.5" customHeight="1">
      <c r="A70" s="283"/>
      <c r="B70" s="287">
        <v>67.0</v>
      </c>
      <c r="C70" s="288" t="s">
        <v>25</v>
      </c>
      <c r="D70" s="318" t="s">
        <v>32</v>
      </c>
      <c r="E70" s="319">
        <v>46054.0</v>
      </c>
      <c r="F70" s="288" t="s">
        <v>26</v>
      </c>
      <c r="G70" s="327" t="s">
        <v>1814</v>
      </c>
      <c r="H70" s="327" t="s">
        <v>1815</v>
      </c>
      <c r="I70" s="327">
        <v>8.964027737E9</v>
      </c>
      <c r="J70" s="327"/>
      <c r="K70" s="327" t="s">
        <v>1816</v>
      </c>
      <c r="L70" s="315" t="s">
        <v>1817</v>
      </c>
      <c r="M70" s="315" t="s">
        <v>1618</v>
      </c>
      <c r="N70" s="318" t="s">
        <v>33</v>
      </c>
      <c r="O70" s="315"/>
      <c r="P70" s="295">
        <v>46056.0</v>
      </c>
      <c r="Q70" s="328" t="s">
        <v>1818</v>
      </c>
      <c r="R70" s="322"/>
      <c r="S70" s="283"/>
      <c r="T70" s="283"/>
      <c r="U70" s="283"/>
      <c r="V70" s="283"/>
      <c r="W70" s="283"/>
      <c r="X70" s="283"/>
      <c r="Y70" s="283"/>
    </row>
    <row r="71" ht="22.5" customHeight="1">
      <c r="A71" s="330"/>
      <c r="B71" s="331">
        <v>68.0</v>
      </c>
      <c r="C71" s="332" t="s">
        <v>25</v>
      </c>
      <c r="D71" s="333" t="s">
        <v>1481</v>
      </c>
      <c r="E71" s="334">
        <v>46055.0</v>
      </c>
      <c r="F71" s="332" t="s">
        <v>26</v>
      </c>
      <c r="G71" s="335" t="s">
        <v>1819</v>
      </c>
      <c r="H71" s="335" t="s">
        <v>1820</v>
      </c>
      <c r="I71" s="335">
        <v>8.652103136E9</v>
      </c>
      <c r="J71" s="335"/>
      <c r="K71" s="335" t="s">
        <v>1821</v>
      </c>
      <c r="L71" s="332"/>
      <c r="M71" s="332"/>
      <c r="N71" s="333" t="s">
        <v>95</v>
      </c>
      <c r="O71" s="332"/>
      <c r="P71" s="334">
        <v>46056.0</v>
      </c>
      <c r="Q71" s="336" t="s">
        <v>1822</v>
      </c>
      <c r="R71" s="337"/>
      <c r="S71" s="330"/>
      <c r="T71" s="330"/>
      <c r="U71" s="330"/>
      <c r="V71" s="330"/>
      <c r="W71" s="330"/>
      <c r="X71" s="330"/>
      <c r="Y71" s="330"/>
    </row>
    <row r="72" ht="22.5" customHeight="1">
      <c r="A72" s="283"/>
      <c r="B72" s="329">
        <v>69.0</v>
      </c>
      <c r="C72" s="288" t="s">
        <v>25</v>
      </c>
      <c r="D72" s="318" t="s">
        <v>1481</v>
      </c>
      <c r="E72" s="319">
        <v>46055.0</v>
      </c>
      <c r="F72" s="288" t="s">
        <v>26</v>
      </c>
      <c r="G72" s="327" t="s">
        <v>423</v>
      </c>
      <c r="H72" s="327" t="s">
        <v>1823</v>
      </c>
      <c r="I72" s="327">
        <v>9.820153042E9</v>
      </c>
      <c r="J72" s="327"/>
      <c r="K72" s="327" t="s">
        <v>1824</v>
      </c>
      <c r="L72" s="315"/>
      <c r="M72" s="315"/>
      <c r="N72" s="318" t="s">
        <v>33</v>
      </c>
      <c r="O72" s="315" t="s">
        <v>1825</v>
      </c>
      <c r="P72" s="295">
        <v>46056.0</v>
      </c>
      <c r="Q72" s="321" t="s">
        <v>1826</v>
      </c>
      <c r="R72" s="322"/>
      <c r="S72" s="283"/>
      <c r="T72" s="283"/>
      <c r="U72" s="283"/>
      <c r="V72" s="283"/>
      <c r="W72" s="283"/>
      <c r="X72" s="283"/>
      <c r="Y72" s="283"/>
    </row>
    <row r="73" ht="22.5" customHeight="1">
      <c r="A73" s="283"/>
      <c r="B73" s="287">
        <v>70.0</v>
      </c>
      <c r="C73" s="288" t="s">
        <v>25</v>
      </c>
      <c r="D73" s="318" t="s">
        <v>1481</v>
      </c>
      <c r="E73" s="319">
        <v>46055.0</v>
      </c>
      <c r="F73" s="288" t="s">
        <v>26</v>
      </c>
      <c r="G73" s="327" t="s">
        <v>1185</v>
      </c>
      <c r="H73" s="327" t="s">
        <v>1827</v>
      </c>
      <c r="I73" s="327">
        <v>9.619005424E9</v>
      </c>
      <c r="J73" s="327"/>
      <c r="K73" s="327" t="s">
        <v>1828</v>
      </c>
      <c r="L73" s="315"/>
      <c r="M73" s="315"/>
      <c r="N73" s="318" t="s">
        <v>33</v>
      </c>
      <c r="O73" s="315"/>
      <c r="P73" s="319">
        <v>46055.0</v>
      </c>
      <c r="Q73" s="328" t="s">
        <v>1829</v>
      </c>
      <c r="R73" s="322"/>
      <c r="S73" s="283"/>
      <c r="T73" s="283"/>
      <c r="U73" s="283"/>
      <c r="V73" s="283"/>
      <c r="W73" s="283"/>
      <c r="X73" s="283"/>
      <c r="Y73" s="283"/>
    </row>
    <row r="74" ht="22.5" customHeight="1">
      <c r="A74" s="283"/>
      <c r="B74" s="287">
        <v>71.0</v>
      </c>
      <c r="C74" s="288" t="s">
        <v>25</v>
      </c>
      <c r="D74" s="318" t="s">
        <v>1481</v>
      </c>
      <c r="E74" s="319">
        <v>46055.0</v>
      </c>
      <c r="F74" s="288" t="s">
        <v>26</v>
      </c>
      <c r="G74" s="327" t="s">
        <v>1830</v>
      </c>
      <c r="H74" s="327" t="s">
        <v>1831</v>
      </c>
      <c r="I74" s="327">
        <v>9.137647836E9</v>
      </c>
      <c r="J74" s="327"/>
      <c r="K74" s="327" t="s">
        <v>1832</v>
      </c>
      <c r="L74" s="315"/>
      <c r="M74" s="315"/>
      <c r="N74" s="318" t="s">
        <v>95</v>
      </c>
      <c r="O74" s="315"/>
      <c r="P74" s="295">
        <v>46056.0</v>
      </c>
      <c r="Q74" s="328" t="s">
        <v>1833</v>
      </c>
      <c r="R74" s="322"/>
      <c r="S74" s="283"/>
      <c r="T74" s="283"/>
      <c r="U74" s="283"/>
      <c r="V74" s="283"/>
      <c r="W74" s="283"/>
      <c r="X74" s="283"/>
      <c r="Y74" s="283"/>
    </row>
    <row r="75" ht="22.5" customHeight="1">
      <c r="A75" s="283"/>
      <c r="B75" s="287">
        <v>72.0</v>
      </c>
      <c r="C75" s="288" t="s">
        <v>25</v>
      </c>
      <c r="D75" s="318" t="s">
        <v>1481</v>
      </c>
      <c r="E75" s="319">
        <v>46055.0</v>
      </c>
      <c r="F75" s="288" t="s">
        <v>26</v>
      </c>
      <c r="G75" s="327" t="s">
        <v>1834</v>
      </c>
      <c r="H75" s="327" t="s">
        <v>1835</v>
      </c>
      <c r="I75" s="327">
        <v>9.821209191E9</v>
      </c>
      <c r="J75" s="327"/>
      <c r="K75" s="327" t="s">
        <v>1836</v>
      </c>
      <c r="L75" s="315"/>
      <c r="M75" s="315"/>
      <c r="N75" s="318" t="s">
        <v>80</v>
      </c>
      <c r="O75" s="315"/>
      <c r="P75" s="295">
        <v>46056.0</v>
      </c>
      <c r="Q75" s="328" t="s">
        <v>1837</v>
      </c>
      <c r="R75" s="322"/>
      <c r="S75" s="283"/>
      <c r="T75" s="283"/>
      <c r="U75" s="283"/>
      <c r="V75" s="283"/>
      <c r="W75" s="283"/>
      <c r="X75" s="283"/>
      <c r="Y75" s="283"/>
    </row>
    <row r="76" ht="22.5" customHeight="1">
      <c r="A76" s="283"/>
      <c r="B76" s="329">
        <v>73.0</v>
      </c>
      <c r="C76" s="288" t="s">
        <v>25</v>
      </c>
      <c r="D76" s="318" t="s">
        <v>1481</v>
      </c>
      <c r="E76" s="319">
        <v>46055.0</v>
      </c>
      <c r="F76" s="288" t="s">
        <v>26</v>
      </c>
      <c r="G76" s="327" t="s">
        <v>1838</v>
      </c>
      <c r="H76" s="327" t="s">
        <v>1839</v>
      </c>
      <c r="I76" s="327">
        <v>9.820535992E9</v>
      </c>
      <c r="J76" s="327"/>
      <c r="K76" s="327" t="s">
        <v>1840</v>
      </c>
      <c r="L76" s="315"/>
      <c r="M76" s="315"/>
      <c r="N76" s="318" t="s">
        <v>80</v>
      </c>
      <c r="O76" s="315"/>
      <c r="P76" s="295">
        <v>46056.0</v>
      </c>
      <c r="Q76" s="328" t="s">
        <v>1841</v>
      </c>
      <c r="R76" s="322"/>
      <c r="S76" s="283"/>
      <c r="T76" s="283"/>
      <c r="U76" s="283"/>
      <c r="V76" s="283"/>
      <c r="W76" s="283"/>
      <c r="X76" s="283"/>
      <c r="Y76" s="283"/>
    </row>
    <row r="77" ht="22.5" customHeight="1">
      <c r="A77" s="283"/>
      <c r="B77" s="287">
        <v>74.0</v>
      </c>
      <c r="C77" s="288" t="s">
        <v>25</v>
      </c>
      <c r="D77" s="318" t="s">
        <v>1481</v>
      </c>
      <c r="E77" s="319">
        <v>46055.0</v>
      </c>
      <c r="F77" s="288" t="s">
        <v>26</v>
      </c>
      <c r="G77" s="327" t="s">
        <v>1842</v>
      </c>
      <c r="H77" s="327" t="s">
        <v>1843</v>
      </c>
      <c r="I77" s="327">
        <v>7.90070601E9</v>
      </c>
      <c r="J77" s="327"/>
      <c r="K77" s="327" t="s">
        <v>1844</v>
      </c>
      <c r="L77" s="315"/>
      <c r="M77" s="315"/>
      <c r="N77" s="318" t="s">
        <v>33</v>
      </c>
      <c r="O77" s="315"/>
      <c r="P77" s="295">
        <v>46056.0</v>
      </c>
      <c r="Q77" s="328" t="s">
        <v>1845</v>
      </c>
      <c r="R77" s="322"/>
      <c r="S77" s="283"/>
      <c r="T77" s="283"/>
      <c r="U77" s="283"/>
      <c r="V77" s="283"/>
      <c r="W77" s="283"/>
      <c r="X77" s="283"/>
      <c r="Y77" s="283"/>
    </row>
    <row r="78" ht="22.5" customHeight="1">
      <c r="A78" s="283"/>
      <c r="B78" s="287">
        <v>75.0</v>
      </c>
      <c r="C78" s="288" t="s">
        <v>25</v>
      </c>
      <c r="D78" s="318" t="s">
        <v>1481</v>
      </c>
      <c r="E78" s="319">
        <v>46055.0</v>
      </c>
      <c r="F78" s="288" t="s">
        <v>26</v>
      </c>
      <c r="G78" s="327" t="s">
        <v>1846</v>
      </c>
      <c r="H78" s="327" t="s">
        <v>180</v>
      </c>
      <c r="I78" s="327">
        <v>9.8922642E9</v>
      </c>
      <c r="J78" s="327"/>
      <c r="K78" s="327" t="s">
        <v>1847</v>
      </c>
      <c r="L78" s="315"/>
      <c r="M78" s="315"/>
      <c r="N78" s="318" t="s">
        <v>154</v>
      </c>
      <c r="O78" s="315"/>
      <c r="P78" s="319">
        <v>46055.0</v>
      </c>
      <c r="Q78" s="328" t="s">
        <v>1848</v>
      </c>
      <c r="R78" s="322"/>
      <c r="S78" s="283"/>
      <c r="T78" s="283"/>
      <c r="U78" s="283"/>
      <c r="V78" s="283"/>
      <c r="W78" s="283"/>
      <c r="X78" s="283"/>
      <c r="Y78" s="283"/>
    </row>
    <row r="79" ht="22.5" customHeight="1">
      <c r="A79" s="283"/>
      <c r="B79" s="287">
        <v>76.0</v>
      </c>
      <c r="C79" s="288" t="s">
        <v>25</v>
      </c>
      <c r="D79" s="318" t="s">
        <v>1481</v>
      </c>
      <c r="E79" s="319">
        <v>46055.0</v>
      </c>
      <c r="F79" s="288" t="s">
        <v>26</v>
      </c>
      <c r="G79" s="315" t="s">
        <v>1849</v>
      </c>
      <c r="H79" s="327" t="s">
        <v>1808</v>
      </c>
      <c r="I79" s="327">
        <v>9.821499939E9</v>
      </c>
      <c r="J79" s="327"/>
      <c r="K79" s="327" t="s">
        <v>1850</v>
      </c>
      <c r="L79" s="315"/>
      <c r="M79" s="315"/>
      <c r="N79" s="318" t="s">
        <v>33</v>
      </c>
      <c r="O79" s="319"/>
      <c r="P79" s="319">
        <v>46055.0</v>
      </c>
      <c r="Q79" s="328" t="s">
        <v>1851</v>
      </c>
      <c r="R79" s="322"/>
      <c r="S79" s="283"/>
      <c r="T79" s="283"/>
      <c r="U79" s="283"/>
      <c r="V79" s="283"/>
      <c r="W79" s="283"/>
      <c r="X79" s="283"/>
      <c r="Y79" s="283"/>
    </row>
    <row r="80" ht="22.5" customHeight="1">
      <c r="A80" s="283"/>
      <c r="B80" s="329">
        <v>77.0</v>
      </c>
      <c r="C80" s="288" t="s">
        <v>25</v>
      </c>
      <c r="D80" s="318" t="s">
        <v>1481</v>
      </c>
      <c r="E80" s="319">
        <v>46055.0</v>
      </c>
      <c r="F80" s="288" t="s">
        <v>26</v>
      </c>
      <c r="G80" s="315" t="s">
        <v>1185</v>
      </c>
      <c r="H80" s="327" t="s">
        <v>1852</v>
      </c>
      <c r="I80" s="327">
        <v>9.820056296E9</v>
      </c>
      <c r="J80" s="327"/>
      <c r="K80" s="327" t="s">
        <v>1853</v>
      </c>
      <c r="L80" s="315"/>
      <c r="M80" s="315"/>
      <c r="N80" s="318" t="s">
        <v>33</v>
      </c>
      <c r="O80" s="315"/>
      <c r="P80" s="295">
        <v>46056.0</v>
      </c>
      <c r="Q80" s="328" t="s">
        <v>1854</v>
      </c>
      <c r="R80" s="322"/>
      <c r="S80" s="283"/>
      <c r="T80" s="283"/>
      <c r="U80" s="283"/>
      <c r="V80" s="283"/>
      <c r="W80" s="283"/>
      <c r="X80" s="283"/>
      <c r="Y80" s="283"/>
    </row>
    <row r="81" ht="22.5" customHeight="1">
      <c r="A81" s="283"/>
      <c r="B81" s="287">
        <v>78.0</v>
      </c>
      <c r="C81" s="288" t="s">
        <v>25</v>
      </c>
      <c r="D81" s="318" t="s">
        <v>1481</v>
      </c>
      <c r="E81" s="319">
        <v>46056.0</v>
      </c>
      <c r="F81" s="288" t="s">
        <v>26</v>
      </c>
      <c r="G81" s="315" t="s">
        <v>1855</v>
      </c>
      <c r="H81" s="327" t="s">
        <v>1856</v>
      </c>
      <c r="I81" s="327">
        <v>9.082181877E9</v>
      </c>
      <c r="J81" s="327"/>
      <c r="K81" s="327" t="s">
        <v>397</v>
      </c>
      <c r="L81" s="315"/>
      <c r="M81" s="315"/>
      <c r="N81" s="318" t="s">
        <v>46</v>
      </c>
      <c r="O81" s="315"/>
      <c r="P81" s="295">
        <v>46056.0</v>
      </c>
      <c r="Q81" s="328" t="s">
        <v>1857</v>
      </c>
      <c r="R81" s="322"/>
      <c r="S81" s="283"/>
      <c r="T81" s="283"/>
      <c r="U81" s="283"/>
      <c r="V81" s="283"/>
      <c r="W81" s="283"/>
      <c r="X81" s="283"/>
      <c r="Y81" s="283"/>
    </row>
    <row r="82" ht="22.5" customHeight="1">
      <c r="A82" s="283"/>
      <c r="B82" s="287">
        <v>79.0</v>
      </c>
      <c r="C82" s="288" t="s">
        <v>25</v>
      </c>
      <c r="D82" s="318" t="s">
        <v>1481</v>
      </c>
      <c r="E82" s="319">
        <v>46056.0</v>
      </c>
      <c r="F82" s="288" t="s">
        <v>26</v>
      </c>
      <c r="G82" s="315" t="s">
        <v>1858</v>
      </c>
      <c r="H82" s="327" t="s">
        <v>412</v>
      </c>
      <c r="I82" s="327">
        <v>9.165126669E9</v>
      </c>
      <c r="J82" s="327"/>
      <c r="K82" s="327" t="s">
        <v>1859</v>
      </c>
      <c r="L82" s="315" t="s">
        <v>1618</v>
      </c>
      <c r="M82" s="315" t="s">
        <v>1860</v>
      </c>
      <c r="N82" s="318" t="s">
        <v>46</v>
      </c>
      <c r="O82" s="315"/>
      <c r="P82" s="295">
        <v>46056.0</v>
      </c>
      <c r="Q82" s="328" t="s">
        <v>1861</v>
      </c>
      <c r="R82" s="322"/>
      <c r="S82" s="283"/>
      <c r="T82" s="283"/>
      <c r="U82" s="283"/>
      <c r="V82" s="283"/>
      <c r="W82" s="283"/>
      <c r="X82" s="283"/>
      <c r="Y82" s="283"/>
    </row>
    <row r="83" ht="22.5" customHeight="1">
      <c r="A83" s="283"/>
      <c r="B83" s="329">
        <v>80.0</v>
      </c>
      <c r="C83" s="288" t="s">
        <v>25</v>
      </c>
      <c r="D83" s="318" t="s">
        <v>1481</v>
      </c>
      <c r="E83" s="319">
        <v>46057.0</v>
      </c>
      <c r="F83" s="288" t="s">
        <v>26</v>
      </c>
      <c r="G83" s="315" t="s">
        <v>1862</v>
      </c>
      <c r="H83" s="327" t="s">
        <v>1020</v>
      </c>
      <c r="I83" s="327">
        <v>9.029046655E9</v>
      </c>
      <c r="J83" s="327"/>
      <c r="K83" s="327" t="s">
        <v>1863</v>
      </c>
      <c r="L83" s="315" t="s">
        <v>1618</v>
      </c>
      <c r="M83" s="315" t="s">
        <v>1864</v>
      </c>
      <c r="N83" s="318" t="s">
        <v>95</v>
      </c>
      <c r="O83" s="315"/>
      <c r="P83" s="319"/>
      <c r="Q83" s="328" t="s">
        <v>1865</v>
      </c>
      <c r="R83" s="322"/>
      <c r="S83" s="283"/>
      <c r="T83" s="283"/>
      <c r="U83" s="283"/>
      <c r="V83" s="283"/>
      <c r="W83" s="283"/>
      <c r="X83" s="283"/>
      <c r="Y83" s="283"/>
    </row>
    <row r="84" ht="22.5" customHeight="1">
      <c r="A84" s="338"/>
      <c r="B84" s="339">
        <v>81.0</v>
      </c>
      <c r="C84" s="340" t="s">
        <v>25</v>
      </c>
      <c r="D84" s="341" t="s">
        <v>1481</v>
      </c>
      <c r="E84" s="342">
        <v>46057.0</v>
      </c>
      <c r="F84" s="340" t="s">
        <v>26</v>
      </c>
      <c r="G84" s="340" t="s">
        <v>1866</v>
      </c>
      <c r="H84" s="343" t="s">
        <v>1808</v>
      </c>
      <c r="I84" s="343" t="s">
        <v>1867</v>
      </c>
      <c r="J84" s="343"/>
      <c r="K84" s="343"/>
      <c r="L84" s="340"/>
      <c r="M84" s="340" t="s">
        <v>1868</v>
      </c>
      <c r="N84" s="341" t="s">
        <v>46</v>
      </c>
      <c r="O84" s="340"/>
      <c r="P84" s="342"/>
      <c r="Q84" s="344" t="s">
        <v>1869</v>
      </c>
      <c r="R84" s="345"/>
      <c r="S84" s="338"/>
      <c r="T84" s="338"/>
      <c r="U84" s="338"/>
      <c r="V84" s="338"/>
      <c r="W84" s="338"/>
      <c r="X84" s="338"/>
      <c r="Y84" s="338"/>
    </row>
    <row r="85" ht="22.5" customHeight="1">
      <c r="A85" s="283"/>
      <c r="B85" s="287">
        <v>82.0</v>
      </c>
      <c r="C85" s="288" t="s">
        <v>25</v>
      </c>
      <c r="D85" s="318" t="s">
        <v>1481</v>
      </c>
      <c r="E85" s="319">
        <v>46057.0</v>
      </c>
      <c r="F85" s="288" t="s">
        <v>26</v>
      </c>
      <c r="G85" s="315" t="s">
        <v>1870</v>
      </c>
      <c r="H85" s="327" t="s">
        <v>1871</v>
      </c>
      <c r="I85" s="327">
        <v>9.723881165E9</v>
      </c>
      <c r="J85" s="327"/>
      <c r="K85" s="327" t="s">
        <v>1872</v>
      </c>
      <c r="L85" s="315" t="s">
        <v>1618</v>
      </c>
      <c r="M85" s="315" t="s">
        <v>1873</v>
      </c>
      <c r="N85" s="318" t="s">
        <v>46</v>
      </c>
      <c r="O85" s="315"/>
      <c r="P85" s="319"/>
      <c r="Q85" s="328" t="s">
        <v>1874</v>
      </c>
      <c r="R85" s="322"/>
      <c r="S85" s="283"/>
      <c r="T85" s="283"/>
      <c r="U85" s="283"/>
      <c r="V85" s="283"/>
      <c r="W85" s="283"/>
      <c r="X85" s="283"/>
      <c r="Y85" s="283"/>
    </row>
    <row r="86" ht="22.5" customHeight="1">
      <c r="A86" s="283"/>
      <c r="B86" s="329">
        <v>83.0</v>
      </c>
      <c r="C86" s="288" t="s">
        <v>25</v>
      </c>
      <c r="D86" s="318" t="s">
        <v>1481</v>
      </c>
      <c r="E86" s="319">
        <v>46057.0</v>
      </c>
      <c r="F86" s="288" t="s">
        <v>26</v>
      </c>
      <c r="G86" s="315" t="s">
        <v>1875</v>
      </c>
      <c r="H86" s="327" t="s">
        <v>519</v>
      </c>
      <c r="I86" s="327">
        <v>9.029030243E9</v>
      </c>
      <c r="J86" s="327"/>
      <c r="K86" s="327" t="s">
        <v>1876</v>
      </c>
      <c r="L86" s="315" t="s">
        <v>1877</v>
      </c>
      <c r="M86" s="315"/>
      <c r="N86" s="318" t="s">
        <v>46</v>
      </c>
      <c r="O86" s="315"/>
      <c r="P86" s="319"/>
      <c r="Q86" s="328" t="s">
        <v>1878</v>
      </c>
      <c r="R86" s="317" t="s">
        <v>1879</v>
      </c>
      <c r="S86" s="283"/>
      <c r="T86" s="283"/>
      <c r="U86" s="283"/>
      <c r="V86" s="283"/>
      <c r="W86" s="283"/>
      <c r="X86" s="283"/>
      <c r="Y86" s="283"/>
    </row>
    <row r="87" ht="22.5" customHeight="1">
      <c r="A87" s="283"/>
      <c r="B87" s="329">
        <v>84.0</v>
      </c>
      <c r="C87" s="288" t="s">
        <v>25</v>
      </c>
      <c r="D87" s="318" t="s">
        <v>1481</v>
      </c>
      <c r="E87" s="319">
        <v>46058.0</v>
      </c>
      <c r="F87" s="315" t="s">
        <v>26</v>
      </c>
      <c r="G87" s="315" t="s">
        <v>547</v>
      </c>
      <c r="H87" s="327" t="s">
        <v>36</v>
      </c>
      <c r="I87" s="327">
        <v>8.655338477E9</v>
      </c>
      <c r="J87" s="327"/>
      <c r="K87" s="327"/>
      <c r="L87" s="315" t="s">
        <v>1880</v>
      </c>
      <c r="M87" s="315" t="s">
        <v>1881</v>
      </c>
      <c r="N87" s="318" t="s">
        <v>33</v>
      </c>
      <c r="O87" s="315"/>
      <c r="P87" s="319"/>
      <c r="Q87" s="328" t="s">
        <v>1882</v>
      </c>
      <c r="R87" s="322"/>
      <c r="S87" s="283"/>
      <c r="T87" s="283"/>
      <c r="U87" s="283"/>
      <c r="V87" s="283"/>
      <c r="W87" s="283"/>
      <c r="X87" s="283"/>
      <c r="Y87" s="283"/>
    </row>
    <row r="88" ht="22.5" customHeight="1">
      <c r="A88" s="283"/>
      <c r="B88" s="329">
        <v>84.0</v>
      </c>
      <c r="C88" s="288" t="s">
        <v>25</v>
      </c>
      <c r="D88" s="318" t="s">
        <v>1481</v>
      </c>
      <c r="E88" s="319">
        <v>46058.0</v>
      </c>
      <c r="F88" s="315" t="s">
        <v>26</v>
      </c>
      <c r="G88" s="315" t="s">
        <v>1883</v>
      </c>
      <c r="H88" s="327" t="s">
        <v>1884</v>
      </c>
      <c r="I88" s="327">
        <v>9.560575158E9</v>
      </c>
      <c r="J88" s="327"/>
      <c r="K88" s="327" t="s">
        <v>1885</v>
      </c>
      <c r="L88" s="315"/>
      <c r="M88" s="315"/>
      <c r="N88" s="318" t="s">
        <v>46</v>
      </c>
      <c r="O88" s="315"/>
      <c r="P88" s="319"/>
      <c r="Q88" s="328" t="s">
        <v>1886</v>
      </c>
      <c r="R88" s="322"/>
      <c r="S88" s="283"/>
      <c r="T88" s="283"/>
      <c r="U88" s="283"/>
      <c r="V88" s="283"/>
      <c r="W88" s="283"/>
      <c r="X88" s="283"/>
      <c r="Y88" s="283"/>
    </row>
    <row r="89" ht="22.5" customHeight="1">
      <c r="A89" s="283"/>
      <c r="B89" s="329">
        <v>85.0</v>
      </c>
      <c r="C89" s="288" t="s">
        <v>25</v>
      </c>
      <c r="D89" s="318" t="s">
        <v>1481</v>
      </c>
      <c r="E89" s="319">
        <v>46060.0</v>
      </c>
      <c r="F89" s="315" t="s">
        <v>610</v>
      </c>
      <c r="G89" s="315" t="s">
        <v>1887</v>
      </c>
      <c r="H89" s="327" t="s">
        <v>1888</v>
      </c>
      <c r="I89" s="327">
        <v>9.833014773E9</v>
      </c>
      <c r="J89" s="327"/>
      <c r="K89" s="327" t="s">
        <v>1889</v>
      </c>
      <c r="L89" s="315"/>
      <c r="M89" s="315"/>
      <c r="N89" s="318" t="s">
        <v>95</v>
      </c>
      <c r="O89" s="315"/>
      <c r="P89" s="319"/>
      <c r="Q89" s="328" t="s">
        <v>1890</v>
      </c>
      <c r="R89" s="322"/>
      <c r="S89" s="283"/>
      <c r="T89" s="283"/>
      <c r="U89" s="283"/>
      <c r="V89" s="283"/>
      <c r="W89" s="283"/>
      <c r="X89" s="283"/>
      <c r="Y89" s="283"/>
    </row>
    <row r="90" ht="22.5" customHeight="1">
      <c r="A90" s="283"/>
      <c r="B90" s="329">
        <v>86.0</v>
      </c>
      <c r="C90" s="288" t="s">
        <v>25</v>
      </c>
      <c r="D90" s="318" t="s">
        <v>1481</v>
      </c>
      <c r="E90" s="319">
        <v>46060.0</v>
      </c>
      <c r="F90" s="315" t="s">
        <v>610</v>
      </c>
      <c r="G90" s="315" t="s">
        <v>1891</v>
      </c>
      <c r="H90" s="315" t="s">
        <v>1892</v>
      </c>
      <c r="I90" s="327">
        <v>9.930360364E9</v>
      </c>
      <c r="J90" s="327"/>
      <c r="K90" s="327" t="s">
        <v>1893</v>
      </c>
      <c r="L90" s="315"/>
      <c r="M90" s="315"/>
      <c r="N90" s="318" t="s">
        <v>80</v>
      </c>
      <c r="O90" s="315"/>
      <c r="P90" s="319"/>
      <c r="Q90" s="328" t="s">
        <v>1894</v>
      </c>
      <c r="R90" s="322"/>
      <c r="S90" s="283"/>
      <c r="T90" s="283"/>
      <c r="U90" s="283"/>
      <c r="V90" s="283"/>
      <c r="W90" s="283"/>
      <c r="X90" s="283"/>
      <c r="Y90" s="283"/>
    </row>
    <row r="91" ht="22.5" customHeight="1">
      <c r="A91" s="283"/>
      <c r="B91" s="329">
        <v>87.0</v>
      </c>
      <c r="C91" s="288" t="s">
        <v>25</v>
      </c>
      <c r="D91" s="318" t="s">
        <v>1481</v>
      </c>
      <c r="E91" s="319">
        <v>46060.0</v>
      </c>
      <c r="F91" s="315" t="s">
        <v>610</v>
      </c>
      <c r="G91" s="315" t="s">
        <v>1895</v>
      </c>
      <c r="H91" s="327" t="s">
        <v>1896</v>
      </c>
      <c r="I91" s="327">
        <v>9.987595805E9</v>
      </c>
      <c r="J91" s="327"/>
      <c r="K91" s="327" t="s">
        <v>1897</v>
      </c>
      <c r="L91" s="315" t="s">
        <v>1898</v>
      </c>
      <c r="M91" s="315" t="s">
        <v>1899</v>
      </c>
      <c r="N91" s="318" t="s">
        <v>80</v>
      </c>
      <c r="O91" s="315"/>
      <c r="P91" s="319"/>
      <c r="Q91" s="328" t="s">
        <v>1900</v>
      </c>
      <c r="R91" s="322"/>
      <c r="S91" s="283"/>
      <c r="T91" s="283"/>
      <c r="U91" s="283"/>
      <c r="V91" s="283"/>
      <c r="W91" s="283"/>
      <c r="X91" s="283"/>
      <c r="Y91" s="283"/>
    </row>
    <row r="92" ht="22.5" customHeight="1">
      <c r="A92" s="283"/>
      <c r="B92" s="329">
        <v>88.0</v>
      </c>
      <c r="C92" s="288" t="s">
        <v>25</v>
      </c>
      <c r="D92" s="318" t="s">
        <v>1481</v>
      </c>
      <c r="E92" s="319">
        <v>46060.0</v>
      </c>
      <c r="F92" s="315" t="s">
        <v>610</v>
      </c>
      <c r="G92" s="315" t="s">
        <v>1037</v>
      </c>
      <c r="H92" s="327" t="s">
        <v>1901</v>
      </c>
      <c r="I92" s="327">
        <v>9.820044752E9</v>
      </c>
      <c r="J92" s="327"/>
      <c r="K92" s="327" t="s">
        <v>1902</v>
      </c>
      <c r="L92" s="315"/>
      <c r="M92" s="315"/>
      <c r="N92" s="318" t="s">
        <v>80</v>
      </c>
      <c r="O92" s="315"/>
      <c r="P92" s="319"/>
      <c r="Q92" s="328" t="s">
        <v>1903</v>
      </c>
      <c r="R92" s="322"/>
      <c r="S92" s="283"/>
      <c r="T92" s="283"/>
      <c r="U92" s="283"/>
      <c r="V92" s="283"/>
      <c r="W92" s="283"/>
      <c r="X92" s="283"/>
      <c r="Y92" s="283"/>
    </row>
    <row r="93" ht="22.5" customHeight="1">
      <c r="A93" s="283"/>
      <c r="B93" s="329">
        <v>89.0</v>
      </c>
      <c r="C93" s="288" t="s">
        <v>25</v>
      </c>
      <c r="D93" s="318" t="s">
        <v>1481</v>
      </c>
      <c r="E93" s="319">
        <v>46060.0</v>
      </c>
      <c r="F93" s="315" t="s">
        <v>610</v>
      </c>
      <c r="G93" s="315" t="s">
        <v>1904</v>
      </c>
      <c r="H93" s="327" t="s">
        <v>1905</v>
      </c>
      <c r="I93" s="327">
        <v>9.920206777E9</v>
      </c>
      <c r="J93" s="327"/>
      <c r="K93" s="327" t="s">
        <v>1906</v>
      </c>
      <c r="L93" s="315" t="s">
        <v>1907</v>
      </c>
      <c r="M93" s="315"/>
      <c r="N93" s="318" t="s">
        <v>33</v>
      </c>
      <c r="O93" s="315"/>
      <c r="P93" s="319"/>
      <c r="Q93" s="328" t="s">
        <v>1908</v>
      </c>
      <c r="R93" s="322"/>
      <c r="S93" s="283"/>
      <c r="T93" s="283"/>
      <c r="U93" s="283"/>
      <c r="V93" s="283"/>
      <c r="W93" s="283"/>
      <c r="X93" s="283"/>
      <c r="Y93" s="283"/>
    </row>
    <row r="94" ht="22.5" customHeight="1">
      <c r="A94" s="283"/>
      <c r="B94" s="329">
        <v>90.0</v>
      </c>
      <c r="C94" s="288" t="s">
        <v>25</v>
      </c>
      <c r="D94" s="318" t="s">
        <v>1481</v>
      </c>
      <c r="E94" s="319">
        <v>46060.0</v>
      </c>
      <c r="F94" s="315" t="s">
        <v>610</v>
      </c>
      <c r="G94" s="315" t="s">
        <v>1909</v>
      </c>
      <c r="H94" s="327" t="s">
        <v>1910</v>
      </c>
      <c r="I94" s="327">
        <v>9.920031822E9</v>
      </c>
      <c r="J94" s="327"/>
      <c r="K94" s="327" t="s">
        <v>1911</v>
      </c>
      <c r="L94" s="315" t="s">
        <v>1912</v>
      </c>
      <c r="M94" s="315" t="s">
        <v>1899</v>
      </c>
      <c r="N94" s="318" t="s">
        <v>154</v>
      </c>
      <c r="O94" s="315"/>
      <c r="P94" s="319"/>
      <c r="Q94" s="328" t="s">
        <v>1913</v>
      </c>
      <c r="R94" s="322"/>
      <c r="S94" s="283"/>
      <c r="T94" s="283"/>
      <c r="U94" s="283"/>
      <c r="V94" s="283"/>
      <c r="W94" s="283"/>
      <c r="X94" s="283"/>
      <c r="Y94" s="283"/>
    </row>
    <row r="95" ht="22.5" customHeight="1">
      <c r="A95" s="283"/>
      <c r="B95" s="329">
        <v>91.0</v>
      </c>
      <c r="C95" s="288" t="s">
        <v>25</v>
      </c>
      <c r="D95" s="318" t="s">
        <v>1481</v>
      </c>
      <c r="E95" s="319">
        <v>46062.0</v>
      </c>
      <c r="F95" s="315" t="s">
        <v>26</v>
      </c>
      <c r="G95" s="315" t="s">
        <v>1914</v>
      </c>
      <c r="H95" s="327" t="s">
        <v>293</v>
      </c>
      <c r="I95" s="327">
        <v>8.320989172E9</v>
      </c>
      <c r="J95" s="327"/>
      <c r="K95" s="327" t="s">
        <v>1915</v>
      </c>
      <c r="L95" s="315" t="s">
        <v>918</v>
      </c>
      <c r="M95" s="315"/>
      <c r="N95" s="318" t="s">
        <v>46</v>
      </c>
      <c r="O95" s="315"/>
      <c r="P95" s="319"/>
      <c r="Q95" s="328" t="s">
        <v>1916</v>
      </c>
      <c r="R95" s="322"/>
      <c r="S95" s="283"/>
      <c r="T95" s="283"/>
      <c r="U95" s="283"/>
      <c r="V95" s="283"/>
      <c r="W95" s="283"/>
      <c r="X95" s="283"/>
      <c r="Y95" s="283"/>
    </row>
    <row r="96" ht="22.5" customHeight="1">
      <c r="A96" s="283"/>
      <c r="B96" s="329">
        <v>92.0</v>
      </c>
      <c r="C96" s="288" t="s">
        <v>25</v>
      </c>
      <c r="D96" s="318" t="s">
        <v>1481</v>
      </c>
      <c r="E96" s="319">
        <v>46062.0</v>
      </c>
      <c r="F96" s="315" t="s">
        <v>26</v>
      </c>
      <c r="G96" s="315" t="s">
        <v>1917</v>
      </c>
      <c r="H96" s="327" t="s">
        <v>1918</v>
      </c>
      <c r="I96" s="327">
        <v>9.819767581E9</v>
      </c>
      <c r="J96" s="327"/>
      <c r="K96" s="327" t="s">
        <v>1919</v>
      </c>
      <c r="L96" s="315"/>
      <c r="M96" s="315"/>
      <c r="N96" s="318" t="s">
        <v>33</v>
      </c>
      <c r="O96" s="315"/>
      <c r="P96" s="319"/>
      <c r="Q96" s="328" t="s">
        <v>1920</v>
      </c>
      <c r="R96" s="322"/>
      <c r="S96" s="283"/>
      <c r="T96" s="283"/>
      <c r="U96" s="283"/>
      <c r="V96" s="283"/>
      <c r="W96" s="283"/>
      <c r="X96" s="283"/>
      <c r="Y96" s="283"/>
    </row>
    <row r="97" ht="22.5" customHeight="1">
      <c r="A97" s="283"/>
      <c r="B97" s="329">
        <v>93.0</v>
      </c>
      <c r="C97" s="288" t="s">
        <v>25</v>
      </c>
      <c r="D97" s="318" t="s">
        <v>1481</v>
      </c>
      <c r="E97" s="319">
        <v>46062.0</v>
      </c>
      <c r="F97" s="315" t="s">
        <v>26</v>
      </c>
      <c r="G97" s="315" t="s">
        <v>1921</v>
      </c>
      <c r="H97" s="327" t="s">
        <v>1922</v>
      </c>
      <c r="I97" s="327">
        <v>9.890109491E9</v>
      </c>
      <c r="J97" s="327"/>
      <c r="K97" s="327" t="s">
        <v>1923</v>
      </c>
      <c r="L97" s="315"/>
      <c r="M97" s="315"/>
      <c r="N97" s="318" t="s">
        <v>33</v>
      </c>
      <c r="O97" s="315"/>
      <c r="P97" s="319"/>
      <c r="Q97" s="328" t="s">
        <v>1924</v>
      </c>
      <c r="R97" s="322"/>
      <c r="S97" s="283"/>
      <c r="T97" s="283"/>
      <c r="U97" s="283"/>
      <c r="V97" s="283"/>
      <c r="W97" s="283"/>
      <c r="X97" s="283"/>
      <c r="Y97" s="283"/>
    </row>
    <row r="98" ht="22.5" customHeight="1">
      <c r="A98" s="283"/>
      <c r="B98" s="329">
        <v>94.0</v>
      </c>
      <c r="C98" s="288" t="s">
        <v>25</v>
      </c>
      <c r="D98" s="318" t="s">
        <v>1481</v>
      </c>
      <c r="E98" s="319">
        <v>46062.0</v>
      </c>
      <c r="F98" s="315" t="s">
        <v>26</v>
      </c>
      <c r="G98" s="315" t="s">
        <v>1925</v>
      </c>
      <c r="H98" s="327" t="s">
        <v>1179</v>
      </c>
      <c r="I98" s="327">
        <v>9.821057483E9</v>
      </c>
      <c r="J98" s="327"/>
      <c r="K98" s="327" t="s">
        <v>1926</v>
      </c>
      <c r="L98" s="315"/>
      <c r="M98" s="315"/>
      <c r="N98" s="318" t="s">
        <v>80</v>
      </c>
      <c r="O98" s="315"/>
      <c r="P98" s="319"/>
      <c r="Q98" s="328" t="s">
        <v>1927</v>
      </c>
      <c r="R98" s="322"/>
      <c r="S98" s="283"/>
      <c r="T98" s="283"/>
      <c r="U98" s="283"/>
      <c r="V98" s="283"/>
      <c r="W98" s="283"/>
      <c r="X98" s="283"/>
      <c r="Y98" s="283"/>
    </row>
    <row r="99" ht="22.5" customHeight="1">
      <c r="A99" s="283"/>
      <c r="B99" s="329">
        <v>95.0</v>
      </c>
      <c r="C99" s="288" t="s">
        <v>25</v>
      </c>
      <c r="D99" s="318"/>
      <c r="E99" s="319">
        <v>46062.0</v>
      </c>
      <c r="F99" s="315" t="s">
        <v>26</v>
      </c>
      <c r="G99" s="315" t="s">
        <v>1928</v>
      </c>
      <c r="H99" s="327" t="s">
        <v>1929</v>
      </c>
      <c r="I99" s="327">
        <v>9.881146363E9</v>
      </c>
      <c r="J99" s="327"/>
      <c r="K99" s="327" t="s">
        <v>1930</v>
      </c>
      <c r="L99" s="315"/>
      <c r="M99" s="315"/>
      <c r="N99" s="346"/>
      <c r="O99" s="315"/>
      <c r="P99" s="319"/>
      <c r="Q99" s="328" t="s">
        <v>1931</v>
      </c>
      <c r="R99" s="322"/>
      <c r="S99" s="283"/>
      <c r="T99" s="283"/>
      <c r="U99" s="283"/>
      <c r="V99" s="283"/>
      <c r="W99" s="283"/>
      <c r="X99" s="283"/>
      <c r="Y99" s="283"/>
    </row>
    <row r="100" ht="22.5" customHeight="1">
      <c r="A100" s="283"/>
      <c r="B100" s="329">
        <v>96.0</v>
      </c>
      <c r="C100" s="288" t="s">
        <v>25</v>
      </c>
      <c r="D100" s="318" t="s">
        <v>1481</v>
      </c>
      <c r="E100" s="319">
        <v>46062.0</v>
      </c>
      <c r="F100" s="315" t="s">
        <v>26</v>
      </c>
      <c r="G100" s="315" t="s">
        <v>405</v>
      </c>
      <c r="H100" s="327" t="s">
        <v>36</v>
      </c>
      <c r="I100" s="327">
        <v>8.693888505E9</v>
      </c>
      <c r="J100" s="327"/>
      <c r="K100" s="327" t="s">
        <v>1932</v>
      </c>
      <c r="L100" s="315"/>
      <c r="M100" s="315"/>
      <c r="N100" s="318" t="s">
        <v>154</v>
      </c>
      <c r="O100" s="315"/>
      <c r="P100" s="319"/>
      <c r="Q100" s="328" t="s">
        <v>1933</v>
      </c>
      <c r="R100" s="322"/>
      <c r="S100" s="283"/>
      <c r="T100" s="283"/>
      <c r="U100" s="283"/>
      <c r="V100" s="283"/>
      <c r="W100" s="283"/>
      <c r="X100" s="283"/>
      <c r="Y100" s="283"/>
    </row>
    <row r="101" ht="22.5" customHeight="1">
      <c r="A101" s="283"/>
      <c r="B101" s="329">
        <v>97.0</v>
      </c>
      <c r="C101" s="288" t="s">
        <v>25</v>
      </c>
      <c r="D101" s="318" t="s">
        <v>1481</v>
      </c>
      <c r="E101" s="319">
        <v>46065.0</v>
      </c>
      <c r="F101" s="315" t="s">
        <v>26</v>
      </c>
      <c r="G101" s="315" t="s">
        <v>1934</v>
      </c>
      <c r="H101" s="327" t="s">
        <v>1935</v>
      </c>
      <c r="I101" s="327">
        <v>9.874060606E9</v>
      </c>
      <c r="J101" s="327"/>
      <c r="K101" s="327"/>
      <c r="L101" s="315"/>
      <c r="M101" s="315"/>
      <c r="N101" s="318" t="s">
        <v>33</v>
      </c>
      <c r="O101" s="315"/>
      <c r="P101" s="319"/>
      <c r="Q101" s="328" t="s">
        <v>1936</v>
      </c>
      <c r="R101" s="322"/>
      <c r="S101" s="283"/>
      <c r="T101" s="283"/>
      <c r="U101" s="283"/>
      <c r="V101" s="283"/>
      <c r="W101" s="283"/>
      <c r="X101" s="283"/>
      <c r="Y101" s="283"/>
    </row>
    <row r="102" ht="22.5" customHeight="1">
      <c r="A102" s="283"/>
      <c r="B102" s="329">
        <v>98.0</v>
      </c>
      <c r="C102" s="288" t="s">
        <v>25</v>
      </c>
      <c r="D102" s="318" t="s">
        <v>1481</v>
      </c>
      <c r="E102" s="319">
        <v>46065.0</v>
      </c>
      <c r="F102" s="315" t="s">
        <v>26</v>
      </c>
      <c r="G102" s="315" t="s">
        <v>1875</v>
      </c>
      <c r="H102" s="327" t="s">
        <v>1937</v>
      </c>
      <c r="I102" s="327">
        <v>9.987828239E9</v>
      </c>
      <c r="J102" s="327"/>
      <c r="K102" s="327" t="s">
        <v>1938</v>
      </c>
      <c r="L102" s="315" t="s">
        <v>1617</v>
      </c>
      <c r="M102" s="315" t="s">
        <v>1784</v>
      </c>
      <c r="N102" s="318" t="s">
        <v>154</v>
      </c>
      <c r="O102" s="315"/>
      <c r="P102" s="319"/>
      <c r="Q102" s="328" t="s">
        <v>1939</v>
      </c>
      <c r="R102" s="322"/>
      <c r="S102" s="283"/>
      <c r="T102" s="283"/>
      <c r="U102" s="283"/>
      <c r="V102" s="283"/>
      <c r="W102" s="283"/>
      <c r="X102" s="283"/>
      <c r="Y102" s="283"/>
    </row>
    <row r="103" ht="22.5" customHeight="1">
      <c r="A103" s="283"/>
      <c r="B103" s="329">
        <v>99.0</v>
      </c>
      <c r="C103" s="288" t="s">
        <v>25</v>
      </c>
      <c r="D103" s="318" t="s">
        <v>1481</v>
      </c>
      <c r="E103" s="319">
        <v>46066.0</v>
      </c>
      <c r="F103" s="315" t="s">
        <v>26</v>
      </c>
      <c r="G103" s="315" t="s">
        <v>1940</v>
      </c>
      <c r="H103" s="327" t="s">
        <v>1941</v>
      </c>
      <c r="I103" s="327">
        <v>9.821249604E9</v>
      </c>
      <c r="J103" s="327"/>
      <c r="K103" s="327" t="s">
        <v>1942</v>
      </c>
      <c r="L103" s="315" t="s">
        <v>258</v>
      </c>
      <c r="M103" s="315" t="s">
        <v>1505</v>
      </c>
      <c r="N103" s="318" t="s">
        <v>80</v>
      </c>
      <c r="O103" s="315"/>
      <c r="P103" s="319"/>
      <c r="Q103" s="328" t="s">
        <v>1943</v>
      </c>
      <c r="R103" s="322"/>
      <c r="S103" s="283"/>
      <c r="T103" s="283"/>
      <c r="U103" s="283"/>
      <c r="V103" s="283"/>
      <c r="W103" s="283"/>
      <c r="X103" s="283"/>
      <c r="Y103" s="283"/>
    </row>
    <row r="104" ht="22.5" customHeight="1">
      <c r="A104" s="283"/>
      <c r="B104" s="329">
        <v>100.0</v>
      </c>
      <c r="C104" s="288" t="s">
        <v>25</v>
      </c>
      <c r="D104" s="318" t="s">
        <v>1481</v>
      </c>
      <c r="E104" s="319">
        <v>46066.0</v>
      </c>
      <c r="F104" s="315" t="s">
        <v>26</v>
      </c>
      <c r="G104" s="315" t="s">
        <v>1944</v>
      </c>
      <c r="H104" s="327" t="s">
        <v>1896</v>
      </c>
      <c r="I104" s="327">
        <v>9.870439059E9</v>
      </c>
      <c r="J104" s="327"/>
      <c r="K104" s="327" t="s">
        <v>1945</v>
      </c>
      <c r="L104" s="315"/>
      <c r="M104" s="315"/>
      <c r="N104" s="318" t="s">
        <v>33</v>
      </c>
      <c r="O104" s="315"/>
      <c r="P104" s="319"/>
      <c r="Q104" s="328" t="s">
        <v>1946</v>
      </c>
      <c r="R104" s="322"/>
      <c r="S104" s="283"/>
      <c r="T104" s="283"/>
      <c r="U104" s="283"/>
      <c r="V104" s="283"/>
      <c r="W104" s="283"/>
      <c r="X104" s="283"/>
      <c r="Y104" s="283"/>
    </row>
    <row r="105" ht="22.5" customHeight="1">
      <c r="A105" s="283"/>
      <c r="B105" s="329">
        <v>101.0</v>
      </c>
      <c r="C105" s="288" t="s">
        <v>25</v>
      </c>
      <c r="D105" s="318" t="s">
        <v>1481</v>
      </c>
      <c r="E105" s="319">
        <v>46066.0</v>
      </c>
      <c r="F105" s="315" t="s">
        <v>26</v>
      </c>
      <c r="G105" s="315" t="s">
        <v>1947</v>
      </c>
      <c r="H105" s="327" t="s">
        <v>1948</v>
      </c>
      <c r="I105" s="327">
        <v>9.821985599E9</v>
      </c>
      <c r="J105" s="327"/>
      <c r="K105" s="327" t="s">
        <v>1949</v>
      </c>
      <c r="L105" s="315"/>
      <c r="M105" s="315"/>
      <c r="N105" s="318" t="s">
        <v>33</v>
      </c>
      <c r="O105" s="315"/>
      <c r="P105" s="319"/>
      <c r="Q105" s="328" t="s">
        <v>1950</v>
      </c>
      <c r="R105" s="303"/>
      <c r="S105" s="283"/>
      <c r="T105" s="283"/>
      <c r="U105" s="283"/>
      <c r="V105" s="283"/>
      <c r="W105" s="283"/>
      <c r="X105" s="283"/>
      <c r="Y105" s="283"/>
    </row>
    <row r="106" ht="22.5" customHeight="1">
      <c r="A106" s="283"/>
      <c r="B106" s="329">
        <v>102.0</v>
      </c>
      <c r="C106" s="288" t="s">
        <v>25</v>
      </c>
      <c r="D106" s="318" t="s">
        <v>32</v>
      </c>
      <c r="E106" s="319">
        <v>46066.0</v>
      </c>
      <c r="F106" s="315" t="s">
        <v>26</v>
      </c>
      <c r="G106" s="315" t="s">
        <v>1483</v>
      </c>
      <c r="H106" s="327" t="s">
        <v>1951</v>
      </c>
      <c r="I106" s="327">
        <v>9.833535007E9</v>
      </c>
      <c r="J106" s="327"/>
      <c r="K106" s="327" t="s">
        <v>1952</v>
      </c>
      <c r="L106" s="315" t="s">
        <v>1953</v>
      </c>
      <c r="M106" s="315"/>
      <c r="N106" s="318" t="s">
        <v>33</v>
      </c>
      <c r="O106" s="315"/>
      <c r="P106" s="319"/>
      <c r="Q106" s="328" t="s">
        <v>1954</v>
      </c>
      <c r="R106" s="303"/>
      <c r="S106" s="283"/>
      <c r="T106" s="283"/>
      <c r="U106" s="283"/>
      <c r="V106" s="283"/>
      <c r="W106" s="283"/>
      <c r="X106" s="283"/>
      <c r="Y106" s="283"/>
    </row>
    <row r="107" ht="22.5" customHeight="1">
      <c r="A107" s="338"/>
      <c r="B107" s="339">
        <v>103.0</v>
      </c>
      <c r="C107" s="340" t="s">
        <v>25</v>
      </c>
      <c r="D107" s="341" t="s">
        <v>1481</v>
      </c>
      <c r="E107" s="342">
        <v>46069.0</v>
      </c>
      <c r="F107" s="340" t="s">
        <v>26</v>
      </c>
      <c r="G107" s="340" t="s">
        <v>1955</v>
      </c>
      <c r="H107" s="343" t="s">
        <v>1956</v>
      </c>
      <c r="I107" s="343">
        <v>9.833684529E9</v>
      </c>
      <c r="J107" s="343"/>
      <c r="K107" s="343" t="s">
        <v>1957</v>
      </c>
      <c r="L107" s="340" t="s">
        <v>896</v>
      </c>
      <c r="M107" s="340" t="s">
        <v>1881</v>
      </c>
      <c r="N107" s="341" t="s">
        <v>154</v>
      </c>
      <c r="O107" s="340"/>
      <c r="P107" s="342"/>
      <c r="Q107" s="344" t="s">
        <v>1958</v>
      </c>
      <c r="R107" s="345"/>
      <c r="S107" s="338"/>
      <c r="T107" s="338"/>
      <c r="U107" s="338"/>
      <c r="V107" s="338"/>
      <c r="W107" s="338"/>
      <c r="X107" s="338"/>
      <c r="Y107" s="338"/>
    </row>
    <row r="108" ht="22.5" customHeight="1">
      <c r="A108" s="283"/>
      <c r="B108" s="329">
        <v>104.0</v>
      </c>
      <c r="C108" s="288" t="s">
        <v>25</v>
      </c>
      <c r="D108" s="318" t="s">
        <v>1481</v>
      </c>
      <c r="E108" s="319">
        <v>46069.0</v>
      </c>
      <c r="F108" s="315" t="s">
        <v>26</v>
      </c>
      <c r="G108" s="315" t="s">
        <v>1959</v>
      </c>
      <c r="H108" s="327" t="s">
        <v>525</v>
      </c>
      <c r="I108" s="327">
        <v>8.187093172E9</v>
      </c>
      <c r="J108" s="327"/>
      <c r="K108" s="327" t="s">
        <v>1960</v>
      </c>
      <c r="L108" s="315" t="s">
        <v>1825</v>
      </c>
      <c r="M108" s="315"/>
      <c r="N108" s="318" t="s">
        <v>46</v>
      </c>
      <c r="O108" s="315"/>
      <c r="P108" s="319"/>
      <c r="Q108" s="328" t="s">
        <v>1961</v>
      </c>
      <c r="R108" s="322"/>
      <c r="S108" s="283"/>
      <c r="T108" s="283"/>
      <c r="U108" s="283"/>
      <c r="V108" s="283"/>
      <c r="W108" s="283"/>
      <c r="X108" s="283"/>
      <c r="Y108" s="283"/>
    </row>
    <row r="109" ht="22.5" customHeight="1">
      <c r="A109" s="283"/>
      <c r="B109" s="329">
        <v>105.0</v>
      </c>
      <c r="C109" s="288" t="s">
        <v>25</v>
      </c>
      <c r="D109" s="318" t="s">
        <v>1481</v>
      </c>
      <c r="E109" s="319">
        <v>46069.0</v>
      </c>
      <c r="F109" s="315" t="s">
        <v>26</v>
      </c>
      <c r="G109" s="315" t="s">
        <v>378</v>
      </c>
      <c r="H109" s="327" t="s">
        <v>394</v>
      </c>
      <c r="I109" s="327">
        <v>9.769721175E9</v>
      </c>
      <c r="J109" s="327"/>
      <c r="K109" s="327" t="s">
        <v>1962</v>
      </c>
      <c r="L109" s="315" t="s">
        <v>1963</v>
      </c>
      <c r="M109" s="315" t="s">
        <v>1881</v>
      </c>
      <c r="N109" s="318" t="s">
        <v>154</v>
      </c>
      <c r="O109" s="315"/>
      <c r="P109" s="319"/>
      <c r="Q109" s="328" t="s">
        <v>1964</v>
      </c>
      <c r="R109" s="322"/>
      <c r="S109" s="283"/>
      <c r="T109" s="283"/>
      <c r="U109" s="283"/>
      <c r="V109" s="283"/>
      <c r="W109" s="283"/>
      <c r="X109" s="283"/>
      <c r="Y109" s="283"/>
    </row>
    <row r="110" ht="22.5" customHeight="1">
      <c r="A110" s="283"/>
      <c r="B110" s="329">
        <v>106.0</v>
      </c>
      <c r="C110" s="288" t="s">
        <v>25</v>
      </c>
      <c r="D110" s="318" t="s">
        <v>1481</v>
      </c>
      <c r="E110" s="319">
        <v>46069.0</v>
      </c>
      <c r="F110" s="315" t="s">
        <v>26</v>
      </c>
      <c r="G110" s="315" t="s">
        <v>1797</v>
      </c>
      <c r="H110" s="327"/>
      <c r="I110" s="327">
        <v>9.820107183E9</v>
      </c>
      <c r="J110" s="327"/>
      <c r="K110" s="327" t="s">
        <v>1965</v>
      </c>
      <c r="L110" s="315"/>
      <c r="M110" s="315"/>
      <c r="N110" s="318" t="s">
        <v>80</v>
      </c>
      <c r="O110" s="315"/>
      <c r="P110" s="319"/>
      <c r="Q110" s="328" t="s">
        <v>1966</v>
      </c>
      <c r="R110" s="322"/>
      <c r="S110" s="283"/>
      <c r="T110" s="283"/>
      <c r="U110" s="283"/>
      <c r="V110" s="283"/>
      <c r="W110" s="283"/>
      <c r="X110" s="283"/>
      <c r="Y110" s="283"/>
    </row>
    <row r="111" ht="22.5" customHeight="1">
      <c r="A111" s="283"/>
      <c r="B111" s="329">
        <v>107.0</v>
      </c>
      <c r="C111" s="288" t="s">
        <v>25</v>
      </c>
      <c r="D111" s="318" t="s">
        <v>32</v>
      </c>
      <c r="E111" s="319">
        <v>46069.0</v>
      </c>
      <c r="F111" s="315" t="s">
        <v>26</v>
      </c>
      <c r="G111" s="315" t="s">
        <v>1967</v>
      </c>
      <c r="H111" s="327" t="s">
        <v>1968</v>
      </c>
      <c r="I111" s="327">
        <v>9.930269884E9</v>
      </c>
      <c r="J111" s="327"/>
      <c r="K111" s="327" t="s">
        <v>1969</v>
      </c>
      <c r="L111" s="315" t="s">
        <v>1775</v>
      </c>
      <c r="M111" s="315" t="s">
        <v>1735</v>
      </c>
      <c r="N111" s="318" t="s">
        <v>33</v>
      </c>
      <c r="O111" s="315"/>
      <c r="P111" s="319"/>
      <c r="Q111" s="328" t="s">
        <v>1970</v>
      </c>
      <c r="R111" s="322"/>
      <c r="S111" s="283"/>
      <c r="T111" s="283"/>
      <c r="U111" s="283"/>
      <c r="V111" s="283"/>
      <c r="W111" s="283"/>
      <c r="X111" s="283"/>
      <c r="Y111" s="283"/>
    </row>
    <row r="112" ht="22.5" customHeight="1">
      <c r="A112" s="283"/>
      <c r="B112" s="329">
        <v>108.0</v>
      </c>
      <c r="C112" s="288" t="s">
        <v>25</v>
      </c>
      <c r="D112" s="318" t="s">
        <v>1481</v>
      </c>
      <c r="E112" s="319">
        <v>46069.0</v>
      </c>
      <c r="F112" s="315" t="s">
        <v>26</v>
      </c>
      <c r="G112" s="315" t="s">
        <v>1971</v>
      </c>
      <c r="H112" s="327" t="s">
        <v>519</v>
      </c>
      <c r="I112" s="327">
        <v>9.324383636E9</v>
      </c>
      <c r="J112" s="327"/>
      <c r="K112" s="327" t="s">
        <v>1972</v>
      </c>
      <c r="L112" s="315" t="s">
        <v>1973</v>
      </c>
      <c r="M112" s="315" t="s">
        <v>1881</v>
      </c>
      <c r="N112" s="318" t="s">
        <v>95</v>
      </c>
      <c r="O112" s="315"/>
      <c r="P112" s="319"/>
      <c r="Q112" s="328" t="s">
        <v>1974</v>
      </c>
      <c r="R112" s="322"/>
      <c r="S112" s="283"/>
      <c r="T112" s="283"/>
      <c r="U112" s="283"/>
      <c r="V112" s="283"/>
      <c r="W112" s="283"/>
      <c r="X112" s="283"/>
      <c r="Y112" s="283"/>
    </row>
    <row r="113" ht="22.5" customHeight="1">
      <c r="A113" s="283"/>
      <c r="B113" s="329">
        <v>109.0</v>
      </c>
      <c r="C113" s="288" t="s">
        <v>25</v>
      </c>
      <c r="D113" s="318" t="s">
        <v>1481</v>
      </c>
      <c r="E113" s="319">
        <v>46069.0</v>
      </c>
      <c r="F113" s="315" t="s">
        <v>26</v>
      </c>
      <c r="G113" s="315" t="s">
        <v>1975</v>
      </c>
      <c r="H113" s="327"/>
      <c r="I113" s="327">
        <v>9.769797378E9</v>
      </c>
      <c r="J113" s="327"/>
      <c r="K113" s="327"/>
      <c r="L113" s="315"/>
      <c r="M113" s="315"/>
      <c r="N113" s="318" t="s">
        <v>154</v>
      </c>
      <c r="O113" s="315"/>
      <c r="P113" s="319"/>
      <c r="Q113" s="328" t="s">
        <v>1976</v>
      </c>
      <c r="R113" s="322"/>
      <c r="S113" s="283"/>
      <c r="T113" s="283"/>
      <c r="U113" s="283"/>
      <c r="V113" s="283"/>
      <c r="W113" s="283"/>
      <c r="X113" s="283"/>
      <c r="Y113" s="283"/>
    </row>
    <row r="114" ht="22.5" customHeight="1">
      <c r="A114" s="283"/>
      <c r="B114" s="329">
        <v>110.0</v>
      </c>
      <c r="C114" s="288" t="s">
        <v>25</v>
      </c>
      <c r="D114" s="318" t="s">
        <v>1481</v>
      </c>
      <c r="E114" s="319">
        <v>46071.0</v>
      </c>
      <c r="F114" s="315" t="s">
        <v>26</v>
      </c>
      <c r="G114" s="315" t="s">
        <v>568</v>
      </c>
      <c r="H114" s="327" t="s">
        <v>1723</v>
      </c>
      <c r="I114" s="327">
        <v>7.304442178E9</v>
      </c>
      <c r="J114" s="327"/>
      <c r="K114" s="327" t="s">
        <v>1977</v>
      </c>
      <c r="L114" s="315"/>
      <c r="M114" s="315"/>
      <c r="N114" s="318" t="s">
        <v>46</v>
      </c>
      <c r="O114" s="315"/>
      <c r="P114" s="319"/>
      <c r="Q114" s="328" t="s">
        <v>1978</v>
      </c>
      <c r="R114" s="322"/>
      <c r="S114" s="283"/>
      <c r="T114" s="283"/>
      <c r="U114" s="283"/>
      <c r="V114" s="283"/>
      <c r="W114" s="283"/>
      <c r="X114" s="283"/>
      <c r="Y114" s="283"/>
    </row>
    <row r="115" ht="22.5" customHeight="1">
      <c r="A115" s="283"/>
      <c r="B115" s="329">
        <v>111.0</v>
      </c>
      <c r="C115" s="288" t="s">
        <v>25</v>
      </c>
      <c r="D115" s="318" t="s">
        <v>1481</v>
      </c>
      <c r="E115" s="319">
        <v>46071.0</v>
      </c>
      <c r="F115" s="315" t="s">
        <v>26</v>
      </c>
      <c r="G115" s="315" t="s">
        <v>1979</v>
      </c>
      <c r="H115" s="327" t="s">
        <v>119</v>
      </c>
      <c r="I115" s="327">
        <v>9.833563563E9</v>
      </c>
      <c r="J115" s="327"/>
      <c r="K115" s="327" t="s">
        <v>1980</v>
      </c>
      <c r="L115" s="315"/>
      <c r="M115" s="315"/>
      <c r="N115" s="318" t="s">
        <v>33</v>
      </c>
      <c r="O115" s="315"/>
      <c r="P115" s="319"/>
      <c r="Q115" s="328" t="s">
        <v>1981</v>
      </c>
      <c r="R115" s="322"/>
      <c r="S115" s="283"/>
      <c r="T115" s="283"/>
      <c r="U115" s="283"/>
      <c r="V115" s="283"/>
      <c r="W115" s="283"/>
      <c r="X115" s="283"/>
      <c r="Y115" s="283"/>
    </row>
    <row r="116" ht="22.5" customHeight="1">
      <c r="A116" s="347"/>
      <c r="B116" s="348">
        <v>112.0</v>
      </c>
      <c r="C116" s="349" t="s">
        <v>25</v>
      </c>
      <c r="D116" s="350" t="s">
        <v>1481</v>
      </c>
      <c r="E116" s="351">
        <v>46071.0</v>
      </c>
      <c r="F116" s="349" t="s">
        <v>26</v>
      </c>
      <c r="G116" s="349" t="s">
        <v>1982</v>
      </c>
      <c r="H116" s="352" t="s">
        <v>1983</v>
      </c>
      <c r="I116" s="352">
        <v>9.819819256E9</v>
      </c>
      <c r="J116" s="352" t="s">
        <v>1984</v>
      </c>
      <c r="K116" s="352" t="s">
        <v>1985</v>
      </c>
      <c r="L116" s="349" t="s">
        <v>1668</v>
      </c>
      <c r="M116" s="349" t="s">
        <v>1618</v>
      </c>
      <c r="N116" s="350" t="s">
        <v>46</v>
      </c>
      <c r="O116" s="349"/>
      <c r="P116" s="351"/>
      <c r="Q116" s="353" t="s">
        <v>1986</v>
      </c>
      <c r="R116" s="354"/>
      <c r="S116" s="347"/>
      <c r="T116" s="347"/>
      <c r="U116" s="347"/>
      <c r="V116" s="347"/>
      <c r="W116" s="347"/>
      <c r="X116" s="347"/>
      <c r="Y116" s="347"/>
    </row>
    <row r="117" ht="22.5" customHeight="1">
      <c r="A117" s="283"/>
      <c r="B117" s="329">
        <v>113.0</v>
      </c>
      <c r="C117" s="288" t="s">
        <v>25</v>
      </c>
      <c r="D117" s="318" t="s">
        <v>1481</v>
      </c>
      <c r="E117" s="319">
        <v>46071.0</v>
      </c>
      <c r="F117" s="315" t="s">
        <v>26</v>
      </c>
      <c r="G117" s="315" t="s">
        <v>1987</v>
      </c>
      <c r="H117" s="327" t="s">
        <v>90</v>
      </c>
      <c r="I117" s="327">
        <v>9.870960066E9</v>
      </c>
      <c r="J117" s="327"/>
      <c r="K117" s="327" t="s">
        <v>1988</v>
      </c>
      <c r="L117" s="315" t="s">
        <v>1989</v>
      </c>
      <c r="M117" s="315"/>
      <c r="N117" s="318" t="s">
        <v>154</v>
      </c>
      <c r="O117" s="315"/>
      <c r="P117" s="319"/>
      <c r="Q117" s="328" t="s">
        <v>1990</v>
      </c>
      <c r="R117" s="322"/>
      <c r="S117" s="283"/>
      <c r="T117" s="283"/>
      <c r="U117" s="283"/>
      <c r="V117" s="283"/>
      <c r="W117" s="283"/>
      <c r="X117" s="283"/>
      <c r="Y117" s="283"/>
    </row>
    <row r="118" ht="22.5" customHeight="1">
      <c r="A118" s="283"/>
      <c r="B118" s="329">
        <v>114.0</v>
      </c>
      <c r="C118" s="288" t="s">
        <v>25</v>
      </c>
      <c r="D118" s="318" t="s">
        <v>1481</v>
      </c>
      <c r="E118" s="319">
        <v>46071.0</v>
      </c>
      <c r="F118" s="315" t="s">
        <v>26</v>
      </c>
      <c r="G118" s="315" t="s">
        <v>1185</v>
      </c>
      <c r="H118" s="327"/>
      <c r="I118" s="327">
        <v>7.304117337E9</v>
      </c>
      <c r="J118" s="327"/>
      <c r="K118" s="327"/>
      <c r="L118" s="315"/>
      <c r="M118" s="315"/>
      <c r="N118" s="318" t="s">
        <v>33</v>
      </c>
      <c r="O118" s="315"/>
      <c r="P118" s="319"/>
      <c r="Q118" s="328" t="s">
        <v>1991</v>
      </c>
      <c r="R118" s="322"/>
      <c r="S118" s="283"/>
      <c r="T118" s="283"/>
      <c r="U118" s="283"/>
      <c r="V118" s="283"/>
      <c r="W118" s="283"/>
      <c r="X118" s="283"/>
      <c r="Y118" s="283"/>
    </row>
    <row r="119" ht="22.5" customHeight="1">
      <c r="A119" s="283"/>
      <c r="B119" s="329">
        <v>115.0</v>
      </c>
      <c r="C119" s="288" t="s">
        <v>25</v>
      </c>
      <c r="D119" s="318" t="s">
        <v>1481</v>
      </c>
      <c r="E119" s="319">
        <v>46072.0</v>
      </c>
      <c r="F119" s="315" t="s">
        <v>26</v>
      </c>
      <c r="G119" s="315" t="s">
        <v>1992</v>
      </c>
      <c r="H119" s="327" t="s">
        <v>1993</v>
      </c>
      <c r="I119" s="327">
        <v>6.284564795E9</v>
      </c>
      <c r="J119" s="327"/>
      <c r="K119" s="327"/>
      <c r="L119" s="315"/>
      <c r="M119" s="315"/>
      <c r="N119" s="318" t="s">
        <v>33</v>
      </c>
      <c r="O119" s="315"/>
      <c r="P119" s="319"/>
      <c r="Q119" s="328" t="s">
        <v>1994</v>
      </c>
      <c r="R119" s="322"/>
      <c r="S119" s="283"/>
      <c r="T119" s="283"/>
      <c r="U119" s="283"/>
      <c r="V119" s="283"/>
      <c r="W119" s="283"/>
      <c r="X119" s="283"/>
      <c r="Y119" s="283"/>
    </row>
    <row r="120" ht="22.5" customHeight="1">
      <c r="A120" s="283"/>
      <c r="B120" s="329">
        <v>116.0</v>
      </c>
      <c r="C120" s="288" t="s">
        <v>25</v>
      </c>
      <c r="D120" s="318" t="s">
        <v>1481</v>
      </c>
      <c r="E120" s="319">
        <v>46076.0</v>
      </c>
      <c r="F120" s="315" t="s">
        <v>26</v>
      </c>
      <c r="G120" s="315" t="s">
        <v>1995</v>
      </c>
      <c r="H120" s="327" t="s">
        <v>119</v>
      </c>
      <c r="I120" s="327">
        <v>9.820708887E9</v>
      </c>
      <c r="J120" s="327"/>
      <c r="K120" s="327" t="s">
        <v>1996</v>
      </c>
      <c r="L120" s="315"/>
      <c r="M120" s="315"/>
      <c r="N120" s="318" t="s">
        <v>46</v>
      </c>
      <c r="O120" s="315"/>
      <c r="P120" s="319"/>
      <c r="Q120" s="328" t="s">
        <v>1997</v>
      </c>
      <c r="R120" s="322"/>
      <c r="S120" s="283"/>
      <c r="T120" s="283"/>
      <c r="U120" s="283"/>
      <c r="V120" s="283"/>
      <c r="W120" s="283"/>
      <c r="X120" s="283"/>
      <c r="Y120" s="283"/>
    </row>
    <row r="121" ht="22.5" customHeight="1">
      <c r="A121" s="283"/>
      <c r="B121" s="329">
        <v>117.0</v>
      </c>
      <c r="C121" s="288" t="s">
        <v>25</v>
      </c>
      <c r="D121" s="318" t="s">
        <v>1481</v>
      </c>
      <c r="E121" s="319">
        <v>46076.0</v>
      </c>
      <c r="F121" s="315" t="s">
        <v>26</v>
      </c>
      <c r="G121" s="315" t="s">
        <v>1998</v>
      </c>
      <c r="H121" s="327" t="s">
        <v>1922</v>
      </c>
      <c r="I121" s="327">
        <v>7.977256187E9</v>
      </c>
      <c r="J121" s="327"/>
      <c r="K121" s="327" t="s">
        <v>306</v>
      </c>
      <c r="L121" s="315"/>
      <c r="M121" s="315"/>
      <c r="N121" s="318" t="s">
        <v>33</v>
      </c>
      <c r="O121" s="355" t="s">
        <v>80</v>
      </c>
      <c r="P121" s="355" t="s">
        <v>80</v>
      </c>
      <c r="Q121" s="328" t="s">
        <v>1999</v>
      </c>
      <c r="R121" s="322"/>
      <c r="S121" s="283"/>
      <c r="T121" s="283"/>
      <c r="U121" s="283"/>
      <c r="V121" s="283"/>
      <c r="W121" s="283"/>
      <c r="X121" s="283"/>
      <c r="Y121" s="283"/>
    </row>
    <row r="122" ht="22.5" customHeight="1">
      <c r="A122" s="283"/>
      <c r="B122" s="329">
        <v>118.0</v>
      </c>
      <c r="C122" s="288" t="s">
        <v>25</v>
      </c>
      <c r="D122" s="318" t="s">
        <v>1481</v>
      </c>
      <c r="E122" s="319">
        <v>46076.0</v>
      </c>
      <c r="F122" s="315" t="s">
        <v>26</v>
      </c>
      <c r="G122" s="315" t="s">
        <v>2000</v>
      </c>
      <c r="H122" s="327" t="s">
        <v>119</v>
      </c>
      <c r="I122" s="327">
        <v>9.870468119E9</v>
      </c>
      <c r="J122" s="327"/>
      <c r="K122" s="327" t="s">
        <v>306</v>
      </c>
      <c r="L122" s="315"/>
      <c r="M122" s="315"/>
      <c r="N122" s="318" t="s">
        <v>33</v>
      </c>
      <c r="O122" s="315"/>
      <c r="P122" s="319"/>
      <c r="Q122" s="328" t="s">
        <v>2001</v>
      </c>
      <c r="R122" s="322"/>
      <c r="S122" s="283"/>
      <c r="T122" s="283"/>
      <c r="U122" s="283"/>
      <c r="V122" s="283"/>
      <c r="W122" s="283"/>
      <c r="X122" s="283"/>
      <c r="Y122" s="283"/>
    </row>
    <row r="123" ht="22.5" customHeight="1">
      <c r="A123" s="283"/>
      <c r="B123" s="329">
        <v>119.0</v>
      </c>
      <c r="C123" s="288" t="s">
        <v>25</v>
      </c>
      <c r="D123" s="318" t="s">
        <v>1481</v>
      </c>
      <c r="E123" s="319">
        <v>46077.0</v>
      </c>
      <c r="F123" s="315" t="s">
        <v>26</v>
      </c>
      <c r="G123" s="315" t="s">
        <v>2002</v>
      </c>
      <c r="H123" s="327" t="s">
        <v>383</v>
      </c>
      <c r="I123" s="327">
        <v>7.304387968E9</v>
      </c>
      <c r="J123" s="327"/>
      <c r="K123" s="327" t="s">
        <v>2003</v>
      </c>
      <c r="L123" s="315"/>
      <c r="M123" s="315"/>
      <c r="N123" s="318" t="s">
        <v>46</v>
      </c>
      <c r="O123" s="315"/>
      <c r="P123" s="319"/>
      <c r="Q123" s="328" t="s">
        <v>2004</v>
      </c>
      <c r="R123" s="328" t="s">
        <v>2005</v>
      </c>
      <c r="S123" s="283"/>
      <c r="T123" s="283"/>
      <c r="U123" s="283"/>
      <c r="V123" s="283"/>
      <c r="W123" s="283"/>
      <c r="X123" s="283"/>
      <c r="Y123" s="283"/>
    </row>
    <row r="124" ht="22.5" customHeight="1">
      <c r="A124" s="283"/>
      <c r="B124" s="329">
        <v>120.0</v>
      </c>
      <c r="C124" s="288" t="s">
        <v>25</v>
      </c>
      <c r="D124" s="318" t="s">
        <v>1481</v>
      </c>
      <c r="E124" s="319">
        <v>46077.0</v>
      </c>
      <c r="F124" s="315" t="s">
        <v>26</v>
      </c>
      <c r="G124" s="315" t="s">
        <v>623</v>
      </c>
      <c r="H124" s="327" t="s">
        <v>2006</v>
      </c>
      <c r="I124" s="327">
        <v>9.152570759E9</v>
      </c>
      <c r="J124" s="327"/>
      <c r="K124" s="327" t="s">
        <v>2007</v>
      </c>
      <c r="L124" s="315"/>
      <c r="M124" s="315"/>
      <c r="N124" s="318" t="s">
        <v>33</v>
      </c>
      <c r="O124" s="315"/>
      <c r="P124" s="319"/>
      <c r="Q124" s="328" t="s">
        <v>2008</v>
      </c>
      <c r="R124" s="322"/>
      <c r="S124" s="283"/>
      <c r="T124" s="283"/>
      <c r="U124" s="283"/>
      <c r="V124" s="283"/>
      <c r="W124" s="283"/>
      <c r="X124" s="283"/>
      <c r="Y124" s="283"/>
    </row>
    <row r="125" ht="22.5" customHeight="1">
      <c r="A125" s="283"/>
      <c r="B125" s="329">
        <v>121.0</v>
      </c>
      <c r="C125" s="288" t="s">
        <v>25</v>
      </c>
      <c r="D125" s="318" t="s">
        <v>1481</v>
      </c>
      <c r="E125" s="319">
        <v>46078.0</v>
      </c>
      <c r="F125" s="315" t="s">
        <v>26</v>
      </c>
      <c r="G125" s="315" t="s">
        <v>2009</v>
      </c>
      <c r="H125" s="327" t="s">
        <v>2010</v>
      </c>
      <c r="I125" s="327">
        <v>9.284373002E9</v>
      </c>
      <c r="J125" s="327"/>
      <c r="K125" s="327" t="s">
        <v>2011</v>
      </c>
      <c r="L125" s="315" t="s">
        <v>2012</v>
      </c>
      <c r="M125" s="315"/>
      <c r="N125" s="318" t="s">
        <v>33</v>
      </c>
      <c r="O125" s="315"/>
      <c r="P125" s="319"/>
      <c r="Q125" s="328" t="s">
        <v>2013</v>
      </c>
      <c r="R125" s="322"/>
      <c r="S125" s="283"/>
      <c r="T125" s="283"/>
      <c r="U125" s="283"/>
      <c r="V125" s="283"/>
      <c r="W125" s="283"/>
      <c r="X125" s="283"/>
      <c r="Y125" s="283"/>
    </row>
    <row r="126" ht="22.5" customHeight="1">
      <c r="A126" s="283"/>
      <c r="B126" s="329">
        <v>122.0</v>
      </c>
      <c r="C126" s="288" t="s">
        <v>25</v>
      </c>
      <c r="D126" s="318" t="s">
        <v>1481</v>
      </c>
      <c r="E126" s="319">
        <v>46078.0</v>
      </c>
      <c r="F126" s="315" t="s">
        <v>26</v>
      </c>
      <c r="G126" s="315" t="s">
        <v>1793</v>
      </c>
      <c r="H126" s="327" t="s">
        <v>2014</v>
      </c>
      <c r="I126" s="327">
        <v>9.820277977E9</v>
      </c>
      <c r="J126" s="327"/>
      <c r="K126" s="327" t="s">
        <v>2015</v>
      </c>
      <c r="L126" s="315"/>
      <c r="M126" s="315"/>
      <c r="N126" s="318" t="s">
        <v>46</v>
      </c>
      <c r="O126" s="315"/>
      <c r="P126" s="319"/>
      <c r="Q126" s="328" t="s">
        <v>2016</v>
      </c>
      <c r="R126" s="322"/>
      <c r="S126" s="283"/>
      <c r="T126" s="283"/>
      <c r="U126" s="283"/>
      <c r="V126" s="283"/>
      <c r="W126" s="283"/>
      <c r="X126" s="283"/>
      <c r="Y126" s="283"/>
    </row>
    <row r="127" ht="22.5" customHeight="1">
      <c r="A127" s="283"/>
      <c r="B127" s="329">
        <v>123.0</v>
      </c>
      <c r="C127" s="288" t="s">
        <v>25</v>
      </c>
      <c r="D127" s="318" t="s">
        <v>1481</v>
      </c>
      <c r="E127" s="319">
        <v>46078.0</v>
      </c>
      <c r="F127" s="315" t="s">
        <v>26</v>
      </c>
      <c r="G127" s="315" t="s">
        <v>2017</v>
      </c>
      <c r="H127" s="327" t="s">
        <v>2018</v>
      </c>
      <c r="I127" s="327">
        <v>9.987991017E9</v>
      </c>
      <c r="J127" s="327"/>
      <c r="K127" s="327" t="s">
        <v>2019</v>
      </c>
      <c r="L127" s="315"/>
      <c r="M127" s="315"/>
      <c r="N127" s="318" t="s">
        <v>33</v>
      </c>
      <c r="O127" s="315"/>
      <c r="P127" s="319"/>
      <c r="Q127" s="328" t="s">
        <v>2020</v>
      </c>
      <c r="R127" s="322"/>
      <c r="S127" s="283"/>
      <c r="T127" s="283"/>
      <c r="U127" s="283"/>
      <c r="V127" s="283"/>
      <c r="W127" s="283"/>
      <c r="X127" s="283"/>
      <c r="Y127" s="283"/>
    </row>
    <row r="128" ht="22.5" customHeight="1">
      <c r="A128" s="338"/>
      <c r="B128" s="339">
        <v>124.0</v>
      </c>
      <c r="C128" s="340" t="s">
        <v>25</v>
      </c>
      <c r="D128" s="341" t="s">
        <v>1481</v>
      </c>
      <c r="E128" s="342">
        <v>46078.0</v>
      </c>
      <c r="F128" s="340" t="s">
        <v>26</v>
      </c>
      <c r="G128" s="340" t="s">
        <v>2021</v>
      </c>
      <c r="H128" s="343" t="s">
        <v>1665</v>
      </c>
      <c r="I128" s="343">
        <v>9.833444184E9</v>
      </c>
      <c r="J128" s="343"/>
      <c r="K128" s="343" t="s">
        <v>2022</v>
      </c>
      <c r="L128" s="340"/>
      <c r="M128" s="340"/>
      <c r="N128" s="341" t="s">
        <v>154</v>
      </c>
      <c r="O128" s="340"/>
      <c r="P128" s="342"/>
      <c r="Q128" s="344" t="s">
        <v>2023</v>
      </c>
      <c r="R128" s="356" t="s">
        <v>2024</v>
      </c>
      <c r="S128" s="338"/>
      <c r="T128" s="338"/>
      <c r="U128" s="338"/>
      <c r="V128" s="338"/>
      <c r="W128" s="338"/>
      <c r="X128" s="338"/>
      <c r="Y128" s="338"/>
    </row>
    <row r="129" ht="22.5" customHeight="1">
      <c r="A129" s="283"/>
      <c r="B129" s="329">
        <v>125.0</v>
      </c>
      <c r="C129" s="288" t="s">
        <v>25</v>
      </c>
      <c r="D129" s="318" t="s">
        <v>1481</v>
      </c>
      <c r="E129" s="319">
        <v>46078.0</v>
      </c>
      <c r="F129" s="315" t="s">
        <v>26</v>
      </c>
      <c r="G129" s="315" t="s">
        <v>2025</v>
      </c>
      <c r="H129" s="327" t="s">
        <v>119</v>
      </c>
      <c r="I129" s="327">
        <v>8.356928929E9</v>
      </c>
      <c r="J129" s="327"/>
      <c r="K129" s="327" t="s">
        <v>2026</v>
      </c>
      <c r="L129" s="315"/>
      <c r="M129" s="315"/>
      <c r="N129" s="318" t="s">
        <v>46</v>
      </c>
      <c r="O129" s="315"/>
      <c r="P129" s="319"/>
      <c r="Q129" s="328" t="s">
        <v>2027</v>
      </c>
      <c r="R129" s="322"/>
      <c r="S129" s="283"/>
      <c r="T129" s="283"/>
      <c r="U129" s="283"/>
      <c r="V129" s="283"/>
      <c r="W129" s="283"/>
      <c r="X129" s="283"/>
      <c r="Y129" s="283"/>
    </row>
    <row r="130" ht="22.5" customHeight="1">
      <c r="A130" s="283"/>
      <c r="B130" s="329">
        <v>126.0</v>
      </c>
      <c r="C130" s="288" t="s">
        <v>25</v>
      </c>
      <c r="D130" s="318" t="s">
        <v>1481</v>
      </c>
      <c r="E130" s="319">
        <v>46078.0</v>
      </c>
      <c r="F130" s="315" t="s">
        <v>26</v>
      </c>
      <c r="G130" s="315" t="s">
        <v>179</v>
      </c>
      <c r="H130" s="327" t="s">
        <v>494</v>
      </c>
      <c r="I130" s="327">
        <v>9.082784041E9</v>
      </c>
      <c r="J130" s="327"/>
      <c r="K130" s="327" t="s">
        <v>2028</v>
      </c>
      <c r="L130" s="315"/>
      <c r="M130" s="315"/>
      <c r="N130" s="318" t="s">
        <v>154</v>
      </c>
      <c r="O130" s="315"/>
      <c r="P130" s="319"/>
      <c r="Q130" s="328" t="s">
        <v>2029</v>
      </c>
      <c r="R130" s="322"/>
      <c r="S130" s="283"/>
      <c r="T130" s="283"/>
      <c r="U130" s="283"/>
      <c r="V130" s="283"/>
      <c r="W130" s="283"/>
      <c r="X130" s="283"/>
      <c r="Y130" s="283"/>
    </row>
    <row r="131" ht="22.5" customHeight="1">
      <c r="A131" s="338"/>
      <c r="B131" s="339">
        <v>127.0</v>
      </c>
      <c r="C131" s="340" t="s">
        <v>25</v>
      </c>
      <c r="D131" s="341" t="s">
        <v>1481</v>
      </c>
      <c r="E131" s="342">
        <v>46078.0</v>
      </c>
      <c r="F131" s="340" t="s">
        <v>26</v>
      </c>
      <c r="G131" s="340" t="s">
        <v>2030</v>
      </c>
      <c r="H131" s="343" t="s">
        <v>2031</v>
      </c>
      <c r="I131" s="343">
        <v>9.833636784E9</v>
      </c>
      <c r="J131" s="343"/>
      <c r="K131" s="343" t="s">
        <v>2032</v>
      </c>
      <c r="L131" s="340"/>
      <c r="M131" s="340"/>
      <c r="N131" s="341" t="s">
        <v>154</v>
      </c>
      <c r="O131" s="340"/>
      <c r="P131" s="342"/>
      <c r="Q131" s="344" t="s">
        <v>2033</v>
      </c>
      <c r="R131" s="357"/>
      <c r="S131" s="338"/>
      <c r="T131" s="338"/>
      <c r="U131" s="338"/>
      <c r="V131" s="338"/>
      <c r="W131" s="338"/>
      <c r="X131" s="338"/>
      <c r="Y131" s="338"/>
    </row>
    <row r="132" ht="22.5" customHeight="1">
      <c r="A132" s="283"/>
      <c r="B132" s="329">
        <v>128.0</v>
      </c>
      <c r="C132" s="288" t="s">
        <v>25</v>
      </c>
      <c r="D132" s="318" t="s">
        <v>1481</v>
      </c>
      <c r="E132" s="319">
        <v>46078.0</v>
      </c>
      <c r="F132" s="315" t="s">
        <v>26</v>
      </c>
      <c r="G132" s="315" t="s">
        <v>38</v>
      </c>
      <c r="H132" s="327" t="s">
        <v>2034</v>
      </c>
      <c r="I132" s="327">
        <v>9.322284047E9</v>
      </c>
      <c r="J132" s="327"/>
      <c r="K132" s="327"/>
      <c r="L132" s="315">
        <v>1.0</v>
      </c>
      <c r="M132" s="315" t="s">
        <v>1505</v>
      </c>
      <c r="N132" s="318" t="s">
        <v>46</v>
      </c>
      <c r="O132" s="315"/>
      <c r="P132" s="319"/>
      <c r="Q132" s="328" t="s">
        <v>2035</v>
      </c>
      <c r="R132" s="322"/>
      <c r="S132" s="283"/>
      <c r="T132" s="283"/>
      <c r="U132" s="283"/>
      <c r="V132" s="283"/>
      <c r="W132" s="283"/>
      <c r="X132" s="283"/>
      <c r="Y132" s="283"/>
    </row>
    <row r="133" ht="22.5" customHeight="1">
      <c r="A133" s="283"/>
      <c r="B133" s="329">
        <v>129.0</v>
      </c>
      <c r="C133" s="288" t="s">
        <v>25</v>
      </c>
      <c r="D133" s="318" t="s">
        <v>1481</v>
      </c>
      <c r="E133" s="319">
        <v>46079.0</v>
      </c>
      <c r="F133" s="315" t="s">
        <v>26</v>
      </c>
      <c r="G133" s="315" t="s">
        <v>915</v>
      </c>
      <c r="H133" s="327" t="s">
        <v>2036</v>
      </c>
      <c r="I133" s="327">
        <v>9.096153085E9</v>
      </c>
      <c r="J133" s="327"/>
      <c r="K133" s="327"/>
      <c r="L133" s="315"/>
      <c r="M133" s="315"/>
      <c r="N133" s="318" t="s">
        <v>33</v>
      </c>
      <c r="O133" s="315"/>
      <c r="P133" s="319"/>
      <c r="Q133" s="328" t="s">
        <v>2037</v>
      </c>
      <c r="R133" s="322"/>
      <c r="S133" s="283"/>
      <c r="T133" s="283"/>
      <c r="U133" s="283"/>
      <c r="V133" s="283"/>
      <c r="W133" s="283"/>
      <c r="X133" s="283"/>
      <c r="Y133" s="283"/>
    </row>
    <row r="134" ht="22.5" customHeight="1">
      <c r="A134" s="283"/>
      <c r="B134" s="329">
        <v>130.0</v>
      </c>
      <c r="C134" s="288" t="s">
        <v>25</v>
      </c>
      <c r="D134" s="318" t="s">
        <v>1481</v>
      </c>
      <c r="E134" s="319">
        <v>46079.0</v>
      </c>
      <c r="F134" s="315" t="s">
        <v>26</v>
      </c>
      <c r="G134" s="315" t="s">
        <v>2038</v>
      </c>
      <c r="H134" s="327" t="s">
        <v>90</v>
      </c>
      <c r="I134" s="327">
        <v>8.65549099E9</v>
      </c>
      <c r="J134" s="327"/>
      <c r="K134" s="327" t="s">
        <v>2039</v>
      </c>
      <c r="L134" s="315"/>
      <c r="M134" s="315"/>
      <c r="N134" s="318" t="s">
        <v>46</v>
      </c>
      <c r="O134" s="315"/>
      <c r="P134" s="319"/>
      <c r="Q134" s="328" t="s">
        <v>2040</v>
      </c>
      <c r="R134" s="322"/>
      <c r="S134" s="283"/>
      <c r="T134" s="283"/>
      <c r="U134" s="283"/>
      <c r="V134" s="283"/>
      <c r="W134" s="283"/>
      <c r="X134" s="283"/>
      <c r="Y134" s="283"/>
    </row>
    <row r="135" ht="22.5" customHeight="1">
      <c r="A135" s="283"/>
      <c r="B135" s="329">
        <v>131.0</v>
      </c>
      <c r="C135" s="288" t="s">
        <v>25</v>
      </c>
      <c r="D135" s="318" t="s">
        <v>1481</v>
      </c>
      <c r="E135" s="319">
        <v>46079.0</v>
      </c>
      <c r="F135" s="315" t="s">
        <v>26</v>
      </c>
      <c r="G135" s="315" t="s">
        <v>338</v>
      </c>
      <c r="H135" s="327" t="s">
        <v>2041</v>
      </c>
      <c r="I135" s="327">
        <v>9.820537988E9</v>
      </c>
      <c r="J135" s="327"/>
      <c r="K135" s="327"/>
      <c r="L135" s="315"/>
      <c r="M135" s="315"/>
      <c r="N135" s="318" t="s">
        <v>80</v>
      </c>
      <c r="O135" s="315"/>
      <c r="P135" s="319"/>
      <c r="Q135" s="328" t="s">
        <v>2042</v>
      </c>
      <c r="R135" s="322"/>
      <c r="S135" s="283"/>
      <c r="T135" s="283"/>
      <c r="U135" s="283"/>
      <c r="V135" s="283"/>
      <c r="W135" s="283"/>
      <c r="X135" s="283"/>
      <c r="Y135" s="283"/>
    </row>
    <row r="136" ht="22.5" customHeight="1">
      <c r="A136" s="283"/>
      <c r="B136" s="329">
        <v>132.0</v>
      </c>
      <c r="C136" s="288" t="s">
        <v>25</v>
      </c>
      <c r="D136" s="318" t="s">
        <v>1481</v>
      </c>
      <c r="E136" s="319">
        <v>46079.0</v>
      </c>
      <c r="F136" s="315" t="s">
        <v>26</v>
      </c>
      <c r="G136" s="315" t="s">
        <v>2043</v>
      </c>
      <c r="H136" s="327" t="s">
        <v>2044</v>
      </c>
      <c r="I136" s="327">
        <v>9.820288382E9</v>
      </c>
      <c r="J136" s="327"/>
      <c r="K136" s="327"/>
      <c r="L136" s="315"/>
      <c r="M136" s="315"/>
      <c r="N136" s="318" t="s">
        <v>46</v>
      </c>
      <c r="O136" s="315"/>
      <c r="P136" s="319"/>
      <c r="Q136" s="328" t="s">
        <v>2045</v>
      </c>
      <c r="R136" s="322"/>
      <c r="S136" s="283"/>
      <c r="T136" s="283"/>
      <c r="U136" s="283"/>
      <c r="V136" s="283"/>
      <c r="W136" s="283"/>
      <c r="X136" s="283"/>
      <c r="Y136" s="283"/>
    </row>
    <row r="137" ht="22.5" customHeight="1">
      <c r="A137" s="283"/>
      <c r="B137" s="329">
        <v>133.0</v>
      </c>
      <c r="C137" s="288" t="s">
        <v>25</v>
      </c>
      <c r="D137" s="318" t="s">
        <v>1481</v>
      </c>
      <c r="E137" s="319">
        <v>46080.0</v>
      </c>
      <c r="F137" s="315" t="s">
        <v>26</v>
      </c>
      <c r="G137" s="315" t="s">
        <v>2046</v>
      </c>
      <c r="H137" s="327" t="s">
        <v>2047</v>
      </c>
      <c r="I137" s="327">
        <v>8.356874181E9</v>
      </c>
      <c r="J137" s="327"/>
      <c r="K137" s="327"/>
      <c r="L137" s="315"/>
      <c r="M137" s="315"/>
      <c r="N137" s="318" t="s">
        <v>33</v>
      </c>
      <c r="O137" s="315"/>
      <c r="P137" s="319"/>
      <c r="Q137" s="328" t="s">
        <v>2048</v>
      </c>
      <c r="R137" s="322"/>
      <c r="S137" s="283"/>
      <c r="T137" s="283"/>
      <c r="U137" s="283"/>
      <c r="V137" s="283"/>
      <c r="W137" s="283"/>
      <c r="X137" s="283"/>
      <c r="Y137" s="283"/>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row>
    <row r="163">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row>
    <row r="164">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row>
    <row r="165">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row>
    <row r="166">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row>
    <row r="167">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row>
    <row r="168">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row>
    <row r="169">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row>
    <row r="170">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row>
    <row r="17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row>
    <row r="172">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row>
    <row r="173">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row>
    <row r="174">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row>
    <row r="175">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row>
    <row r="176">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row>
    <row r="177">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row>
    <row r="178">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row>
    <row r="179">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row>
    <row r="180">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row>
    <row r="18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row>
    <row r="182">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row>
    <row r="183">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row>
    <row r="184">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row>
    <row r="185">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row>
    <row r="186">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row>
    <row r="187">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row>
    <row r="188">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row>
    <row r="189">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row>
    <row r="190">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row>
    <row r="19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row>
    <row r="192">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row>
    <row r="193">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row>
    <row r="194">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row>
    <row r="195">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row>
    <row r="196">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row>
    <row r="197">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row>
    <row r="198">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row>
    <row r="199">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row>
    <row r="200">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row>
    <row r="20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row>
    <row r="202">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row>
    <row r="203">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row>
    <row r="204">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row>
    <row r="205">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row>
    <row r="206">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row>
    <row r="207">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row>
    <row r="208">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row>
    <row r="209">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row>
    <row r="210">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row>
    <row r="21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row>
    <row r="212">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row>
    <row r="213">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row>
    <row r="214">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row>
    <row r="215">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row>
    <row r="216">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row>
    <row r="217">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row>
    <row r="218">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row>
    <row r="219">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row>
    <row r="220">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row>
    <row r="22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row>
    <row r="222">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row>
    <row r="223">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row>
    <row r="224">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row>
    <row r="225">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row>
    <row r="226">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row>
    <row r="227">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row>
    <row r="228">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row>
    <row r="229">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row>
    <row r="230">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row>
    <row r="23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row>
    <row r="232">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row>
    <row r="233">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row>
    <row r="234">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row>
    <row r="235">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row>
    <row r="236">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row>
    <row r="237">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row>
    <row r="238">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row>
    <row r="239">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row>
    <row r="240">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row>
    <row r="24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row>
    <row r="242">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row>
    <row r="243">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row>
    <row r="244">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row>
    <row r="245">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row>
    <row r="246">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row>
    <row r="247">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row>
    <row r="248">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row>
    <row r="249">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row>
    <row r="250">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row>
    <row r="25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row>
    <row r="252">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row>
    <row r="253">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row>
    <row r="254">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row>
    <row r="255">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row>
    <row r="256">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row>
    <row r="257">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row>
    <row r="258">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row>
    <row r="259">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row>
    <row r="260">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row>
    <row r="26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row>
    <row r="262">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row>
    <row r="263">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row>
    <row r="264">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row>
    <row r="265">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row>
    <row r="266">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row>
    <row r="267">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row>
    <row r="268">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row>
    <row r="269">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row>
    <row r="270">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row>
    <row r="27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row>
    <row r="272">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row>
    <row r="273">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row>
    <row r="274">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row>
    <row r="275">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row>
    <row r="276">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row>
    <row r="277">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row>
    <row r="278">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row>
    <row r="279">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row>
    <row r="280">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row>
    <row r="28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row>
    <row r="282">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row>
    <row r="283">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row>
    <row r="284">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row>
    <row r="285">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row>
    <row r="286">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row>
    <row r="287">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row>
    <row r="288">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row>
    <row r="289">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row>
    <row r="290">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row>
    <row r="29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row>
    <row r="292">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row>
    <row r="293">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row>
    <row r="294">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row>
    <row r="295">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row>
    <row r="296">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row>
    <row r="297">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row>
    <row r="298">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row>
    <row r="299">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row>
    <row r="300">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row>
    <row r="30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row>
    <row r="302">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row>
    <row r="303">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row>
    <row r="304">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row>
    <row r="305">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row>
    <row r="306">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row>
    <row r="307">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row>
    <row r="308">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row>
    <row r="309">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row>
    <row r="310">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row>
    <row r="31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row>
    <row r="312">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row>
    <row r="313">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row>
    <row r="314">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row>
    <row r="315">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row>
    <row r="316">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row>
    <row r="317">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row>
    <row r="318">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row>
    <row r="319">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row>
    <row r="320">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row>
    <row r="32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row>
    <row r="322">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row>
    <row r="323">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row>
    <row r="324">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row>
    <row r="325">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row>
    <row r="326">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row>
    <row r="327">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row>
    <row r="328">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row>
    <row r="329">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row>
    <row r="330">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row>
    <row r="33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row>
    <row r="332">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row>
    <row r="333">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row>
    <row r="334">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row>
    <row r="335">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row>
    <row r="336">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row>
    <row r="337">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row>
    <row r="338">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row>
    <row r="339">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row>
    <row r="340">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row>
    <row r="34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row>
    <row r="342">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row>
    <row r="343">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row>
    <row r="344">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row>
    <row r="345">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row>
    <row r="346">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row>
    <row r="347">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row>
    <row r="348">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row>
    <row r="349">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row>
    <row r="350">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row>
    <row r="35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row>
    <row r="352">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row>
    <row r="353">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row>
    <row r="354">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row>
    <row r="355">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row>
    <row r="356">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row>
    <row r="357">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row>
    <row r="358">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row>
    <row r="359">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row>
    <row r="360">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row>
    <row r="36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row>
    <row r="362">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row>
    <row r="363">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row>
    <row r="364">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row>
    <row r="365">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row>
    <row r="366">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row>
    <row r="367">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row>
    <row r="368">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row>
    <row r="369">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row>
    <row r="370">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row>
    <row r="37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row>
    <row r="372">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row>
    <row r="373">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row>
    <row r="374">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row>
    <row r="375">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row>
    <row r="376">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row>
    <row r="377">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row>
    <row r="378">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row>
    <row r="379">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row>
    <row r="380">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row>
    <row r="38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row>
    <row r="382">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row>
    <row r="383">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row>
    <row r="384">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row>
    <row r="385">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row>
    <row r="386">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row>
    <row r="387">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row>
    <row r="388">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row>
    <row r="389">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row>
    <row r="390">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row>
    <row r="39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row>
    <row r="392">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row>
    <row r="393">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row>
    <row r="394">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row>
    <row r="395">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row>
    <row r="396">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row>
    <row r="397">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row>
    <row r="398">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row>
    <row r="399">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row>
    <row r="400">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row>
    <row r="40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row>
    <row r="402">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row>
    <row r="403">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row>
    <row r="404">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row>
    <row r="405">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row>
    <row r="406">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row>
    <row r="407">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row>
    <row r="408">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row>
    <row r="409">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row>
    <row r="410">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row>
    <row r="41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row>
    <row r="412">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row>
    <row r="413">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row>
    <row r="414">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row>
    <row r="415">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row>
    <row r="416">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row>
    <row r="417">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row>
    <row r="418">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row>
    <row r="419">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row>
    <row r="420">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row>
    <row r="42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row>
    <row r="422">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row>
    <row r="423">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row>
    <row r="424">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row>
    <row r="425">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row>
    <row r="426">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row>
    <row r="427">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row>
    <row r="428">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row>
    <row r="429">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row>
    <row r="430">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row>
    <row r="43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row>
    <row r="432">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row>
    <row r="433">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row>
    <row r="434">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row>
    <row r="435">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row>
    <row r="436">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row>
    <row r="437">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row>
    <row r="438">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row>
    <row r="439">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row>
    <row r="440">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row>
    <row r="44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row>
    <row r="442">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row>
    <row r="443">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row>
    <row r="444">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row>
    <row r="445">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row>
    <row r="446">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row>
    <row r="447">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row>
    <row r="448">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row>
    <row r="449">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row>
    <row r="450">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row>
    <row r="45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row>
    <row r="452">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row>
    <row r="453">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row>
    <row r="454">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row>
    <row r="455">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row>
    <row r="456">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row>
    <row r="457">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row>
    <row r="458">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row>
    <row r="459">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row>
    <row r="460">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row>
    <row r="46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row>
    <row r="462">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row>
    <row r="463">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row>
    <row r="464">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row>
    <row r="465">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row>
    <row r="466">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row>
    <row r="467">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row>
    <row r="468">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row>
    <row r="469">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row>
    <row r="470">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row>
    <row r="47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row>
    <row r="472">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row>
    <row r="473">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row>
    <row r="474">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row>
    <row r="475">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row>
    <row r="476">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row>
    <row r="477">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row>
    <row r="478">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row>
    <row r="479">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row>
    <row r="480">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row>
    <row r="48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row>
    <row r="482">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row>
    <row r="483">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row>
    <row r="484">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row>
    <row r="485">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row>
    <row r="486">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row>
    <row r="487">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row>
    <row r="488">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row>
    <row r="489">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row>
    <row r="490">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row>
    <row r="49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row>
    <row r="492">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row>
    <row r="493">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row>
    <row r="494">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row>
    <row r="495">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row>
    <row r="496">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row>
    <row r="497">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row>
    <row r="498">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row>
    <row r="499">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row>
    <row r="500">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row>
    <row r="50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row>
    <row r="502">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row>
    <row r="503">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row>
    <row r="504">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row>
    <row r="505">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row>
    <row r="506">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row>
    <row r="507">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row>
    <row r="508">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row>
    <row r="509">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row>
    <row r="510">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row>
    <row r="51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row>
    <row r="512">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row>
    <row r="513">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row>
    <row r="514">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row>
    <row r="515">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row>
    <row r="516">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row>
    <row r="517">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row>
    <row r="518">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row>
    <row r="519">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row>
    <row r="520">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row>
    <row r="52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row>
    <row r="522">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row>
    <row r="523">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row>
    <row r="524">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row>
    <row r="525">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row>
    <row r="526">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row>
    <row r="527">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row>
    <row r="528">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row>
    <row r="529">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row>
    <row r="530">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row>
    <row r="53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row>
    <row r="532">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row>
    <row r="533">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row>
    <row r="534">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row>
    <row r="535">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row>
    <row r="536">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row>
    <row r="537">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row>
    <row r="538">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row>
    <row r="539">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row>
    <row r="540">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row>
    <row r="54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row>
    <row r="542">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row>
    <row r="543">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row>
    <row r="544">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row>
    <row r="545">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row>
    <row r="546">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row>
    <row r="547">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row>
    <row r="548">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row>
    <row r="549">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row>
    <row r="550">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row>
    <row r="55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row>
    <row r="552">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row>
    <row r="553">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row>
    <row r="554">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row>
    <row r="555">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row>
    <row r="556">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row>
    <row r="557">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row>
    <row r="558">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row>
    <row r="559">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row>
    <row r="560">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row>
    <row r="56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row>
    <row r="562">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row>
    <row r="563">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row>
    <row r="564">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row>
    <row r="565">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row>
    <row r="566">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row>
    <row r="567">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row>
    <row r="568">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row>
    <row r="569">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row>
    <row r="570">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row>
    <row r="57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row>
    <row r="572">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row>
    <row r="573">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row>
    <row r="574">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row>
    <row r="575">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row>
    <row r="576">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row>
    <row r="577">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row>
    <row r="578">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row>
    <row r="579">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row>
    <row r="580">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row>
    <row r="58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row>
    <row r="582">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row>
    <row r="583">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row>
    <row r="584">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row>
    <row r="585">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row>
    <row r="586">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row>
    <row r="587">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row>
    <row r="588">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row>
    <row r="589">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row>
    <row r="590">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row>
    <row r="59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row>
    <row r="592">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row>
    <row r="593">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row>
    <row r="594">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row>
    <row r="595">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row>
    <row r="596">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row>
    <row r="597">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row>
    <row r="598">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row>
    <row r="599">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row>
    <row r="600">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row>
    <row r="60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row>
    <row r="602">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row>
    <row r="603">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row>
    <row r="604">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row>
    <row r="605">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row>
    <row r="606">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row>
    <row r="607">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row>
    <row r="608">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row>
    <row r="609">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row>
    <row r="610">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row>
    <row r="61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row>
    <row r="612">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row>
    <row r="613">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row>
    <row r="614">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row>
    <row r="615">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row>
    <row r="616">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row>
    <row r="617">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row>
    <row r="618">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row>
    <row r="619">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row>
    <row r="620">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row>
    <row r="62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row>
    <row r="622">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row>
    <row r="623">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row>
    <row r="624">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row>
    <row r="625">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row>
    <row r="626">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row>
    <row r="627">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row>
    <row r="628">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row>
    <row r="629">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row>
    <row r="630">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row>
    <row r="63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row>
    <row r="632">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row>
    <row r="633">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row>
    <row r="634">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row>
    <row r="635">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row>
    <row r="636">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row>
    <row r="637">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row>
    <row r="638">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row>
    <row r="639">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row>
    <row r="640">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row>
    <row r="64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row>
    <row r="642">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row>
    <row r="643">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row>
    <row r="644">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row>
    <row r="645">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row>
    <row r="646">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row>
    <row r="647">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row>
    <row r="648">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row>
    <row r="649">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row>
    <row r="650">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row>
    <row r="65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row>
    <row r="652">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row>
    <row r="653">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row>
    <row r="654">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row>
    <row r="655">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row>
    <row r="656">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row>
    <row r="657">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row>
    <row r="658">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row>
    <row r="659">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row>
    <row r="660">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row>
    <row r="66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row>
    <row r="662">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row>
    <row r="663">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row>
    <row r="664">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row>
    <row r="665">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row>
    <row r="666">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row>
    <row r="667">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row>
    <row r="668">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row>
    <row r="669">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row>
    <row r="670">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row>
    <row r="67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row>
    <row r="672">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row>
    <row r="673">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row>
    <row r="674">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row>
    <row r="675">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row>
    <row r="676">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row>
    <row r="677">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row>
    <row r="678">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row>
    <row r="679">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row>
    <row r="680">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row>
    <row r="68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row>
    <row r="682">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row>
    <row r="683">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row>
    <row r="684">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row>
    <row r="685">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row>
    <row r="686">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row>
    <row r="687">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row>
    <row r="688">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row>
    <row r="689">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row>
    <row r="690">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row>
    <row r="69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row>
    <row r="692">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row>
    <row r="693">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row>
    <row r="694">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row>
    <row r="695">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row>
    <row r="696">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row>
    <row r="697">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row>
    <row r="698">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row>
    <row r="699">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row>
    <row r="700">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row>
    <row r="70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row>
    <row r="702">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row>
    <row r="703">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row>
    <row r="704">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row>
    <row r="705">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row>
    <row r="706">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row>
    <row r="707">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row>
    <row r="708">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row>
    <row r="709">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row>
    <row r="710">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row>
    <row r="71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row>
    <row r="712">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row>
    <row r="713">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row>
    <row r="714">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row>
    <row r="715">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row>
    <row r="716">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row>
    <row r="717">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row>
    <row r="718">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row>
    <row r="719">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row>
    <row r="720">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row>
    <row r="72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row>
    <row r="722">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row>
    <row r="723">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row>
    <row r="724">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row>
    <row r="725">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row>
    <row r="726">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row>
    <row r="727">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row>
    <row r="728">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row>
    <row r="729">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row>
    <row r="730">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row>
    <row r="73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row>
    <row r="732">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row>
    <row r="733">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row>
    <row r="734">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row>
    <row r="735">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row>
    <row r="736">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row>
    <row r="737">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row>
    <row r="738">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row>
    <row r="739">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row>
    <row r="740">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row>
    <row r="74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row>
    <row r="742">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row>
    <row r="743">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row>
    <row r="744">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row>
    <row r="745">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row>
    <row r="746">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row>
    <row r="747">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row>
    <row r="748">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row>
    <row r="749">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row>
    <row r="750">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row>
    <row r="75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row>
    <row r="752">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row>
    <row r="753">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row>
    <row r="754">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row>
    <row r="755">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row>
    <row r="756">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row>
    <row r="757">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row>
    <row r="758">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row>
    <row r="759">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row>
    <row r="760">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row>
    <row r="76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row>
    <row r="762">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row>
    <row r="763">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row>
    <row r="764">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row>
    <row r="765">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row>
    <row r="766">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row>
    <row r="767">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row>
    <row r="768">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row>
    <row r="769">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row>
    <row r="770">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row>
    <row r="77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row>
    <row r="772">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row>
    <row r="773">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row>
    <row r="774">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row>
    <row r="775">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row>
    <row r="776">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row>
    <row r="777">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row>
    <row r="778">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row>
    <row r="779">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row>
    <row r="780">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row>
    <row r="78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row>
    <row r="782">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row>
    <row r="783">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row>
    <row r="784">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row>
    <row r="785">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row>
    <row r="786">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row>
    <row r="787">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row>
    <row r="788">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row>
    <row r="789">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row>
    <row r="790">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row>
    <row r="79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row>
    <row r="792">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row>
    <row r="793">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row>
    <row r="794">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row>
    <row r="795">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row>
    <row r="796">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row>
    <row r="797">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row>
    <row r="798">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row>
    <row r="799">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row>
    <row r="800">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row>
    <row r="80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row>
    <row r="802">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row>
    <row r="803">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row>
    <row r="804">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row>
    <row r="805">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row>
    <row r="806">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row>
    <row r="807">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row>
    <row r="808">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row>
    <row r="809">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row>
    <row r="810">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row>
    <row r="81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row>
    <row r="812">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row>
    <row r="813">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row>
    <row r="814">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row>
    <row r="815">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row>
    <row r="816">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row>
    <row r="817">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row>
    <row r="818">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row>
    <row r="819">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row>
    <row r="820">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row>
    <row r="82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row>
    <row r="822">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row>
    <row r="823">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row>
    <row r="824">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row>
    <row r="825">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row>
    <row r="826">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row>
    <row r="827">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row>
    <row r="828">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row>
    <row r="829">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row>
    <row r="830">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row>
    <row r="83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row>
    <row r="832">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row>
    <row r="833">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row>
    <row r="834">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row>
    <row r="835">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row>
    <row r="836">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row>
    <row r="837">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row>
    <row r="838">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row>
    <row r="839">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row>
    <row r="840">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row>
    <row r="84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row>
    <row r="842">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row>
    <row r="843">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row>
    <row r="844">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row>
    <row r="845">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row>
    <row r="846">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row>
    <row r="847">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row>
    <row r="848">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row>
    <row r="849">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row>
    <row r="850">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row>
    <row r="85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row>
    <row r="852">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row>
    <row r="853">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row>
    <row r="854">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row>
    <row r="855">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row>
    <row r="856">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row>
    <row r="857">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row>
    <row r="858">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row>
    <row r="859">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row>
    <row r="860">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row>
    <row r="86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row>
    <row r="862">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row>
    <row r="863">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row>
    <row r="864">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row>
    <row r="865">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row>
    <row r="866">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row>
    <row r="867">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row>
    <row r="868">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row>
    <row r="869">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row>
    <row r="870">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row>
    <row r="87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row>
    <row r="872">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row>
    <row r="873">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row>
    <row r="874">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row>
    <row r="875">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row>
    <row r="876">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row>
    <row r="877">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row>
    <row r="878">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row>
    <row r="879">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row>
    <row r="880">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row>
    <row r="88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row>
    <row r="882">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row>
    <row r="883">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row>
    <row r="884">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row>
    <row r="885">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row>
    <row r="886">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row>
    <row r="887">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row>
    <row r="888">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row>
    <row r="889">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row>
    <row r="890">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row>
    <row r="89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row>
    <row r="892">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row>
    <row r="893">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row>
    <row r="894">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row>
    <row r="895">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row>
    <row r="896">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row>
    <row r="897">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row>
    <row r="898">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row>
    <row r="899">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row>
    <row r="900">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row>
    <row r="90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row>
    <row r="902">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row>
    <row r="903">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row>
    <row r="904">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row>
    <row r="905">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row>
    <row r="906">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row>
    <row r="907">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row>
    <row r="908">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row>
    <row r="909">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row>
    <row r="910">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row>
    <row r="91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row>
    <row r="912">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row>
    <row r="913">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row>
    <row r="914">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row>
    <row r="915">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row>
    <row r="916">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row>
    <row r="917">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row>
    <row r="918">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row>
    <row r="919">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row>
    <row r="920">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row>
    <row r="92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row>
    <row r="922">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row>
    <row r="923">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row>
    <row r="924">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row>
    <row r="925">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row>
    <row r="926">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row>
    <row r="927">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row>
    <row r="928">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row>
    <row r="929">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row>
    <row r="930">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row>
    <row r="93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row>
    <row r="932">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row>
    <row r="933">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row>
    <row r="934">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row>
    <row r="935">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row>
    <row r="936">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row>
    <row r="937">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row>
    <row r="938">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row>
    <row r="939">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row>
    <row r="940">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row>
    <row r="94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row>
    <row r="942">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row>
    <row r="943">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row>
    <row r="944">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row>
    <row r="945">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row>
    <row r="946">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row>
    <row r="947">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row>
    <row r="948">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row>
    <row r="949">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row>
    <row r="950">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row>
    <row r="95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row>
    <row r="952">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row>
    <row r="953">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row>
    <row r="954">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row>
    <row r="955">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row>
    <row r="956">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row>
    <row r="957">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row>
    <row r="958">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row>
    <row r="959">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row>
    <row r="960">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row>
    <row r="96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row>
    <row r="962">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row>
    <row r="963">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row>
    <row r="964">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row>
    <row r="965">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row>
    <row r="966">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row>
    <row r="967">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row>
    <row r="968">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row>
    <row r="969">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row>
    <row r="970">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row>
    <row r="97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row>
    <row r="972">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row>
    <row r="973">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row>
    <row r="974">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row>
    <row r="975">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row>
    <row r="976">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row>
    <row r="977">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row>
    <row r="978">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row>
    <row r="979">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row>
    <row r="980">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row>
    <row r="98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row>
    <row r="982">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row>
    <row r="983">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row>
    <row r="984">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row>
    <row r="985">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row>
    <row r="986">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row>
    <row r="987">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row>
    <row r="988">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row>
  </sheetData>
  <dataValidations>
    <dataValidation type="list" allowBlank="1" sqref="D4:D137">
      <formula1>"Done,Pending"</formula1>
    </dataValidation>
    <dataValidation type="list" allowBlank="1" sqref="N4:N137">
      <formula1>"Cold,Hot,Warm,Lost,Hold,Closed"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5.63"/>
    <col customWidth="1" min="4" max="5" width="24.38"/>
    <col customWidth="1" min="6" max="6" width="17.25"/>
    <col customWidth="1" min="7" max="7" width="21.75"/>
    <col customWidth="1" min="9" max="9" width="16.25"/>
    <col customWidth="1" min="10" max="10" width="23.13"/>
    <col customWidth="1" min="11" max="11" width="32.25"/>
    <col customWidth="1" min="12" max="12" width="37.25"/>
    <col customWidth="1" min="13" max="13" width="27.38"/>
    <col customWidth="1" min="14" max="14" width="25.38"/>
    <col customWidth="1" min="15" max="15" width="15.13"/>
    <col customWidth="1" min="16" max="16" width="64.38"/>
  </cols>
  <sheetData>
    <row r="1">
      <c r="A1" s="358"/>
      <c r="B1" s="358"/>
      <c r="C1" s="358"/>
      <c r="D1" s="358"/>
      <c r="E1" s="358"/>
      <c r="F1" s="358"/>
      <c r="G1" s="358"/>
      <c r="H1" s="358"/>
      <c r="I1" s="358"/>
      <c r="J1" s="358"/>
      <c r="K1" s="358"/>
      <c r="L1" s="358"/>
      <c r="M1" s="358"/>
      <c r="N1" s="358"/>
      <c r="O1" s="358"/>
      <c r="P1" s="358"/>
      <c r="Q1" s="358"/>
    </row>
    <row r="2">
      <c r="A2" s="358"/>
      <c r="B2" s="358"/>
      <c r="C2" s="358"/>
      <c r="D2" s="358"/>
      <c r="E2" s="358"/>
      <c r="F2" s="358"/>
      <c r="G2" s="358"/>
      <c r="H2" s="358"/>
      <c r="I2" s="358"/>
      <c r="J2" s="358"/>
      <c r="K2" s="358"/>
      <c r="L2" s="358"/>
      <c r="M2" s="358"/>
      <c r="N2" s="358"/>
      <c r="O2" s="358"/>
      <c r="P2" s="358"/>
      <c r="Q2" s="358"/>
    </row>
    <row r="3" ht="22.5" customHeight="1">
      <c r="A3" s="358"/>
      <c r="B3" s="359" t="s">
        <v>504</v>
      </c>
      <c r="C3" s="360" t="s">
        <v>1457</v>
      </c>
      <c r="D3" s="360" t="s">
        <v>1466</v>
      </c>
      <c r="E3" s="360" t="s">
        <v>1458</v>
      </c>
      <c r="F3" s="360" t="s">
        <v>1459</v>
      </c>
      <c r="G3" s="360" t="s">
        <v>1460</v>
      </c>
      <c r="H3" s="360" t="s">
        <v>1461</v>
      </c>
      <c r="I3" s="360" t="s">
        <v>1224</v>
      </c>
      <c r="J3" s="360" t="s">
        <v>1462</v>
      </c>
      <c r="K3" s="360" t="s">
        <v>1464</v>
      </c>
      <c r="L3" s="360" t="s">
        <v>369</v>
      </c>
      <c r="M3" s="360" t="s">
        <v>1465</v>
      </c>
      <c r="N3" s="360" t="s">
        <v>2049</v>
      </c>
      <c r="O3" s="360" t="s">
        <v>1237</v>
      </c>
      <c r="P3" s="360" t="s">
        <v>2050</v>
      </c>
      <c r="Q3" s="358"/>
    </row>
    <row r="4" ht="22.5" customHeight="1">
      <c r="A4" s="358"/>
      <c r="B4" s="361" t="s">
        <v>2051</v>
      </c>
      <c r="C4" s="362" t="s">
        <v>1470</v>
      </c>
      <c r="D4" s="363" t="s">
        <v>12</v>
      </c>
      <c r="E4" s="363" t="s">
        <v>2052</v>
      </c>
      <c r="F4" s="364" t="s">
        <v>6</v>
      </c>
      <c r="G4" s="364" t="s">
        <v>1472</v>
      </c>
      <c r="H4" s="362" t="s">
        <v>17</v>
      </c>
      <c r="I4" s="362" t="s">
        <v>18</v>
      </c>
      <c r="J4" s="362" t="s">
        <v>1473</v>
      </c>
      <c r="K4" s="362" t="s">
        <v>1475</v>
      </c>
      <c r="L4" s="362" t="s">
        <v>1476</v>
      </c>
      <c r="M4" s="362" t="s">
        <v>1477</v>
      </c>
      <c r="N4" s="362"/>
      <c r="O4" s="362" t="s">
        <v>1478</v>
      </c>
      <c r="P4" s="362" t="s">
        <v>1480</v>
      </c>
      <c r="Q4" s="358"/>
    </row>
    <row r="5" ht="130.5" customHeight="1">
      <c r="A5" s="365" t="s">
        <v>2053</v>
      </c>
      <c r="B5" s="361">
        <v>1.0</v>
      </c>
      <c r="C5" s="362" t="s">
        <v>2054</v>
      </c>
      <c r="D5" s="363" t="s">
        <v>33</v>
      </c>
      <c r="E5" s="363"/>
      <c r="F5" s="362" t="s">
        <v>1573</v>
      </c>
      <c r="G5" s="362" t="s">
        <v>610</v>
      </c>
      <c r="H5" s="362" t="s">
        <v>2055</v>
      </c>
      <c r="I5" s="362" t="s">
        <v>707</v>
      </c>
      <c r="J5" s="362">
        <v>8.425047309E9</v>
      </c>
      <c r="K5" s="362" t="s">
        <v>2056</v>
      </c>
      <c r="L5" s="362">
        <v>10.0</v>
      </c>
      <c r="M5" s="362" t="s">
        <v>2057</v>
      </c>
      <c r="N5" s="362"/>
      <c r="O5" s="362" t="s">
        <v>2058</v>
      </c>
      <c r="P5" s="362" t="s">
        <v>2059</v>
      </c>
      <c r="Q5" s="358"/>
    </row>
    <row r="6" ht="22.5" customHeight="1">
      <c r="A6" s="358"/>
      <c r="B6" s="361">
        <v>2.0</v>
      </c>
      <c r="C6" s="362" t="s">
        <v>2054</v>
      </c>
      <c r="D6" s="363" t="s">
        <v>33</v>
      </c>
      <c r="E6" s="363" t="s">
        <v>730</v>
      </c>
      <c r="F6" s="362" t="s">
        <v>1573</v>
      </c>
      <c r="G6" s="362" t="s">
        <v>610</v>
      </c>
      <c r="H6" s="362" t="s">
        <v>2060</v>
      </c>
      <c r="I6" s="362" t="s">
        <v>763</v>
      </c>
      <c r="J6" s="362">
        <v>9.167411776E9</v>
      </c>
      <c r="K6" s="362" t="s">
        <v>2061</v>
      </c>
      <c r="L6" s="364"/>
      <c r="M6" s="364"/>
      <c r="N6" s="364"/>
      <c r="O6" s="364"/>
      <c r="P6" s="362" t="s">
        <v>2062</v>
      </c>
      <c r="Q6" s="358"/>
    </row>
    <row r="7" ht="22.5" customHeight="1">
      <c r="A7" s="358"/>
      <c r="B7" s="361">
        <v>3.0</v>
      </c>
      <c r="C7" s="362" t="s">
        <v>2054</v>
      </c>
      <c r="D7" s="366"/>
      <c r="E7" s="366"/>
      <c r="F7" s="362" t="s">
        <v>1614</v>
      </c>
      <c r="G7" s="362" t="s">
        <v>610</v>
      </c>
      <c r="H7" s="362" t="s">
        <v>1076</v>
      </c>
      <c r="I7" s="362" t="s">
        <v>2063</v>
      </c>
      <c r="J7" s="362">
        <v>9.960758797E9</v>
      </c>
      <c r="K7" s="362" t="s">
        <v>2064</v>
      </c>
      <c r="L7" s="364"/>
      <c r="M7" s="364"/>
      <c r="N7" s="364"/>
      <c r="O7" s="364"/>
      <c r="P7" s="362" t="s">
        <v>2065</v>
      </c>
      <c r="Q7" s="358"/>
    </row>
    <row r="8" ht="87.75" customHeight="1">
      <c r="A8" s="358"/>
      <c r="B8" s="361">
        <v>4.0</v>
      </c>
      <c r="C8" s="362" t="s">
        <v>2066</v>
      </c>
      <c r="D8" s="363" t="s">
        <v>95</v>
      </c>
      <c r="E8" s="363" t="s">
        <v>714</v>
      </c>
      <c r="F8" s="362" t="s">
        <v>2067</v>
      </c>
      <c r="G8" s="362" t="s">
        <v>610</v>
      </c>
      <c r="H8" s="362" t="s">
        <v>2068</v>
      </c>
      <c r="I8" s="362" t="s">
        <v>2069</v>
      </c>
      <c r="J8" s="362" t="s">
        <v>2070</v>
      </c>
      <c r="K8" s="362" t="s">
        <v>2071</v>
      </c>
      <c r="L8" s="362">
        <v>50.0</v>
      </c>
      <c r="M8" s="362" t="s">
        <v>2072</v>
      </c>
      <c r="N8" s="362"/>
      <c r="O8" s="362" t="s">
        <v>2058</v>
      </c>
      <c r="P8" s="362" t="s">
        <v>2073</v>
      </c>
      <c r="Q8" s="358"/>
    </row>
    <row r="9" ht="22.5" customHeight="1">
      <c r="A9" s="358"/>
      <c r="B9" s="361">
        <v>5.0</v>
      </c>
      <c r="C9" s="362" t="s">
        <v>2054</v>
      </c>
      <c r="D9" s="363" t="s">
        <v>33</v>
      </c>
      <c r="E9" s="363" t="s">
        <v>730</v>
      </c>
      <c r="F9" s="362" t="s">
        <v>2067</v>
      </c>
      <c r="G9" s="362" t="s">
        <v>610</v>
      </c>
      <c r="H9" s="362" t="s">
        <v>2074</v>
      </c>
      <c r="I9" s="364"/>
      <c r="J9" s="362">
        <v>9.322232347E9</v>
      </c>
      <c r="K9" s="362" t="s">
        <v>2075</v>
      </c>
      <c r="L9" s="362">
        <v>10.0</v>
      </c>
      <c r="M9" s="362" t="s">
        <v>2076</v>
      </c>
      <c r="N9" s="362"/>
      <c r="O9" s="362" t="s">
        <v>2058</v>
      </c>
      <c r="P9" s="362" t="s">
        <v>2077</v>
      </c>
      <c r="Q9" s="358"/>
    </row>
    <row r="10" ht="22.5" customHeight="1">
      <c r="A10" s="358"/>
      <c r="B10" s="361">
        <v>6.0</v>
      </c>
      <c r="C10" s="362" t="s">
        <v>713</v>
      </c>
      <c r="D10" s="367" t="s">
        <v>33</v>
      </c>
      <c r="E10" s="367" t="s">
        <v>730</v>
      </c>
      <c r="F10" s="361" t="s">
        <v>2078</v>
      </c>
      <c r="G10" s="362" t="s">
        <v>610</v>
      </c>
      <c r="H10" s="362" t="s">
        <v>2079</v>
      </c>
      <c r="I10" s="362" t="s">
        <v>2080</v>
      </c>
      <c r="J10" s="362">
        <v>9.819111311E9</v>
      </c>
      <c r="K10" s="362" t="s">
        <v>2081</v>
      </c>
      <c r="L10" s="364"/>
      <c r="M10" s="364"/>
      <c r="N10" s="364"/>
      <c r="O10" s="364"/>
      <c r="P10" s="362" t="s">
        <v>2082</v>
      </c>
      <c r="Q10" s="358"/>
    </row>
    <row r="11" ht="22.5" customHeight="1">
      <c r="A11" s="365" t="s">
        <v>2083</v>
      </c>
      <c r="B11" s="361">
        <v>7.0</v>
      </c>
      <c r="C11" s="362" t="s">
        <v>2084</v>
      </c>
      <c r="D11" s="367" t="s">
        <v>80</v>
      </c>
      <c r="E11" s="367" t="s">
        <v>714</v>
      </c>
      <c r="F11" s="361" t="s">
        <v>2078</v>
      </c>
      <c r="G11" s="362" t="s">
        <v>610</v>
      </c>
      <c r="H11" s="362" t="s">
        <v>2085</v>
      </c>
      <c r="I11" s="362" t="s">
        <v>2086</v>
      </c>
      <c r="J11" s="362">
        <v>9.967579802E9</v>
      </c>
      <c r="K11" s="362" t="s">
        <v>2087</v>
      </c>
      <c r="L11" s="362" t="s">
        <v>2088</v>
      </c>
      <c r="M11" s="362" t="s">
        <v>2089</v>
      </c>
      <c r="N11" s="362"/>
      <c r="O11" s="362" t="s">
        <v>2058</v>
      </c>
      <c r="P11" s="362" t="s">
        <v>2090</v>
      </c>
      <c r="Q11" s="358"/>
    </row>
    <row r="12" ht="22.5" customHeight="1">
      <c r="A12" s="358"/>
      <c r="B12" s="361">
        <v>8.0</v>
      </c>
      <c r="C12" s="362" t="s">
        <v>2084</v>
      </c>
      <c r="D12" s="367" t="s">
        <v>46</v>
      </c>
      <c r="E12" s="367" t="s">
        <v>730</v>
      </c>
      <c r="F12" s="361" t="s">
        <v>2091</v>
      </c>
      <c r="G12" s="362" t="s">
        <v>610</v>
      </c>
      <c r="H12" s="362" t="s">
        <v>2092</v>
      </c>
      <c r="I12" s="362" t="s">
        <v>2093</v>
      </c>
      <c r="J12" s="362">
        <v>9.825018769E9</v>
      </c>
      <c r="K12" s="362" t="s">
        <v>2094</v>
      </c>
      <c r="L12" s="362" t="s">
        <v>896</v>
      </c>
      <c r="M12" s="362" t="s">
        <v>2095</v>
      </c>
      <c r="N12" s="362"/>
      <c r="O12" s="362" t="s">
        <v>2058</v>
      </c>
      <c r="P12" s="362" t="s">
        <v>2096</v>
      </c>
      <c r="Q12" s="358"/>
    </row>
    <row r="13" ht="22.5" customHeight="1">
      <c r="A13" s="358"/>
      <c r="B13" s="361">
        <v>9.0</v>
      </c>
      <c r="C13" s="362" t="s">
        <v>2097</v>
      </c>
      <c r="D13" s="367" t="s">
        <v>33</v>
      </c>
      <c r="E13" s="367" t="s">
        <v>730</v>
      </c>
      <c r="F13" s="361" t="s">
        <v>2091</v>
      </c>
      <c r="G13" s="362" t="s">
        <v>610</v>
      </c>
      <c r="H13" s="362" t="s">
        <v>2098</v>
      </c>
      <c r="I13" s="362" t="s">
        <v>2099</v>
      </c>
      <c r="J13" s="362">
        <v>9.920915547E9</v>
      </c>
      <c r="K13" s="362" t="s">
        <v>2100</v>
      </c>
      <c r="L13" s="368">
        <v>46181.0</v>
      </c>
      <c r="M13" s="362" t="s">
        <v>2101</v>
      </c>
      <c r="N13" s="362"/>
      <c r="O13" s="362" t="s">
        <v>2058</v>
      </c>
      <c r="P13" s="362" t="s">
        <v>2102</v>
      </c>
      <c r="Q13" s="358"/>
    </row>
    <row r="14" ht="22.5" customHeight="1">
      <c r="A14" s="358"/>
      <c r="B14" s="361">
        <v>10.0</v>
      </c>
      <c r="C14" s="362" t="s">
        <v>2103</v>
      </c>
      <c r="D14" s="367" t="s">
        <v>33</v>
      </c>
      <c r="E14" s="367" t="s">
        <v>714</v>
      </c>
      <c r="F14" s="361" t="s">
        <v>2091</v>
      </c>
      <c r="G14" s="362" t="s">
        <v>610</v>
      </c>
      <c r="H14" s="362" t="s">
        <v>2104</v>
      </c>
      <c r="I14" s="362" t="s">
        <v>2105</v>
      </c>
      <c r="J14" s="362">
        <v>9.820909554E9</v>
      </c>
      <c r="K14" s="362" t="s">
        <v>2106</v>
      </c>
      <c r="L14" s="362" t="s">
        <v>2107</v>
      </c>
      <c r="M14" s="362" t="s">
        <v>2108</v>
      </c>
      <c r="N14" s="362"/>
      <c r="O14" s="362" t="s">
        <v>2058</v>
      </c>
      <c r="P14" s="362" t="s">
        <v>2109</v>
      </c>
      <c r="Q14" s="358"/>
    </row>
    <row r="15" ht="156.0" customHeight="1">
      <c r="A15" s="358"/>
      <c r="B15" s="361">
        <v>11.0</v>
      </c>
      <c r="C15" s="362" t="s">
        <v>2097</v>
      </c>
      <c r="D15" s="367" t="s">
        <v>80</v>
      </c>
      <c r="E15" s="367" t="s">
        <v>714</v>
      </c>
      <c r="F15" s="361" t="s">
        <v>2110</v>
      </c>
      <c r="G15" s="362" t="s">
        <v>610</v>
      </c>
      <c r="H15" s="362" t="s">
        <v>2111</v>
      </c>
      <c r="I15" s="362" t="s">
        <v>2112</v>
      </c>
      <c r="J15" s="369">
        <v>9.987140667E9</v>
      </c>
      <c r="K15" s="369" t="s">
        <v>2113</v>
      </c>
      <c r="L15" s="362">
        <v>150.0</v>
      </c>
      <c r="M15" s="369" t="s">
        <v>2114</v>
      </c>
      <c r="N15" s="369"/>
      <c r="O15" s="362" t="s">
        <v>2058</v>
      </c>
      <c r="P15" s="369" t="s">
        <v>2115</v>
      </c>
      <c r="Q15" s="358"/>
    </row>
    <row r="16" ht="246.75" customHeight="1">
      <c r="A16" s="358"/>
      <c r="B16" s="361">
        <v>12.0</v>
      </c>
      <c r="C16" s="362" t="s">
        <v>2097</v>
      </c>
      <c r="D16" s="367" t="s">
        <v>154</v>
      </c>
      <c r="E16" s="367" t="s">
        <v>714</v>
      </c>
      <c r="F16" s="370">
        <v>46043.0</v>
      </c>
      <c r="G16" s="362" t="s">
        <v>610</v>
      </c>
      <c r="H16" s="362" t="s">
        <v>2116</v>
      </c>
      <c r="I16" s="362" t="s">
        <v>2117</v>
      </c>
      <c r="J16" s="371">
        <v>9.892267066E9</v>
      </c>
      <c r="K16" s="371" t="s">
        <v>2118</v>
      </c>
      <c r="L16" s="362" t="s">
        <v>2119</v>
      </c>
      <c r="M16" s="362" t="s">
        <v>2120</v>
      </c>
      <c r="N16" s="362"/>
      <c r="O16" s="362" t="s">
        <v>2058</v>
      </c>
      <c r="P16" s="362" t="s">
        <v>2121</v>
      </c>
      <c r="Q16" s="358"/>
    </row>
    <row r="17" ht="22.5" customHeight="1">
      <c r="A17" s="358"/>
      <c r="B17" s="361">
        <v>13.0</v>
      </c>
      <c r="C17" s="362" t="s">
        <v>713</v>
      </c>
      <c r="D17" s="367" t="s">
        <v>80</v>
      </c>
      <c r="E17" s="367" t="s">
        <v>714</v>
      </c>
      <c r="F17" s="370">
        <v>46043.0</v>
      </c>
      <c r="G17" s="362" t="s">
        <v>610</v>
      </c>
      <c r="H17" s="362" t="s">
        <v>2122</v>
      </c>
      <c r="I17" s="362" t="s">
        <v>2123</v>
      </c>
      <c r="J17" s="371">
        <v>9.82005886E9</v>
      </c>
      <c r="K17" s="372" t="s">
        <v>2124</v>
      </c>
      <c r="L17" s="362" t="s">
        <v>2125</v>
      </c>
      <c r="M17" s="362" t="s">
        <v>2126</v>
      </c>
      <c r="N17" s="362"/>
      <c r="O17" s="364"/>
      <c r="P17" s="362" t="s">
        <v>2127</v>
      </c>
      <c r="Q17" s="358"/>
    </row>
    <row r="18" ht="22.5" customHeight="1">
      <c r="A18" s="358"/>
      <c r="B18" s="361">
        <v>14.0</v>
      </c>
      <c r="C18" s="362" t="s">
        <v>713</v>
      </c>
      <c r="D18" s="367" t="s">
        <v>80</v>
      </c>
      <c r="E18" s="367"/>
      <c r="F18" s="370">
        <v>46043.0</v>
      </c>
      <c r="G18" s="362" t="s">
        <v>610</v>
      </c>
      <c r="H18" s="362" t="s">
        <v>930</v>
      </c>
      <c r="I18" s="362" t="s">
        <v>2128</v>
      </c>
      <c r="J18" s="362" t="s">
        <v>2129</v>
      </c>
      <c r="K18" s="371" t="s">
        <v>2130</v>
      </c>
      <c r="L18" s="364"/>
      <c r="M18" s="364"/>
      <c r="N18" s="364"/>
      <c r="O18" s="364"/>
      <c r="P18" s="362" t="s">
        <v>2131</v>
      </c>
      <c r="Q18" s="358"/>
    </row>
    <row r="19" ht="22.5" customHeight="1">
      <c r="A19" s="358"/>
      <c r="B19" s="361">
        <v>15.0</v>
      </c>
      <c r="C19" s="362" t="s">
        <v>713</v>
      </c>
      <c r="D19" s="367" t="s">
        <v>33</v>
      </c>
      <c r="E19" s="367"/>
      <c r="F19" s="370">
        <v>46043.0</v>
      </c>
      <c r="G19" s="362" t="s">
        <v>610</v>
      </c>
      <c r="H19" s="362" t="s">
        <v>2132</v>
      </c>
      <c r="I19" s="362" t="s">
        <v>707</v>
      </c>
      <c r="J19" s="362" t="s">
        <v>2133</v>
      </c>
      <c r="K19" s="371" t="s">
        <v>2134</v>
      </c>
      <c r="L19" s="364"/>
      <c r="M19" s="364"/>
      <c r="N19" s="364"/>
      <c r="O19" s="373"/>
      <c r="P19" s="362" t="s">
        <v>2135</v>
      </c>
      <c r="Q19" s="358"/>
    </row>
    <row r="20" ht="22.5" customHeight="1">
      <c r="A20" s="358"/>
      <c r="B20" s="361">
        <v>16.0</v>
      </c>
      <c r="C20" s="362" t="s">
        <v>713</v>
      </c>
      <c r="D20" s="367" t="s">
        <v>46</v>
      </c>
      <c r="E20" s="367" t="s">
        <v>714</v>
      </c>
      <c r="F20" s="370">
        <v>46043.0</v>
      </c>
      <c r="G20" s="362" t="s">
        <v>610</v>
      </c>
      <c r="H20" s="362" t="s">
        <v>769</v>
      </c>
      <c r="I20" s="362" t="s">
        <v>619</v>
      </c>
      <c r="J20" s="362">
        <v>9.820059269E9</v>
      </c>
      <c r="K20" s="362" t="s">
        <v>2136</v>
      </c>
      <c r="L20" s="362" t="s">
        <v>2137</v>
      </c>
      <c r="M20" s="362" t="s">
        <v>2138</v>
      </c>
      <c r="N20" s="362"/>
      <c r="O20" s="364"/>
      <c r="P20" s="362" t="s">
        <v>2139</v>
      </c>
      <c r="Q20" s="358"/>
    </row>
    <row r="21" ht="22.5" customHeight="1">
      <c r="A21" s="358"/>
      <c r="B21" s="361">
        <v>17.0</v>
      </c>
      <c r="C21" s="362" t="s">
        <v>713</v>
      </c>
      <c r="D21" s="367" t="s">
        <v>95</v>
      </c>
      <c r="E21" s="367" t="s">
        <v>714</v>
      </c>
      <c r="F21" s="370">
        <v>46043.0</v>
      </c>
      <c r="G21" s="362" t="s">
        <v>610</v>
      </c>
      <c r="H21" s="374" t="s">
        <v>2140</v>
      </c>
      <c r="I21" s="375" t="s">
        <v>2141</v>
      </c>
      <c r="J21" s="362">
        <v>9.820217944E9</v>
      </c>
      <c r="K21" s="371" t="s">
        <v>2142</v>
      </c>
      <c r="L21" s="364"/>
      <c r="M21" s="364"/>
      <c r="N21" s="364"/>
      <c r="O21" s="364"/>
      <c r="P21" s="362" t="s">
        <v>2143</v>
      </c>
      <c r="Q21" s="358"/>
    </row>
    <row r="22" ht="113.25" customHeight="1">
      <c r="A22" s="365"/>
      <c r="B22" s="361">
        <v>18.0</v>
      </c>
      <c r="C22" s="362" t="s">
        <v>713</v>
      </c>
      <c r="D22" s="367" t="s">
        <v>46</v>
      </c>
      <c r="E22" s="367" t="s">
        <v>714</v>
      </c>
      <c r="F22" s="370">
        <v>46043.0</v>
      </c>
      <c r="G22" s="362" t="s">
        <v>610</v>
      </c>
      <c r="H22" s="376" t="s">
        <v>242</v>
      </c>
      <c r="I22" s="375" t="s">
        <v>2144</v>
      </c>
      <c r="J22" s="362">
        <v>9.930905977E9</v>
      </c>
      <c r="K22" s="371"/>
      <c r="L22" s="362" t="s">
        <v>2145</v>
      </c>
      <c r="M22" s="362" t="s">
        <v>2146</v>
      </c>
      <c r="N22" s="362" t="s">
        <v>2147</v>
      </c>
      <c r="O22" s="364"/>
      <c r="P22" s="377" t="s">
        <v>2148</v>
      </c>
      <c r="Q22" s="358"/>
    </row>
    <row r="23" ht="22.5" customHeight="1">
      <c r="A23" s="358"/>
      <c r="B23" s="361">
        <v>19.0</v>
      </c>
      <c r="C23" s="362" t="s">
        <v>713</v>
      </c>
      <c r="D23" s="367" t="s">
        <v>33</v>
      </c>
      <c r="E23" s="378"/>
      <c r="F23" s="370">
        <v>46043.0</v>
      </c>
      <c r="G23" s="362" t="s">
        <v>610</v>
      </c>
      <c r="H23" s="374" t="s">
        <v>1501</v>
      </c>
      <c r="I23" s="375" t="s">
        <v>2149</v>
      </c>
      <c r="J23" s="362">
        <v>9.820688772E9</v>
      </c>
      <c r="K23" s="379" t="s">
        <v>2150</v>
      </c>
      <c r="L23" s="380"/>
      <c r="M23" s="380"/>
      <c r="N23" s="380"/>
      <c r="O23" s="380"/>
      <c r="P23" s="362" t="s">
        <v>2151</v>
      </c>
      <c r="Q23" s="358"/>
    </row>
    <row r="24" ht="22.5" customHeight="1">
      <c r="A24" s="358"/>
      <c r="B24" s="361">
        <v>20.0</v>
      </c>
      <c r="C24" s="362" t="s">
        <v>713</v>
      </c>
      <c r="D24" s="367" t="s">
        <v>33</v>
      </c>
      <c r="E24" s="367" t="s">
        <v>730</v>
      </c>
      <c r="F24" s="370">
        <v>46043.0</v>
      </c>
      <c r="G24" s="362" t="s">
        <v>610</v>
      </c>
      <c r="H24" s="374" t="s">
        <v>2152</v>
      </c>
      <c r="I24" s="375" t="s">
        <v>2153</v>
      </c>
      <c r="J24" s="381">
        <v>9.820313761E9</v>
      </c>
      <c r="K24" s="371" t="s">
        <v>2154</v>
      </c>
      <c r="L24" s="362" t="s">
        <v>2155</v>
      </c>
      <c r="M24" s="362" t="s">
        <v>2156</v>
      </c>
      <c r="N24" s="362"/>
      <c r="O24" s="364"/>
      <c r="P24" s="362" t="s">
        <v>2157</v>
      </c>
      <c r="Q24" s="358"/>
    </row>
    <row r="25" ht="22.5" customHeight="1">
      <c r="A25" s="358"/>
      <c r="B25" s="361">
        <v>21.0</v>
      </c>
      <c r="C25" s="362" t="s">
        <v>713</v>
      </c>
      <c r="D25" s="367" t="s">
        <v>33</v>
      </c>
      <c r="E25" s="367" t="s">
        <v>730</v>
      </c>
      <c r="F25" s="370">
        <v>46043.0</v>
      </c>
      <c r="G25" s="362" t="s">
        <v>610</v>
      </c>
      <c r="H25" s="374" t="s">
        <v>2158</v>
      </c>
      <c r="I25" s="375" t="s">
        <v>2159</v>
      </c>
      <c r="J25" s="381">
        <v>9.32605976E9</v>
      </c>
      <c r="K25" s="371" t="s">
        <v>2160</v>
      </c>
      <c r="L25" s="362" t="s">
        <v>2161</v>
      </c>
      <c r="M25" s="362" t="s">
        <v>2161</v>
      </c>
      <c r="N25" s="362"/>
      <c r="O25" s="364"/>
      <c r="P25" s="362" t="s">
        <v>2162</v>
      </c>
      <c r="Q25" s="358"/>
    </row>
    <row r="26" ht="22.5" customHeight="1">
      <c r="A26" s="358"/>
      <c r="B26" s="361">
        <v>22.0</v>
      </c>
      <c r="C26" s="362" t="s">
        <v>713</v>
      </c>
      <c r="D26" s="367" t="s">
        <v>33</v>
      </c>
      <c r="E26" s="378"/>
      <c r="F26" s="370">
        <v>46045.0</v>
      </c>
      <c r="G26" s="362" t="s">
        <v>610</v>
      </c>
      <c r="H26" s="374" t="s">
        <v>1626</v>
      </c>
      <c r="I26" s="375" t="s">
        <v>2163</v>
      </c>
      <c r="J26" s="371">
        <v>8.108849198E9</v>
      </c>
      <c r="K26" s="371" t="s">
        <v>2164</v>
      </c>
      <c r="L26" s="362"/>
      <c r="M26" s="362"/>
      <c r="N26" s="362"/>
      <c r="O26" s="364"/>
      <c r="P26" s="362" t="s">
        <v>2165</v>
      </c>
      <c r="Q26" s="358"/>
    </row>
    <row r="27" ht="22.5" customHeight="1">
      <c r="A27" s="358"/>
      <c r="B27" s="361">
        <v>23.0</v>
      </c>
      <c r="C27" s="362" t="s">
        <v>713</v>
      </c>
      <c r="D27" s="367" t="s">
        <v>33</v>
      </c>
      <c r="E27" s="367" t="s">
        <v>730</v>
      </c>
      <c r="F27" s="370">
        <v>46045.0</v>
      </c>
      <c r="G27" s="362" t="s">
        <v>2166</v>
      </c>
      <c r="H27" s="374" t="s">
        <v>2167</v>
      </c>
      <c r="I27" s="375" t="s">
        <v>49</v>
      </c>
      <c r="J27" s="371">
        <v>8.291267828E9</v>
      </c>
      <c r="K27" s="371" t="s">
        <v>2168</v>
      </c>
      <c r="L27" s="362" t="s">
        <v>2169</v>
      </c>
      <c r="M27" s="362" t="s">
        <v>1735</v>
      </c>
      <c r="N27" s="362"/>
      <c r="O27" s="364"/>
      <c r="P27" s="362" t="s">
        <v>2170</v>
      </c>
      <c r="Q27" s="358"/>
    </row>
    <row r="28" ht="22.5" customHeight="1">
      <c r="A28" s="358"/>
      <c r="B28" s="361">
        <v>24.0</v>
      </c>
      <c r="C28" s="362" t="s">
        <v>713</v>
      </c>
      <c r="D28" s="367" t="s">
        <v>95</v>
      </c>
      <c r="E28" s="367" t="s">
        <v>730</v>
      </c>
      <c r="F28" s="370">
        <v>46045.0</v>
      </c>
      <c r="G28" s="362" t="s">
        <v>610</v>
      </c>
      <c r="H28" s="375" t="s">
        <v>2171</v>
      </c>
      <c r="I28" s="375"/>
      <c r="J28" s="381">
        <v>9.86730831E9</v>
      </c>
      <c r="K28" s="374" t="s">
        <v>2172</v>
      </c>
      <c r="L28" s="381" t="s">
        <v>2173</v>
      </c>
      <c r="M28" s="362" t="s">
        <v>2174</v>
      </c>
      <c r="N28" s="362"/>
      <c r="O28" s="364"/>
      <c r="P28" s="362" t="s">
        <v>2175</v>
      </c>
      <c r="Q28" s="358"/>
    </row>
    <row r="29" ht="22.5" customHeight="1">
      <c r="A29" s="358"/>
      <c r="B29" s="361">
        <v>25.0</v>
      </c>
      <c r="C29" s="362" t="s">
        <v>713</v>
      </c>
      <c r="D29" s="367" t="s">
        <v>33</v>
      </c>
      <c r="E29" s="367" t="s">
        <v>730</v>
      </c>
      <c r="F29" s="370">
        <v>46045.0</v>
      </c>
      <c r="G29" s="381" t="s">
        <v>2166</v>
      </c>
      <c r="H29" s="374" t="s">
        <v>2176</v>
      </c>
      <c r="I29" s="375" t="s">
        <v>2177</v>
      </c>
      <c r="J29" s="381">
        <v>9.820360161E9</v>
      </c>
      <c r="K29" s="371" t="s">
        <v>2178</v>
      </c>
      <c r="L29" s="381" t="s">
        <v>918</v>
      </c>
      <c r="M29" s="362" t="s">
        <v>2179</v>
      </c>
      <c r="N29" s="362"/>
      <c r="O29" s="364"/>
      <c r="P29" s="362" t="s">
        <v>2180</v>
      </c>
      <c r="Q29" s="358"/>
    </row>
    <row r="30" ht="22.5" customHeight="1">
      <c r="A30" s="358"/>
      <c r="B30" s="361">
        <v>26.0</v>
      </c>
      <c r="C30" s="362" t="s">
        <v>713</v>
      </c>
      <c r="D30" s="367" t="s">
        <v>33</v>
      </c>
      <c r="E30" s="367" t="s">
        <v>714</v>
      </c>
      <c r="F30" s="370">
        <v>46045.0</v>
      </c>
      <c r="G30" s="381" t="s">
        <v>2166</v>
      </c>
      <c r="H30" s="374" t="s">
        <v>472</v>
      </c>
      <c r="I30" s="375" t="s">
        <v>2181</v>
      </c>
      <c r="J30" s="381">
        <v>9.820320216E9</v>
      </c>
      <c r="K30" s="374" t="s">
        <v>2182</v>
      </c>
      <c r="L30" s="381"/>
      <c r="M30" s="362"/>
      <c r="N30" s="362"/>
      <c r="O30" s="364"/>
      <c r="P30" s="362" t="s">
        <v>2183</v>
      </c>
      <c r="Q30" s="358"/>
    </row>
    <row r="31" ht="29.25" customHeight="1">
      <c r="A31" s="358"/>
      <c r="B31" s="361">
        <v>27.0</v>
      </c>
      <c r="C31" s="362" t="s">
        <v>713</v>
      </c>
      <c r="D31" s="367" t="s">
        <v>33</v>
      </c>
      <c r="E31" s="378"/>
      <c r="F31" s="370">
        <v>46045.0</v>
      </c>
      <c r="G31" s="381" t="s">
        <v>610</v>
      </c>
      <c r="H31" s="381" t="s">
        <v>2184</v>
      </c>
      <c r="I31" s="375" t="s">
        <v>2185</v>
      </c>
      <c r="J31" s="381">
        <v>9.820490902E9</v>
      </c>
      <c r="K31" s="374" t="s">
        <v>2186</v>
      </c>
      <c r="L31" s="381"/>
      <c r="M31" s="362"/>
      <c r="N31" s="362"/>
      <c r="O31" s="364"/>
      <c r="P31" s="362" t="s">
        <v>2187</v>
      </c>
      <c r="Q31" s="358"/>
    </row>
    <row r="32" ht="81.75" customHeight="1">
      <c r="A32" s="358"/>
      <c r="B32" s="361">
        <v>28.0</v>
      </c>
      <c r="C32" s="362" t="s">
        <v>713</v>
      </c>
      <c r="D32" s="367" t="s">
        <v>46</v>
      </c>
      <c r="E32" s="367" t="s">
        <v>714</v>
      </c>
      <c r="F32" s="370">
        <v>46045.0</v>
      </c>
      <c r="G32" s="381" t="s">
        <v>610</v>
      </c>
      <c r="H32" s="374" t="s">
        <v>1626</v>
      </c>
      <c r="I32" s="375" t="s">
        <v>2188</v>
      </c>
      <c r="J32" s="381">
        <v>7.738371333E9</v>
      </c>
      <c r="K32" s="374" t="s">
        <v>2189</v>
      </c>
      <c r="L32" s="381"/>
      <c r="M32" s="362" t="s">
        <v>2190</v>
      </c>
      <c r="N32" s="362"/>
      <c r="O32" s="364"/>
      <c r="P32" s="362" t="s">
        <v>2191</v>
      </c>
      <c r="Q32" s="358"/>
    </row>
    <row r="33" ht="22.5" customHeight="1">
      <c r="A33" s="358"/>
      <c r="B33" s="361">
        <v>29.0</v>
      </c>
      <c r="C33" s="362" t="s">
        <v>713</v>
      </c>
      <c r="D33" s="367" t="s">
        <v>95</v>
      </c>
      <c r="E33" s="367" t="s">
        <v>714</v>
      </c>
      <c r="F33" s="370">
        <v>46045.0</v>
      </c>
      <c r="G33" s="381" t="s">
        <v>610</v>
      </c>
      <c r="H33" s="374" t="s">
        <v>2192</v>
      </c>
      <c r="I33" s="375" t="s">
        <v>463</v>
      </c>
      <c r="J33" s="381">
        <v>9.987469805E9</v>
      </c>
      <c r="K33" s="374" t="s">
        <v>2193</v>
      </c>
      <c r="L33" s="381"/>
      <c r="M33" s="362" t="s">
        <v>2194</v>
      </c>
      <c r="N33" s="362" t="s">
        <v>2195</v>
      </c>
      <c r="O33" s="364"/>
      <c r="P33" s="362" t="s">
        <v>2196</v>
      </c>
      <c r="Q33" s="358"/>
    </row>
    <row r="34" ht="22.5" customHeight="1">
      <c r="A34" s="358"/>
      <c r="B34" s="361">
        <v>30.0</v>
      </c>
      <c r="C34" s="362" t="s">
        <v>713</v>
      </c>
      <c r="D34" s="367" t="s">
        <v>80</v>
      </c>
      <c r="E34" s="378"/>
      <c r="F34" s="370">
        <v>46045.0</v>
      </c>
      <c r="G34" s="381" t="s">
        <v>610</v>
      </c>
      <c r="H34" s="374" t="s">
        <v>2197</v>
      </c>
      <c r="I34" s="375" t="s">
        <v>2198</v>
      </c>
      <c r="J34" s="381">
        <v>9.820767872E9</v>
      </c>
      <c r="K34" s="381" t="s">
        <v>2199</v>
      </c>
      <c r="L34" s="381" t="s">
        <v>2161</v>
      </c>
      <c r="M34" s="362" t="s">
        <v>2200</v>
      </c>
      <c r="N34" s="362"/>
      <c r="O34" s="364"/>
      <c r="P34" s="362" t="s">
        <v>2201</v>
      </c>
      <c r="Q34" s="358"/>
    </row>
    <row r="35" ht="22.5" customHeight="1">
      <c r="A35" s="358"/>
      <c r="B35" s="361">
        <v>31.0</v>
      </c>
      <c r="C35" s="362" t="s">
        <v>713</v>
      </c>
      <c r="D35" s="367" t="s">
        <v>80</v>
      </c>
      <c r="E35" s="378"/>
      <c r="F35" s="370">
        <v>46046.0</v>
      </c>
      <c r="G35" s="381" t="s">
        <v>610</v>
      </c>
      <c r="H35" s="374" t="s">
        <v>2202</v>
      </c>
      <c r="I35" s="375" t="s">
        <v>2203</v>
      </c>
      <c r="J35" s="381">
        <v>9.167390426E9</v>
      </c>
      <c r="K35" s="371" t="s">
        <v>2204</v>
      </c>
      <c r="L35" s="381"/>
      <c r="M35" s="362"/>
      <c r="N35" s="362"/>
      <c r="O35" s="364"/>
      <c r="P35" s="382" t="s">
        <v>2205</v>
      </c>
      <c r="Q35" s="358"/>
    </row>
    <row r="36" ht="22.5" customHeight="1">
      <c r="A36" s="358"/>
      <c r="B36" s="361">
        <v>32.0</v>
      </c>
      <c r="C36" s="362" t="s">
        <v>713</v>
      </c>
      <c r="D36" s="367" t="s">
        <v>80</v>
      </c>
      <c r="E36" s="378"/>
      <c r="F36" s="370">
        <v>46046.0</v>
      </c>
      <c r="G36" s="381" t="s">
        <v>610</v>
      </c>
      <c r="H36" s="374" t="s">
        <v>2206</v>
      </c>
      <c r="I36" s="375" t="s">
        <v>2207</v>
      </c>
      <c r="J36" s="381">
        <v>7.715974779E9</v>
      </c>
      <c r="K36" s="371" t="s">
        <v>2208</v>
      </c>
      <c r="L36" s="381"/>
      <c r="M36" s="362"/>
      <c r="N36" s="362"/>
      <c r="O36" s="364"/>
      <c r="P36" s="382" t="s">
        <v>2209</v>
      </c>
      <c r="Q36" s="358"/>
    </row>
    <row r="37" ht="22.5" customHeight="1">
      <c r="A37" s="358"/>
      <c r="B37" s="361">
        <v>34.0</v>
      </c>
      <c r="C37" s="362" t="s">
        <v>713</v>
      </c>
      <c r="D37" s="367" t="s">
        <v>80</v>
      </c>
      <c r="E37" s="367" t="s">
        <v>714</v>
      </c>
      <c r="F37" s="370">
        <v>46046.0</v>
      </c>
      <c r="G37" s="381" t="s">
        <v>610</v>
      </c>
      <c r="H37" s="374" t="s">
        <v>1626</v>
      </c>
      <c r="I37" s="375" t="s">
        <v>2210</v>
      </c>
      <c r="J37" s="381">
        <v>8.424043477E9</v>
      </c>
      <c r="K37" s="371" t="s">
        <v>2211</v>
      </c>
      <c r="L37" s="381"/>
      <c r="M37" s="362"/>
      <c r="N37" s="362"/>
      <c r="O37" s="362"/>
      <c r="P37" s="382" t="s">
        <v>2212</v>
      </c>
      <c r="Q37" s="358"/>
    </row>
    <row r="38" ht="22.5" customHeight="1">
      <c r="A38" s="365" t="s">
        <v>2213</v>
      </c>
      <c r="B38" s="361">
        <v>35.0</v>
      </c>
      <c r="C38" s="362" t="s">
        <v>713</v>
      </c>
      <c r="D38" s="367" t="s">
        <v>33</v>
      </c>
      <c r="E38" s="378"/>
      <c r="F38" s="370">
        <v>46046.0</v>
      </c>
      <c r="G38" s="381" t="s">
        <v>610</v>
      </c>
      <c r="H38" s="381" t="s">
        <v>2214</v>
      </c>
      <c r="I38" s="375" t="s">
        <v>2215</v>
      </c>
      <c r="J38" s="381">
        <v>9.870661166E9</v>
      </c>
      <c r="K38" s="371" t="s">
        <v>2216</v>
      </c>
      <c r="L38" s="381"/>
      <c r="M38" s="362"/>
      <c r="N38" s="362"/>
      <c r="O38" s="364"/>
      <c r="P38" s="382" t="s">
        <v>2217</v>
      </c>
      <c r="Q38" s="358"/>
    </row>
    <row r="39" ht="22.5" customHeight="1">
      <c r="A39" s="358"/>
      <c r="B39" s="383">
        <v>36.0</v>
      </c>
      <c r="C39" s="362" t="s">
        <v>713</v>
      </c>
      <c r="D39" s="384" t="s">
        <v>80</v>
      </c>
      <c r="E39" s="385"/>
      <c r="F39" s="386">
        <v>46049.0</v>
      </c>
      <c r="G39" s="381" t="s">
        <v>610</v>
      </c>
      <c r="H39" s="387" t="s">
        <v>423</v>
      </c>
      <c r="I39" s="387" t="s">
        <v>2218</v>
      </c>
      <c r="J39" s="387">
        <v>9.820251058E9</v>
      </c>
      <c r="K39" s="388" t="s">
        <v>2219</v>
      </c>
      <c r="L39" s="387"/>
      <c r="M39" s="389"/>
      <c r="N39" s="389"/>
      <c r="O39" s="390"/>
      <c r="P39" s="391" t="s">
        <v>2220</v>
      </c>
      <c r="Q39" s="358"/>
    </row>
    <row r="40" ht="22.5" customHeight="1">
      <c r="A40" s="358"/>
      <c r="B40" s="383">
        <v>37.0</v>
      </c>
      <c r="C40" s="362" t="s">
        <v>713</v>
      </c>
      <c r="D40" s="384" t="s">
        <v>33</v>
      </c>
      <c r="E40" s="385"/>
      <c r="F40" s="386">
        <v>46049.0</v>
      </c>
      <c r="G40" s="381" t="s">
        <v>610</v>
      </c>
      <c r="H40" s="387" t="s">
        <v>2221</v>
      </c>
      <c r="I40" s="387" t="s">
        <v>1935</v>
      </c>
      <c r="J40" s="387">
        <v>9.930365854E9</v>
      </c>
      <c r="K40" s="388" t="s">
        <v>2222</v>
      </c>
      <c r="L40" s="387"/>
      <c r="M40" s="389"/>
      <c r="N40" s="389"/>
      <c r="O40" s="390"/>
      <c r="P40" s="391" t="s">
        <v>2223</v>
      </c>
      <c r="Q40" s="358"/>
    </row>
    <row r="41" ht="22.5" customHeight="1">
      <c r="A41" s="358"/>
      <c r="B41" s="383">
        <v>38.0</v>
      </c>
      <c r="C41" s="362" t="s">
        <v>713</v>
      </c>
      <c r="D41" s="384" t="s">
        <v>80</v>
      </c>
      <c r="E41" s="385"/>
      <c r="F41" s="386">
        <v>46049.0</v>
      </c>
      <c r="G41" s="381" t="s">
        <v>610</v>
      </c>
      <c r="H41" s="387" t="s">
        <v>2224</v>
      </c>
      <c r="I41" s="387" t="s">
        <v>2225</v>
      </c>
      <c r="J41" s="387">
        <v>9.821027183E9</v>
      </c>
      <c r="K41" s="388" t="s">
        <v>2226</v>
      </c>
      <c r="L41" s="387" t="s">
        <v>2227</v>
      </c>
      <c r="M41" s="389"/>
      <c r="N41" s="389"/>
      <c r="O41" s="390"/>
      <c r="P41" s="391" t="s">
        <v>2228</v>
      </c>
      <c r="Q41" s="358"/>
    </row>
    <row r="42" ht="22.5" customHeight="1">
      <c r="A42" s="365"/>
      <c r="B42" s="383">
        <v>39.0</v>
      </c>
      <c r="C42" s="362" t="s">
        <v>713</v>
      </c>
      <c r="D42" s="384" t="s">
        <v>33</v>
      </c>
      <c r="E42" s="384" t="s">
        <v>730</v>
      </c>
      <c r="F42" s="386">
        <v>46049.0</v>
      </c>
      <c r="G42" s="381" t="s">
        <v>610</v>
      </c>
      <c r="H42" s="387" t="s">
        <v>2229</v>
      </c>
      <c r="I42" s="387" t="s">
        <v>2230</v>
      </c>
      <c r="J42" s="387">
        <v>9.892201301E9</v>
      </c>
      <c r="K42" s="388" t="s">
        <v>2231</v>
      </c>
      <c r="L42" s="387" t="s">
        <v>2232</v>
      </c>
      <c r="M42" s="389" t="s">
        <v>2233</v>
      </c>
      <c r="N42" s="389" t="s">
        <v>2234</v>
      </c>
      <c r="O42" s="390"/>
      <c r="P42" s="391" t="s">
        <v>2235</v>
      </c>
      <c r="Q42" s="358"/>
    </row>
    <row r="43" ht="22.5" customHeight="1">
      <c r="A43" s="365"/>
      <c r="B43" s="383">
        <v>40.0</v>
      </c>
      <c r="C43" s="362" t="s">
        <v>713</v>
      </c>
      <c r="D43" s="384" t="s">
        <v>33</v>
      </c>
      <c r="E43" s="384" t="s">
        <v>714</v>
      </c>
      <c r="F43" s="386">
        <v>46049.0</v>
      </c>
      <c r="G43" s="381" t="s">
        <v>610</v>
      </c>
      <c r="H43" s="387" t="s">
        <v>2236</v>
      </c>
      <c r="I43" s="387"/>
      <c r="J43" s="387">
        <v>8.87904052E9</v>
      </c>
      <c r="K43" s="388" t="s">
        <v>2237</v>
      </c>
      <c r="L43" s="387" t="s">
        <v>2238</v>
      </c>
      <c r="M43" s="389" t="s">
        <v>2239</v>
      </c>
      <c r="N43" s="389"/>
      <c r="O43" s="390"/>
      <c r="P43" s="391" t="s">
        <v>2240</v>
      </c>
      <c r="Q43" s="358"/>
    </row>
    <row r="44" ht="22.5" customHeight="1">
      <c r="A44" s="365"/>
      <c r="B44" s="383">
        <v>41.0</v>
      </c>
      <c r="C44" s="362" t="s">
        <v>713</v>
      </c>
      <c r="D44" s="384" t="s">
        <v>33</v>
      </c>
      <c r="E44" s="385"/>
      <c r="F44" s="386">
        <v>46049.0</v>
      </c>
      <c r="G44" s="381" t="s">
        <v>610</v>
      </c>
      <c r="H44" s="387" t="s">
        <v>2241</v>
      </c>
      <c r="I44" s="387" t="s">
        <v>1101</v>
      </c>
      <c r="J44" s="387">
        <v>9.32420052E9</v>
      </c>
      <c r="K44" s="388" t="s">
        <v>2242</v>
      </c>
      <c r="L44" s="387"/>
      <c r="M44" s="389"/>
      <c r="N44" s="389"/>
      <c r="O44" s="390"/>
      <c r="P44" s="391" t="s">
        <v>2243</v>
      </c>
      <c r="Q44" s="358"/>
    </row>
    <row r="45" ht="22.5" customHeight="1">
      <c r="A45" s="365"/>
      <c r="B45" s="383">
        <v>42.0</v>
      </c>
      <c r="C45" s="362" t="s">
        <v>713</v>
      </c>
      <c r="D45" s="384" t="s">
        <v>33</v>
      </c>
      <c r="E45" s="385"/>
      <c r="F45" s="386">
        <v>46049.0</v>
      </c>
      <c r="G45" s="381" t="s">
        <v>610</v>
      </c>
      <c r="H45" s="387" t="s">
        <v>2244</v>
      </c>
      <c r="I45" s="387" t="s">
        <v>2245</v>
      </c>
      <c r="J45" s="387">
        <v>7.777032543E9</v>
      </c>
      <c r="K45" s="388" t="s">
        <v>2246</v>
      </c>
      <c r="L45" s="387" t="s">
        <v>2247</v>
      </c>
      <c r="M45" s="389"/>
      <c r="N45" s="389"/>
      <c r="O45" s="390"/>
      <c r="P45" s="391" t="s">
        <v>2248</v>
      </c>
      <c r="Q45" s="358"/>
    </row>
    <row r="46" ht="22.5" customHeight="1">
      <c r="A46" s="365"/>
      <c r="B46" s="383">
        <v>43.0</v>
      </c>
      <c r="C46" s="362" t="s">
        <v>713</v>
      </c>
      <c r="D46" s="384" t="s">
        <v>46</v>
      </c>
      <c r="E46" s="384" t="s">
        <v>714</v>
      </c>
      <c r="F46" s="386">
        <v>46049.0</v>
      </c>
      <c r="G46" s="381" t="s">
        <v>610</v>
      </c>
      <c r="H46" s="387" t="s">
        <v>2249</v>
      </c>
      <c r="I46" s="387" t="s">
        <v>2250</v>
      </c>
      <c r="J46" s="387">
        <v>9.821499939E9</v>
      </c>
      <c r="K46" s="388" t="s">
        <v>2251</v>
      </c>
      <c r="L46" s="387" t="s">
        <v>2252</v>
      </c>
      <c r="M46" s="389" t="s">
        <v>2253</v>
      </c>
      <c r="N46" s="389"/>
      <c r="O46" s="390"/>
      <c r="P46" s="391" t="s">
        <v>2254</v>
      </c>
      <c r="Q46" s="358"/>
    </row>
    <row r="47" ht="22.5" customHeight="1">
      <c r="A47" s="365"/>
      <c r="B47" s="383">
        <v>44.0</v>
      </c>
      <c r="C47" s="362" t="s">
        <v>713</v>
      </c>
      <c r="D47" s="384" t="s">
        <v>95</v>
      </c>
      <c r="E47" s="384" t="s">
        <v>714</v>
      </c>
      <c r="F47" s="386">
        <v>46049.0</v>
      </c>
      <c r="G47" s="381" t="s">
        <v>610</v>
      </c>
      <c r="H47" s="387" t="s">
        <v>2255</v>
      </c>
      <c r="I47" s="387" t="s">
        <v>2256</v>
      </c>
      <c r="J47" s="387">
        <v>7.710031214E9</v>
      </c>
      <c r="K47" s="388" t="s">
        <v>2257</v>
      </c>
      <c r="L47" s="387" t="s">
        <v>2258</v>
      </c>
      <c r="M47" s="389" t="s">
        <v>2259</v>
      </c>
      <c r="N47" s="389"/>
      <c r="O47" s="390"/>
      <c r="P47" s="391" t="s">
        <v>2260</v>
      </c>
      <c r="Q47" s="358"/>
    </row>
    <row r="48" ht="22.5" customHeight="1">
      <c r="A48" s="365"/>
      <c r="B48" s="383">
        <v>44.0</v>
      </c>
      <c r="C48" s="362" t="s">
        <v>713</v>
      </c>
      <c r="D48" s="384" t="s">
        <v>95</v>
      </c>
      <c r="E48" s="384" t="s">
        <v>714</v>
      </c>
      <c r="F48" s="386">
        <v>46049.0</v>
      </c>
      <c r="G48" s="381" t="s">
        <v>610</v>
      </c>
      <c r="H48" s="387" t="s">
        <v>2261</v>
      </c>
      <c r="I48" s="387" t="s">
        <v>2262</v>
      </c>
      <c r="J48" s="387">
        <v>9.819313075E9</v>
      </c>
      <c r="K48" s="388"/>
      <c r="L48" s="387" t="s">
        <v>2263</v>
      </c>
      <c r="M48" s="389" t="s">
        <v>2264</v>
      </c>
      <c r="N48" s="389"/>
      <c r="O48" s="390"/>
      <c r="P48" s="389" t="s">
        <v>2265</v>
      </c>
      <c r="Q48" s="358"/>
    </row>
    <row r="49" ht="174.0" customHeight="1">
      <c r="A49" s="365"/>
      <c r="B49" s="383">
        <v>45.0</v>
      </c>
      <c r="C49" s="362" t="s">
        <v>713</v>
      </c>
      <c r="D49" s="384" t="s">
        <v>95</v>
      </c>
      <c r="E49" s="384" t="s">
        <v>714</v>
      </c>
      <c r="F49" s="386">
        <v>46051.0</v>
      </c>
      <c r="G49" s="381" t="s">
        <v>610</v>
      </c>
      <c r="H49" s="387" t="s">
        <v>2266</v>
      </c>
      <c r="I49" s="387" t="s">
        <v>2267</v>
      </c>
      <c r="J49" s="387">
        <v>8.879208296E9</v>
      </c>
      <c r="K49" s="388" t="s">
        <v>2268</v>
      </c>
      <c r="L49" s="387" t="s">
        <v>2269</v>
      </c>
      <c r="M49" s="389" t="s">
        <v>2270</v>
      </c>
      <c r="N49" s="389" t="s">
        <v>2271</v>
      </c>
      <c r="O49" s="390"/>
      <c r="P49" s="391" t="s">
        <v>2272</v>
      </c>
      <c r="Q49" s="358"/>
    </row>
    <row r="50" ht="22.5" customHeight="1">
      <c r="A50" s="365"/>
      <c r="B50" s="383">
        <v>46.0</v>
      </c>
      <c r="C50" s="362" t="s">
        <v>713</v>
      </c>
      <c r="D50" s="384" t="s">
        <v>95</v>
      </c>
      <c r="E50" s="384" t="s">
        <v>714</v>
      </c>
      <c r="F50" s="386">
        <v>46051.0</v>
      </c>
      <c r="G50" s="381" t="s">
        <v>610</v>
      </c>
      <c r="H50" s="387" t="s">
        <v>1904</v>
      </c>
      <c r="I50" s="387" t="s">
        <v>2273</v>
      </c>
      <c r="J50" s="387">
        <v>9.819585018E9</v>
      </c>
      <c r="K50" s="388" t="s">
        <v>2274</v>
      </c>
      <c r="L50" s="387" t="s">
        <v>2275</v>
      </c>
      <c r="M50" s="389" t="s">
        <v>2276</v>
      </c>
      <c r="N50" s="389"/>
      <c r="O50" s="390"/>
      <c r="P50" s="391" t="s">
        <v>2277</v>
      </c>
      <c r="Q50" s="358"/>
    </row>
    <row r="51" ht="22.5" customHeight="1">
      <c r="A51" s="358"/>
      <c r="B51" s="383">
        <v>47.0</v>
      </c>
      <c r="C51" s="392" t="s">
        <v>713</v>
      </c>
      <c r="D51" s="384" t="s">
        <v>95</v>
      </c>
      <c r="E51" s="384"/>
      <c r="F51" s="386">
        <v>46051.0</v>
      </c>
      <c r="G51" s="381" t="s">
        <v>610</v>
      </c>
      <c r="H51" s="387" t="s">
        <v>2278</v>
      </c>
      <c r="I51" s="387" t="s">
        <v>2279</v>
      </c>
      <c r="J51" s="387">
        <v>9.769492525E9</v>
      </c>
      <c r="K51" s="388" t="s">
        <v>2280</v>
      </c>
      <c r="L51" s="387"/>
      <c r="M51" s="389"/>
      <c r="N51" s="389"/>
      <c r="O51" s="390"/>
      <c r="P51" s="391" t="s">
        <v>2281</v>
      </c>
      <c r="Q51" s="358"/>
    </row>
    <row r="52" ht="22.5" customHeight="1">
      <c r="A52" s="365"/>
      <c r="B52" s="383">
        <v>48.0</v>
      </c>
      <c r="C52" s="392" t="s">
        <v>713</v>
      </c>
      <c r="D52" s="384" t="s">
        <v>95</v>
      </c>
      <c r="E52" s="384" t="s">
        <v>714</v>
      </c>
      <c r="F52" s="386">
        <v>46052.0</v>
      </c>
      <c r="G52" s="381" t="s">
        <v>610</v>
      </c>
      <c r="H52" s="387" t="s">
        <v>2282</v>
      </c>
      <c r="I52" s="387" t="s">
        <v>2283</v>
      </c>
      <c r="J52" s="387">
        <v>9.152435411E9</v>
      </c>
      <c r="K52" s="388" t="s">
        <v>2284</v>
      </c>
      <c r="L52" s="387" t="s">
        <v>824</v>
      </c>
      <c r="M52" s="389" t="s">
        <v>2285</v>
      </c>
      <c r="N52" s="389" t="s">
        <v>2286</v>
      </c>
      <c r="O52" s="389" t="s">
        <v>2287</v>
      </c>
      <c r="P52" s="391" t="s">
        <v>2288</v>
      </c>
      <c r="Q52" s="358"/>
    </row>
    <row r="53" ht="22.5" customHeight="1">
      <c r="A53" s="358"/>
      <c r="B53" s="383">
        <v>49.0</v>
      </c>
      <c r="C53" s="392" t="s">
        <v>713</v>
      </c>
      <c r="D53" s="384" t="s">
        <v>95</v>
      </c>
      <c r="E53" s="384" t="s">
        <v>730</v>
      </c>
      <c r="F53" s="386">
        <v>46055.0</v>
      </c>
      <c r="G53" s="381" t="s">
        <v>610</v>
      </c>
      <c r="H53" s="387" t="s">
        <v>2289</v>
      </c>
      <c r="I53" s="387" t="s">
        <v>2290</v>
      </c>
      <c r="J53" s="387">
        <v>9.819507025E9</v>
      </c>
      <c r="K53" s="388" t="s">
        <v>2291</v>
      </c>
      <c r="L53" s="387" t="s">
        <v>2292</v>
      </c>
      <c r="M53" s="387" t="s">
        <v>2293</v>
      </c>
      <c r="N53" s="389"/>
      <c r="O53" s="390"/>
      <c r="P53" s="391" t="s">
        <v>2294</v>
      </c>
      <c r="Q53" s="358"/>
    </row>
    <row r="54" ht="22.5" customHeight="1">
      <c r="A54" s="358"/>
      <c r="B54" s="383">
        <v>50.0</v>
      </c>
      <c r="C54" s="392" t="s">
        <v>713</v>
      </c>
      <c r="D54" s="384" t="s">
        <v>33</v>
      </c>
      <c r="E54" s="384" t="s">
        <v>714</v>
      </c>
      <c r="F54" s="386">
        <v>46055.0</v>
      </c>
      <c r="G54" s="381" t="s">
        <v>610</v>
      </c>
      <c r="H54" s="387" t="s">
        <v>2295</v>
      </c>
      <c r="I54" s="387" t="s">
        <v>2296</v>
      </c>
      <c r="J54" s="387">
        <v>9.950017933E9</v>
      </c>
      <c r="K54" s="388"/>
      <c r="L54" s="387"/>
      <c r="M54" s="389"/>
      <c r="N54" s="389"/>
      <c r="O54" s="390"/>
      <c r="P54" s="391" t="s">
        <v>2297</v>
      </c>
      <c r="Q54" s="358"/>
    </row>
    <row r="55" ht="22.5" customHeight="1">
      <c r="A55" s="358"/>
      <c r="B55" s="383">
        <v>51.0</v>
      </c>
      <c r="C55" s="392" t="s">
        <v>713</v>
      </c>
      <c r="D55" s="384" t="s">
        <v>33</v>
      </c>
      <c r="E55" s="384"/>
      <c r="F55" s="386">
        <v>46055.0</v>
      </c>
      <c r="G55" s="381" t="s">
        <v>610</v>
      </c>
      <c r="H55" s="387" t="s">
        <v>2298</v>
      </c>
      <c r="I55" s="387" t="s">
        <v>2299</v>
      </c>
      <c r="J55" s="387">
        <v>9.92088576E9</v>
      </c>
      <c r="K55" s="393" t="s">
        <v>2300</v>
      </c>
      <c r="L55" s="387"/>
      <c r="M55" s="389"/>
      <c r="N55" s="389"/>
      <c r="O55" s="390"/>
      <c r="P55" s="391" t="s">
        <v>2301</v>
      </c>
      <c r="Q55" s="358"/>
    </row>
    <row r="56" ht="22.5" customHeight="1">
      <c r="A56" s="358"/>
      <c r="B56" s="383">
        <v>52.0</v>
      </c>
      <c r="C56" s="392" t="s">
        <v>713</v>
      </c>
      <c r="D56" s="384" t="s">
        <v>80</v>
      </c>
      <c r="E56" s="384" t="s">
        <v>730</v>
      </c>
      <c r="F56" s="386">
        <v>46057.0</v>
      </c>
      <c r="G56" s="381" t="s">
        <v>610</v>
      </c>
      <c r="H56" s="387" t="s">
        <v>2302</v>
      </c>
      <c r="I56" s="387" t="s">
        <v>2303</v>
      </c>
      <c r="J56" s="387">
        <v>8.108048096E9</v>
      </c>
      <c r="K56" s="394" t="s">
        <v>2304</v>
      </c>
      <c r="L56" s="387" t="s">
        <v>2232</v>
      </c>
      <c r="M56" s="389" t="s">
        <v>2305</v>
      </c>
      <c r="N56" s="389" t="s">
        <v>2306</v>
      </c>
      <c r="O56" s="390"/>
      <c r="P56" s="391" t="s">
        <v>2307</v>
      </c>
      <c r="Q56" s="358"/>
    </row>
    <row r="57" ht="22.5" customHeight="1">
      <c r="A57" s="358"/>
      <c r="B57" s="383">
        <v>53.0</v>
      </c>
      <c r="C57" s="392" t="s">
        <v>713</v>
      </c>
      <c r="D57" s="384" t="s">
        <v>33</v>
      </c>
      <c r="E57" s="384"/>
      <c r="F57" s="386">
        <v>46057.0</v>
      </c>
      <c r="G57" s="381" t="s">
        <v>610</v>
      </c>
      <c r="H57" s="387" t="s">
        <v>2308</v>
      </c>
      <c r="I57" s="387" t="s">
        <v>2309</v>
      </c>
      <c r="J57" s="387">
        <v>8.355990978E9</v>
      </c>
      <c r="K57" s="394"/>
      <c r="L57" s="387"/>
      <c r="M57" s="389"/>
      <c r="N57" s="389"/>
      <c r="O57" s="390"/>
      <c r="P57" s="391" t="s">
        <v>2310</v>
      </c>
      <c r="Q57" s="358"/>
    </row>
    <row r="58" ht="22.5" customHeight="1">
      <c r="A58" s="358"/>
      <c r="B58" s="383">
        <v>54.0</v>
      </c>
      <c r="C58" s="392" t="s">
        <v>713</v>
      </c>
      <c r="D58" s="384" t="s">
        <v>95</v>
      </c>
      <c r="E58" s="384" t="s">
        <v>714</v>
      </c>
      <c r="F58" s="386">
        <v>46057.0</v>
      </c>
      <c r="G58" s="381" t="s">
        <v>610</v>
      </c>
      <c r="H58" s="387" t="s">
        <v>2311</v>
      </c>
      <c r="I58" s="387" t="s">
        <v>2312</v>
      </c>
      <c r="J58" s="387">
        <v>9.820796164E9</v>
      </c>
      <c r="K58" s="394" t="s">
        <v>2313</v>
      </c>
      <c r="L58" s="387" t="s">
        <v>2314</v>
      </c>
      <c r="M58" s="389" t="s">
        <v>2315</v>
      </c>
      <c r="N58" s="389"/>
      <c r="O58" s="390"/>
      <c r="P58" s="391" t="s">
        <v>2316</v>
      </c>
      <c r="Q58" s="358"/>
    </row>
    <row r="59" ht="22.5" customHeight="1">
      <c r="A59" s="358"/>
      <c r="B59" s="383">
        <v>55.0</v>
      </c>
      <c r="C59" s="392" t="s">
        <v>713</v>
      </c>
      <c r="D59" s="384" t="s">
        <v>33</v>
      </c>
      <c r="E59" s="384" t="s">
        <v>730</v>
      </c>
      <c r="F59" s="386">
        <v>46058.0</v>
      </c>
      <c r="G59" s="381" t="s">
        <v>610</v>
      </c>
      <c r="H59" s="387" t="s">
        <v>2317</v>
      </c>
      <c r="I59" s="387" t="s">
        <v>2318</v>
      </c>
      <c r="J59" s="387">
        <v>9.987629363E9</v>
      </c>
      <c r="K59" s="394" t="s">
        <v>2319</v>
      </c>
      <c r="L59" s="387" t="s">
        <v>2320</v>
      </c>
      <c r="M59" s="389" t="s">
        <v>2321</v>
      </c>
      <c r="N59" s="389" t="s">
        <v>2322</v>
      </c>
      <c r="O59" s="390"/>
      <c r="P59" s="391" t="s">
        <v>2323</v>
      </c>
      <c r="Q59" s="358"/>
    </row>
    <row r="60" ht="22.5" customHeight="1">
      <c r="A60" s="358"/>
      <c r="B60" s="383">
        <v>56.0</v>
      </c>
      <c r="C60" s="392" t="s">
        <v>713</v>
      </c>
      <c r="D60" s="384" t="s">
        <v>80</v>
      </c>
      <c r="E60" s="385"/>
      <c r="F60" s="386">
        <v>46058.0</v>
      </c>
      <c r="G60" s="381" t="s">
        <v>610</v>
      </c>
      <c r="H60" s="387" t="s">
        <v>2324</v>
      </c>
      <c r="I60" s="387" t="s">
        <v>2325</v>
      </c>
      <c r="J60" s="387">
        <v>9.76955074E9</v>
      </c>
      <c r="K60" s="394" t="s">
        <v>2326</v>
      </c>
      <c r="L60" s="387"/>
      <c r="M60" s="389"/>
      <c r="N60" s="389"/>
      <c r="O60" s="390"/>
      <c r="P60" s="391" t="s">
        <v>2327</v>
      </c>
      <c r="Q60" s="358"/>
    </row>
    <row r="61" ht="22.5" customHeight="1">
      <c r="A61" s="358"/>
      <c r="B61" s="383">
        <v>57.0</v>
      </c>
      <c r="C61" s="392" t="s">
        <v>713</v>
      </c>
      <c r="D61" s="384" t="s">
        <v>80</v>
      </c>
      <c r="E61" s="385"/>
      <c r="F61" s="386">
        <v>46058.0</v>
      </c>
      <c r="G61" s="381" t="s">
        <v>610</v>
      </c>
      <c r="H61" s="387" t="s">
        <v>2328</v>
      </c>
      <c r="I61" s="387" t="s">
        <v>1884</v>
      </c>
      <c r="J61" s="387">
        <v>9.560575158E9</v>
      </c>
      <c r="K61" s="394" t="s">
        <v>2329</v>
      </c>
      <c r="L61" s="387"/>
      <c r="M61" s="389"/>
      <c r="N61" s="389"/>
      <c r="O61" s="390"/>
      <c r="P61" s="391" t="s">
        <v>2330</v>
      </c>
      <c r="Q61" s="358"/>
    </row>
    <row r="62" ht="22.5" customHeight="1">
      <c r="A62" s="358"/>
      <c r="B62" s="383">
        <v>56.0</v>
      </c>
      <c r="C62" s="392" t="s">
        <v>713</v>
      </c>
      <c r="D62" s="384" t="s">
        <v>80</v>
      </c>
      <c r="E62" s="385"/>
      <c r="F62" s="386">
        <v>46060.0</v>
      </c>
      <c r="G62" s="381" t="s">
        <v>610</v>
      </c>
      <c r="H62" s="387" t="s">
        <v>2331</v>
      </c>
      <c r="I62" s="387" t="s">
        <v>2332</v>
      </c>
      <c r="J62" s="387">
        <v>9.820280049E9</v>
      </c>
      <c r="K62" s="394" t="s">
        <v>2333</v>
      </c>
      <c r="L62" s="387"/>
      <c r="M62" s="389"/>
      <c r="N62" s="389"/>
      <c r="O62" s="390"/>
      <c r="P62" s="391" t="s">
        <v>2334</v>
      </c>
      <c r="Q62" s="358"/>
    </row>
    <row r="63" ht="22.5" customHeight="1">
      <c r="A63" s="358"/>
      <c r="B63" s="383">
        <v>58.0</v>
      </c>
      <c r="C63" s="392" t="s">
        <v>713</v>
      </c>
      <c r="D63" s="384" t="s">
        <v>80</v>
      </c>
      <c r="E63" s="385"/>
      <c r="F63" s="386">
        <v>46060.0</v>
      </c>
      <c r="G63" s="381" t="s">
        <v>610</v>
      </c>
      <c r="H63" s="387" t="s">
        <v>592</v>
      </c>
      <c r="I63" s="387" t="s">
        <v>2335</v>
      </c>
      <c r="J63" s="387">
        <v>9.820875525E9</v>
      </c>
      <c r="K63" s="394" t="s">
        <v>2336</v>
      </c>
      <c r="L63" s="387" t="s">
        <v>2161</v>
      </c>
      <c r="M63" s="389" t="s">
        <v>2337</v>
      </c>
      <c r="N63" s="389"/>
      <c r="O63" s="390"/>
      <c r="P63" s="391" t="s">
        <v>2338</v>
      </c>
      <c r="Q63" s="358"/>
    </row>
    <row r="64" ht="22.5" customHeight="1">
      <c r="A64" s="358"/>
      <c r="B64" s="383">
        <v>59.0</v>
      </c>
      <c r="C64" s="392" t="s">
        <v>713</v>
      </c>
      <c r="D64" s="384" t="s">
        <v>33</v>
      </c>
      <c r="E64" s="385"/>
      <c r="F64" s="386">
        <v>46060.0</v>
      </c>
      <c r="G64" s="381" t="s">
        <v>610</v>
      </c>
      <c r="H64" s="387" t="s">
        <v>2339</v>
      </c>
      <c r="I64" s="387" t="s">
        <v>2340</v>
      </c>
      <c r="J64" s="387">
        <v>9.833071573E9</v>
      </c>
      <c r="K64" s="394"/>
      <c r="L64" s="387"/>
      <c r="M64" s="389"/>
      <c r="N64" s="389"/>
      <c r="O64" s="390"/>
      <c r="P64" s="391" t="s">
        <v>2341</v>
      </c>
      <c r="Q64" s="358"/>
    </row>
    <row r="65" ht="22.5" customHeight="1">
      <c r="A65" s="358"/>
      <c r="B65" s="383">
        <v>60.0</v>
      </c>
      <c r="C65" s="392" t="s">
        <v>713</v>
      </c>
      <c r="D65" s="384" t="s">
        <v>33</v>
      </c>
      <c r="E65" s="384" t="s">
        <v>730</v>
      </c>
      <c r="F65" s="386">
        <v>46060.0</v>
      </c>
      <c r="G65" s="381" t="s">
        <v>610</v>
      </c>
      <c r="H65" s="387" t="s">
        <v>2342</v>
      </c>
      <c r="I65" s="387" t="s">
        <v>2309</v>
      </c>
      <c r="J65" s="387">
        <v>9.867213194E9</v>
      </c>
      <c r="K65" s="394"/>
      <c r="L65" s="387" t="s">
        <v>887</v>
      </c>
      <c r="M65" s="389" t="s">
        <v>2343</v>
      </c>
      <c r="N65" s="389"/>
      <c r="O65" s="390"/>
      <c r="P65" s="391" t="s">
        <v>2344</v>
      </c>
      <c r="Q65" s="358"/>
    </row>
    <row r="66" ht="22.5" customHeight="1">
      <c r="A66" s="358"/>
      <c r="B66" s="383">
        <v>61.0</v>
      </c>
      <c r="C66" s="392" t="s">
        <v>713</v>
      </c>
      <c r="D66" s="384" t="s">
        <v>80</v>
      </c>
      <c r="E66" s="384" t="s">
        <v>730</v>
      </c>
      <c r="F66" s="386">
        <v>46060.0</v>
      </c>
      <c r="G66" s="381" t="s">
        <v>610</v>
      </c>
      <c r="H66" s="387" t="s">
        <v>849</v>
      </c>
      <c r="I66" s="387" t="s">
        <v>1059</v>
      </c>
      <c r="J66" s="387">
        <v>9.1671818E9</v>
      </c>
      <c r="K66" s="394" t="s">
        <v>2345</v>
      </c>
      <c r="L66" s="387" t="s">
        <v>2346</v>
      </c>
      <c r="M66" s="387" t="s">
        <v>2346</v>
      </c>
      <c r="N66" s="389"/>
      <c r="O66" s="390"/>
      <c r="P66" s="391" t="s">
        <v>2347</v>
      </c>
      <c r="Q66" s="358"/>
    </row>
    <row r="67" ht="22.5" customHeight="1">
      <c r="A67" s="358"/>
      <c r="B67" s="383">
        <v>62.0</v>
      </c>
      <c r="C67" s="392" t="s">
        <v>713</v>
      </c>
      <c r="D67" s="384" t="s">
        <v>33</v>
      </c>
      <c r="E67" s="384"/>
      <c r="F67" s="386">
        <v>46060.0</v>
      </c>
      <c r="G67" s="381" t="s">
        <v>610</v>
      </c>
      <c r="H67" s="387" t="s">
        <v>2348</v>
      </c>
      <c r="I67" s="387" t="s">
        <v>2349</v>
      </c>
      <c r="J67" s="387">
        <v>8.89800405E9</v>
      </c>
      <c r="K67" s="394"/>
      <c r="L67" s="387"/>
      <c r="M67" s="387"/>
      <c r="N67" s="389"/>
      <c r="O67" s="390"/>
      <c r="P67" s="391" t="s">
        <v>2350</v>
      </c>
      <c r="Q67" s="358"/>
    </row>
    <row r="68" ht="22.5" customHeight="1">
      <c r="A68" s="358"/>
      <c r="B68" s="383">
        <v>63.0</v>
      </c>
      <c r="C68" s="392" t="s">
        <v>713</v>
      </c>
      <c r="D68" s="384" t="s">
        <v>33</v>
      </c>
      <c r="E68" s="384"/>
      <c r="F68" s="386">
        <v>46060.0</v>
      </c>
      <c r="G68" s="381" t="s">
        <v>610</v>
      </c>
      <c r="H68" s="387" t="s">
        <v>2351</v>
      </c>
      <c r="I68" s="387" t="s">
        <v>783</v>
      </c>
      <c r="J68" s="387">
        <v>9.460971652E9</v>
      </c>
      <c r="K68" s="394"/>
      <c r="L68" s="387"/>
      <c r="M68" s="387"/>
      <c r="N68" s="389"/>
      <c r="O68" s="390"/>
      <c r="P68" s="391" t="s">
        <v>2352</v>
      </c>
      <c r="Q68" s="358"/>
    </row>
    <row r="69" ht="22.5" customHeight="1">
      <c r="A69" s="358"/>
      <c r="B69" s="383">
        <v>64.0</v>
      </c>
      <c r="C69" s="392" t="s">
        <v>713</v>
      </c>
      <c r="D69" s="384" t="s">
        <v>80</v>
      </c>
      <c r="E69" s="384"/>
      <c r="F69" s="386">
        <v>46060.0</v>
      </c>
      <c r="G69" s="381" t="s">
        <v>610</v>
      </c>
      <c r="H69" s="387" t="s">
        <v>1064</v>
      </c>
      <c r="I69" s="387" t="s">
        <v>1065</v>
      </c>
      <c r="J69" s="387">
        <v>9.323784794E9</v>
      </c>
      <c r="K69" s="394"/>
      <c r="L69" s="387"/>
      <c r="M69" s="387"/>
      <c r="N69" s="389"/>
      <c r="O69" s="390"/>
      <c r="P69" s="391" t="s">
        <v>2353</v>
      </c>
      <c r="Q69" s="358"/>
    </row>
    <row r="70" ht="22.5" customHeight="1">
      <c r="A70" s="358"/>
      <c r="B70" s="383">
        <v>65.0</v>
      </c>
      <c r="C70" s="392" t="s">
        <v>713</v>
      </c>
      <c r="D70" s="384" t="s">
        <v>33</v>
      </c>
      <c r="E70" s="384"/>
      <c r="F70" s="386">
        <v>46062.0</v>
      </c>
      <c r="G70" s="381" t="s">
        <v>610</v>
      </c>
      <c r="H70" s="387" t="s">
        <v>2354</v>
      </c>
      <c r="I70" s="387" t="s">
        <v>2355</v>
      </c>
      <c r="J70" s="387">
        <v>8.01792502E9</v>
      </c>
      <c r="K70" s="394" t="s">
        <v>2356</v>
      </c>
      <c r="L70" s="387"/>
      <c r="M70" s="387"/>
      <c r="N70" s="389"/>
      <c r="O70" s="390"/>
      <c r="P70" s="391" t="s">
        <v>2357</v>
      </c>
      <c r="Q70" s="358"/>
    </row>
    <row r="71" ht="22.5" customHeight="1">
      <c r="A71" s="358"/>
      <c r="B71" s="383">
        <v>66.0</v>
      </c>
      <c r="C71" s="392" t="s">
        <v>713</v>
      </c>
      <c r="D71" s="384" t="s">
        <v>33</v>
      </c>
      <c r="E71" s="384"/>
      <c r="F71" s="386">
        <v>46062.0</v>
      </c>
      <c r="G71" s="381" t="s">
        <v>610</v>
      </c>
      <c r="H71" s="387" t="s">
        <v>2358</v>
      </c>
      <c r="I71" s="387" t="s">
        <v>2359</v>
      </c>
      <c r="J71" s="387">
        <v>9.637536216E9</v>
      </c>
      <c r="K71" s="394" t="s">
        <v>2360</v>
      </c>
      <c r="L71" s="387"/>
      <c r="M71" s="387"/>
      <c r="N71" s="389"/>
      <c r="O71" s="390"/>
      <c r="P71" s="391" t="s">
        <v>2361</v>
      </c>
      <c r="Q71" s="358"/>
    </row>
    <row r="72" ht="22.5" customHeight="1">
      <c r="A72" s="358"/>
      <c r="B72" s="383">
        <v>67.0</v>
      </c>
      <c r="C72" s="392" t="s">
        <v>713</v>
      </c>
      <c r="D72" s="384" t="s">
        <v>95</v>
      </c>
      <c r="E72" s="384" t="s">
        <v>730</v>
      </c>
      <c r="F72" s="386">
        <v>46062.0</v>
      </c>
      <c r="G72" s="387" t="s">
        <v>610</v>
      </c>
      <c r="H72" s="387" t="s">
        <v>2362</v>
      </c>
      <c r="I72" s="387" t="s">
        <v>2363</v>
      </c>
      <c r="J72" s="387">
        <v>8.425939732E9</v>
      </c>
      <c r="K72" s="394" t="s">
        <v>2364</v>
      </c>
      <c r="L72" s="387" t="s">
        <v>2365</v>
      </c>
      <c r="M72" s="387" t="s">
        <v>2366</v>
      </c>
      <c r="N72" s="389"/>
      <c r="O72" s="390"/>
      <c r="P72" s="391" t="s">
        <v>2367</v>
      </c>
      <c r="Q72" s="358"/>
    </row>
    <row r="73" ht="22.5" customHeight="1">
      <c r="A73" s="358"/>
      <c r="B73" s="383">
        <v>68.0</v>
      </c>
      <c r="C73" s="392" t="s">
        <v>713</v>
      </c>
      <c r="D73" s="384" t="s">
        <v>80</v>
      </c>
      <c r="E73" s="384"/>
      <c r="F73" s="386">
        <v>46062.0</v>
      </c>
      <c r="G73" s="381" t="s">
        <v>610</v>
      </c>
      <c r="H73" s="387" t="s">
        <v>2368</v>
      </c>
      <c r="I73" s="387" t="s">
        <v>723</v>
      </c>
      <c r="J73" s="387">
        <v>9.820020108E9</v>
      </c>
      <c r="K73" s="394" t="s">
        <v>2369</v>
      </c>
      <c r="L73" s="387"/>
      <c r="M73" s="387"/>
      <c r="N73" s="389"/>
      <c r="O73" s="390"/>
      <c r="P73" s="391" t="s">
        <v>2370</v>
      </c>
      <c r="Q73" s="358"/>
    </row>
    <row r="74" ht="22.5" customHeight="1">
      <c r="A74" s="358"/>
      <c r="B74" s="383">
        <v>69.0</v>
      </c>
      <c r="C74" s="392" t="s">
        <v>713</v>
      </c>
      <c r="D74" s="384" t="s">
        <v>33</v>
      </c>
      <c r="E74" s="384"/>
      <c r="F74" s="386">
        <v>46062.0</v>
      </c>
      <c r="G74" s="381" t="s">
        <v>610</v>
      </c>
      <c r="H74" s="387" t="s">
        <v>2371</v>
      </c>
      <c r="I74" s="387" t="s">
        <v>237</v>
      </c>
      <c r="J74" s="387">
        <v>8.655421788E9</v>
      </c>
      <c r="K74" s="394" t="s">
        <v>2372</v>
      </c>
      <c r="L74" s="387"/>
      <c r="M74" s="387"/>
      <c r="N74" s="389"/>
      <c r="O74" s="390"/>
      <c r="P74" s="395" t="s">
        <v>2373</v>
      </c>
      <c r="Q74" s="358"/>
    </row>
    <row r="75" ht="22.5" customHeight="1">
      <c r="A75" s="358"/>
      <c r="B75" s="383">
        <v>70.0</v>
      </c>
      <c r="C75" s="392" t="s">
        <v>713</v>
      </c>
      <c r="D75" s="384" t="s">
        <v>80</v>
      </c>
      <c r="E75" s="384"/>
      <c r="F75" s="386">
        <v>46062.0</v>
      </c>
      <c r="G75" s="381" t="s">
        <v>610</v>
      </c>
      <c r="H75" s="387" t="s">
        <v>1626</v>
      </c>
      <c r="I75" s="387" t="s">
        <v>394</v>
      </c>
      <c r="J75" s="387">
        <v>9.920438774E9</v>
      </c>
      <c r="K75" s="394" t="s">
        <v>2374</v>
      </c>
      <c r="L75" s="387"/>
      <c r="M75" s="387"/>
      <c r="N75" s="389"/>
      <c r="O75" s="390"/>
      <c r="P75" s="395" t="s">
        <v>2375</v>
      </c>
      <c r="Q75" s="358"/>
    </row>
    <row r="76" ht="22.5" customHeight="1">
      <c r="A76" s="358"/>
      <c r="B76" s="383">
        <v>71.0</v>
      </c>
      <c r="C76" s="392" t="s">
        <v>713</v>
      </c>
      <c r="D76" s="384" t="s">
        <v>95</v>
      </c>
      <c r="E76" s="385"/>
      <c r="F76" s="386">
        <v>46064.0</v>
      </c>
      <c r="G76" s="381" t="s">
        <v>610</v>
      </c>
      <c r="H76" s="387" t="s">
        <v>2376</v>
      </c>
      <c r="I76" s="387" t="s">
        <v>2377</v>
      </c>
      <c r="J76" s="387">
        <v>9.975816769E9</v>
      </c>
      <c r="K76" s="394" t="s">
        <v>2378</v>
      </c>
      <c r="L76" s="387"/>
      <c r="M76" s="387"/>
      <c r="N76" s="389"/>
      <c r="O76" s="390"/>
      <c r="P76" s="391" t="s">
        <v>2379</v>
      </c>
      <c r="Q76" s="358"/>
    </row>
    <row r="77" ht="22.5" customHeight="1">
      <c r="A77" s="358"/>
      <c r="B77" s="383">
        <v>72.0</v>
      </c>
      <c r="C77" s="392" t="s">
        <v>713</v>
      </c>
      <c r="D77" s="384" t="s">
        <v>95</v>
      </c>
      <c r="E77" s="384"/>
      <c r="F77" s="386">
        <v>46066.0</v>
      </c>
      <c r="G77" s="387" t="s">
        <v>610</v>
      </c>
      <c r="H77" s="315" t="s">
        <v>173</v>
      </c>
      <c r="I77" s="396" t="s">
        <v>2380</v>
      </c>
      <c r="J77" s="396">
        <v>9.970012842E9</v>
      </c>
      <c r="K77" s="394"/>
      <c r="L77" s="387" t="s">
        <v>2381</v>
      </c>
      <c r="M77" s="387" t="s">
        <v>2382</v>
      </c>
      <c r="N77" s="389"/>
      <c r="O77" s="390"/>
      <c r="P77" s="317" t="s">
        <v>2383</v>
      </c>
      <c r="Q77" s="358"/>
    </row>
    <row r="78" ht="22.5" customHeight="1">
      <c r="A78" s="358"/>
      <c r="B78" s="383">
        <v>73.0</v>
      </c>
      <c r="C78" s="392" t="s">
        <v>713</v>
      </c>
      <c r="D78" s="384" t="s">
        <v>80</v>
      </c>
      <c r="E78" s="384"/>
      <c r="F78" s="386">
        <v>46066.0</v>
      </c>
      <c r="G78" s="387" t="s">
        <v>610</v>
      </c>
      <c r="H78" s="315" t="s">
        <v>2384</v>
      </c>
      <c r="I78" s="396" t="s">
        <v>1941</v>
      </c>
      <c r="J78" s="396">
        <v>9.920259777E9</v>
      </c>
      <c r="K78" s="396" t="s">
        <v>2385</v>
      </c>
      <c r="L78" s="387"/>
      <c r="M78" s="387"/>
      <c r="N78" s="389"/>
      <c r="O78" s="390"/>
      <c r="P78" s="317" t="s">
        <v>2386</v>
      </c>
      <c r="Q78" s="358"/>
    </row>
    <row r="79" ht="22.5" customHeight="1">
      <c r="A79" s="358"/>
      <c r="B79" s="383">
        <v>74.0</v>
      </c>
      <c r="C79" s="389" t="s">
        <v>713</v>
      </c>
      <c r="D79" s="384" t="s">
        <v>95</v>
      </c>
      <c r="E79" s="384"/>
      <c r="F79" s="386">
        <v>46069.0</v>
      </c>
      <c r="G79" s="387" t="s">
        <v>610</v>
      </c>
      <c r="H79" s="315" t="s">
        <v>2387</v>
      </c>
      <c r="I79" s="396" t="s">
        <v>2388</v>
      </c>
      <c r="J79" s="396">
        <v>9.967717994E9</v>
      </c>
      <c r="K79" s="396" t="s">
        <v>2389</v>
      </c>
      <c r="L79" s="387" t="s">
        <v>2390</v>
      </c>
      <c r="M79" s="387" t="s">
        <v>2391</v>
      </c>
      <c r="N79" s="389" t="s">
        <v>2392</v>
      </c>
      <c r="O79" s="389" t="s">
        <v>2058</v>
      </c>
      <c r="P79" s="317" t="s">
        <v>2393</v>
      </c>
      <c r="Q79" s="358"/>
    </row>
    <row r="80" ht="22.5" customHeight="1">
      <c r="A80" s="358"/>
      <c r="B80" s="383">
        <v>75.0</v>
      </c>
      <c r="C80" s="389" t="s">
        <v>713</v>
      </c>
      <c r="D80" s="384" t="s">
        <v>80</v>
      </c>
      <c r="E80" s="384"/>
      <c r="F80" s="386">
        <v>46069.0</v>
      </c>
      <c r="G80" s="387" t="s">
        <v>610</v>
      </c>
      <c r="H80" s="315" t="s">
        <v>2394</v>
      </c>
      <c r="I80" s="396" t="s">
        <v>2395</v>
      </c>
      <c r="J80" s="396">
        <v>9.987444351E9</v>
      </c>
      <c r="K80" s="396" t="s">
        <v>2396</v>
      </c>
      <c r="L80" s="387"/>
      <c r="M80" s="387"/>
      <c r="N80" s="389"/>
      <c r="O80" s="390"/>
      <c r="P80" s="317" t="s">
        <v>2397</v>
      </c>
      <c r="Q80" s="358"/>
    </row>
    <row r="81" ht="22.5" customHeight="1">
      <c r="A81" s="358"/>
      <c r="B81" s="383">
        <v>76.0</v>
      </c>
      <c r="C81" s="389" t="s">
        <v>713</v>
      </c>
      <c r="D81" s="384" t="s">
        <v>80</v>
      </c>
      <c r="E81" s="384"/>
      <c r="F81" s="386">
        <v>46072.0</v>
      </c>
      <c r="G81" s="387" t="s">
        <v>610</v>
      </c>
      <c r="H81" s="315" t="s">
        <v>2398</v>
      </c>
      <c r="I81" s="396" t="s">
        <v>2335</v>
      </c>
      <c r="J81" s="396">
        <v>9.820068518E9</v>
      </c>
      <c r="K81" s="396" t="s">
        <v>2399</v>
      </c>
      <c r="L81" s="387"/>
      <c r="M81" s="387"/>
      <c r="N81" s="389"/>
      <c r="O81" s="390"/>
      <c r="P81" s="317" t="s">
        <v>2400</v>
      </c>
      <c r="Q81" s="358"/>
    </row>
    <row r="82" ht="22.5" customHeight="1">
      <c r="A82" s="358"/>
      <c r="B82" s="383">
        <v>77.0</v>
      </c>
      <c r="C82" s="389" t="s">
        <v>713</v>
      </c>
      <c r="D82" s="384" t="s">
        <v>33</v>
      </c>
      <c r="E82" s="384"/>
      <c r="F82" s="386">
        <v>46072.0</v>
      </c>
      <c r="G82" s="387" t="s">
        <v>610</v>
      </c>
      <c r="H82" s="315" t="s">
        <v>2401</v>
      </c>
      <c r="I82" s="396" t="s">
        <v>2402</v>
      </c>
      <c r="J82" s="396">
        <v>9.819720323E9</v>
      </c>
      <c r="K82" s="396" t="s">
        <v>2403</v>
      </c>
      <c r="L82" s="387" t="s">
        <v>2404</v>
      </c>
      <c r="M82" s="387" t="s">
        <v>2405</v>
      </c>
      <c r="N82" s="389"/>
      <c r="O82" s="390"/>
      <c r="P82" s="317" t="s">
        <v>2406</v>
      </c>
      <c r="Q82" s="358"/>
    </row>
    <row r="83" ht="22.5" customHeight="1">
      <c r="A83" s="358"/>
      <c r="B83" s="383">
        <v>78.0</v>
      </c>
      <c r="C83" s="389" t="s">
        <v>713</v>
      </c>
      <c r="D83" s="384" t="s">
        <v>80</v>
      </c>
      <c r="E83" s="384"/>
      <c r="F83" s="386">
        <v>46072.0</v>
      </c>
      <c r="G83" s="387" t="s">
        <v>610</v>
      </c>
      <c r="H83" s="315" t="s">
        <v>2407</v>
      </c>
      <c r="I83" s="396" t="s">
        <v>2408</v>
      </c>
      <c r="J83" s="396">
        <v>8.977949664E9</v>
      </c>
      <c r="K83" s="396" t="s">
        <v>2409</v>
      </c>
      <c r="L83" s="387"/>
      <c r="M83" s="387"/>
      <c r="N83" s="389"/>
      <c r="O83" s="390"/>
      <c r="P83" s="317" t="s">
        <v>2410</v>
      </c>
      <c r="Q83" s="358"/>
    </row>
    <row r="84" ht="22.5" customHeight="1">
      <c r="A84" s="358"/>
      <c r="B84" s="383">
        <v>79.0</v>
      </c>
      <c r="C84" s="389" t="s">
        <v>713</v>
      </c>
      <c r="D84" s="384" t="s">
        <v>33</v>
      </c>
      <c r="E84" s="384"/>
      <c r="F84" s="386">
        <v>46072.0</v>
      </c>
      <c r="G84" s="387" t="s">
        <v>610</v>
      </c>
      <c r="H84" s="315" t="s">
        <v>2411</v>
      </c>
      <c r="I84" s="396" t="s">
        <v>2412</v>
      </c>
      <c r="J84" s="396">
        <v>9.619716323E9</v>
      </c>
      <c r="K84" s="396"/>
      <c r="L84" s="387"/>
      <c r="M84" s="387"/>
      <c r="N84" s="389"/>
      <c r="O84" s="390"/>
      <c r="P84" s="317" t="s">
        <v>2413</v>
      </c>
      <c r="Q84" s="358"/>
    </row>
    <row r="85" ht="22.5" customHeight="1">
      <c r="A85" s="358"/>
      <c r="B85" s="383">
        <v>80.0</v>
      </c>
      <c r="C85" s="389" t="s">
        <v>713</v>
      </c>
      <c r="D85" s="384" t="s">
        <v>80</v>
      </c>
      <c r="E85" s="384"/>
      <c r="F85" s="386">
        <v>46078.0</v>
      </c>
      <c r="G85" s="387" t="s">
        <v>610</v>
      </c>
      <c r="H85" s="315" t="s">
        <v>2414</v>
      </c>
      <c r="I85" s="396" t="s">
        <v>707</v>
      </c>
      <c r="J85" s="396">
        <v>9.664074309E9</v>
      </c>
      <c r="K85" s="396" t="s">
        <v>2415</v>
      </c>
      <c r="L85" s="387"/>
      <c r="M85" s="387"/>
      <c r="N85" s="389"/>
      <c r="O85" s="390"/>
      <c r="P85" s="317" t="s">
        <v>2416</v>
      </c>
      <c r="Q85" s="358"/>
    </row>
    <row r="86" ht="22.5" customHeight="1">
      <c r="A86" s="397"/>
      <c r="B86" s="383">
        <v>81.0</v>
      </c>
      <c r="C86" s="389" t="s">
        <v>713</v>
      </c>
      <c r="D86" s="384" t="s">
        <v>33</v>
      </c>
      <c r="E86" s="384" t="s">
        <v>730</v>
      </c>
      <c r="F86" s="386">
        <v>46078.0</v>
      </c>
      <c r="G86" s="387" t="s">
        <v>610</v>
      </c>
      <c r="H86" s="315" t="s">
        <v>2417</v>
      </c>
      <c r="I86" s="396" t="s">
        <v>2418</v>
      </c>
      <c r="J86" s="396">
        <v>9.820631205E9</v>
      </c>
      <c r="K86" s="396" t="s">
        <v>2419</v>
      </c>
      <c r="L86" s="387" t="s">
        <v>2420</v>
      </c>
      <c r="M86" s="387" t="s">
        <v>2420</v>
      </c>
      <c r="N86" s="389"/>
      <c r="O86" s="390"/>
      <c r="P86" s="317" t="s">
        <v>2421</v>
      </c>
      <c r="Q86" s="397"/>
    </row>
    <row r="87" ht="22.5" customHeight="1">
      <c r="A87" s="398"/>
      <c r="B87" s="383">
        <v>82.0</v>
      </c>
      <c r="C87" s="389" t="s">
        <v>713</v>
      </c>
      <c r="D87" s="384" t="s">
        <v>46</v>
      </c>
      <c r="E87" s="384" t="s">
        <v>730</v>
      </c>
      <c r="F87" s="386">
        <v>46078.0</v>
      </c>
      <c r="G87" s="387" t="s">
        <v>610</v>
      </c>
      <c r="H87" s="315" t="s">
        <v>2422</v>
      </c>
      <c r="I87" s="396" t="s">
        <v>2423</v>
      </c>
      <c r="J87" s="396">
        <v>9.819977751E9</v>
      </c>
      <c r="K87" s="396" t="s">
        <v>2424</v>
      </c>
      <c r="L87" s="399" t="s">
        <v>2425</v>
      </c>
      <c r="M87" s="399" t="s">
        <v>2425</v>
      </c>
      <c r="N87" s="389" t="s">
        <v>2392</v>
      </c>
      <c r="O87" s="389" t="s">
        <v>2058</v>
      </c>
      <c r="P87" s="317" t="s">
        <v>2426</v>
      </c>
      <c r="Q87" s="398"/>
    </row>
    <row r="88" ht="22.5" customHeight="1">
      <c r="A88" s="358"/>
      <c r="B88" s="383">
        <v>83.0</v>
      </c>
      <c r="C88" s="389" t="s">
        <v>713</v>
      </c>
      <c r="D88" s="384" t="s">
        <v>80</v>
      </c>
      <c r="E88" s="384"/>
      <c r="F88" s="386">
        <v>46078.0</v>
      </c>
      <c r="G88" s="387" t="s">
        <v>610</v>
      </c>
      <c r="H88" s="315" t="s">
        <v>2427</v>
      </c>
      <c r="I88" s="396" t="s">
        <v>2428</v>
      </c>
      <c r="J88" s="396">
        <v>9.821010765E9</v>
      </c>
      <c r="K88" s="396" t="s">
        <v>2429</v>
      </c>
      <c r="L88" s="399"/>
      <c r="M88" s="399"/>
      <c r="N88" s="389"/>
      <c r="O88" s="389"/>
      <c r="P88" s="317" t="s">
        <v>2430</v>
      </c>
      <c r="Q88" s="358"/>
    </row>
    <row r="89" ht="22.5" customHeight="1">
      <c r="A89" s="358"/>
      <c r="B89" s="383">
        <v>84.0</v>
      </c>
      <c r="C89" s="389" t="s">
        <v>713</v>
      </c>
      <c r="D89" s="384" t="s">
        <v>33</v>
      </c>
      <c r="E89" s="384"/>
      <c r="F89" s="386">
        <v>46080.0</v>
      </c>
      <c r="G89" s="387" t="s">
        <v>610</v>
      </c>
      <c r="H89" s="315" t="s">
        <v>915</v>
      </c>
      <c r="I89" s="396" t="s">
        <v>2431</v>
      </c>
      <c r="J89" s="396">
        <v>9.096153085E9</v>
      </c>
      <c r="K89" s="396"/>
      <c r="L89" s="399"/>
      <c r="M89" s="399"/>
      <c r="N89" s="389"/>
      <c r="O89" s="389"/>
      <c r="P89" s="317" t="s">
        <v>2432</v>
      </c>
      <c r="Q89" s="358"/>
    </row>
    <row r="90">
      <c r="A90" s="358"/>
      <c r="B90" s="358"/>
      <c r="C90" s="358"/>
      <c r="D90" s="358"/>
      <c r="E90" s="358"/>
      <c r="F90" s="358"/>
      <c r="G90" s="358"/>
      <c r="H90" s="358"/>
      <c r="I90" s="358"/>
      <c r="J90" s="358"/>
      <c r="K90" s="358"/>
      <c r="L90" s="358"/>
      <c r="M90" s="358"/>
      <c r="N90" s="358"/>
      <c r="O90" s="358"/>
      <c r="P90" s="358"/>
      <c r="Q90" s="358"/>
    </row>
    <row r="91">
      <c r="A91" s="358"/>
      <c r="B91" s="358"/>
      <c r="C91" s="358"/>
      <c r="D91" s="358"/>
      <c r="E91" s="358"/>
      <c r="F91" s="358"/>
      <c r="G91" s="358"/>
      <c r="H91" s="358"/>
      <c r="I91" s="358"/>
      <c r="J91" s="358"/>
      <c r="K91" s="358"/>
      <c r="L91" s="358"/>
      <c r="M91" s="358"/>
      <c r="N91" s="358"/>
      <c r="O91" s="358"/>
      <c r="P91" s="358"/>
      <c r="Q91" s="358"/>
    </row>
    <row r="92">
      <c r="A92" s="358"/>
      <c r="B92" s="358"/>
      <c r="C92" s="358"/>
      <c r="D92" s="358"/>
      <c r="E92" s="358"/>
      <c r="F92" s="358"/>
      <c r="G92" s="358"/>
      <c r="H92" s="358"/>
      <c r="I92" s="358"/>
      <c r="J92" s="358"/>
      <c r="K92" s="358"/>
      <c r="L92" s="358"/>
      <c r="M92" s="358"/>
      <c r="N92" s="358"/>
      <c r="O92" s="358"/>
      <c r="P92" s="358"/>
      <c r="Q92" s="358"/>
    </row>
    <row r="93">
      <c r="A93" s="358"/>
      <c r="B93" s="358"/>
      <c r="C93" s="358"/>
      <c r="D93" s="358"/>
      <c r="E93" s="358"/>
      <c r="F93" s="358"/>
      <c r="G93" s="358"/>
      <c r="H93" s="358"/>
      <c r="I93" s="358"/>
      <c r="J93" s="358"/>
      <c r="K93" s="358"/>
      <c r="L93" s="358"/>
      <c r="M93" s="358"/>
      <c r="N93" s="358"/>
      <c r="O93" s="358"/>
      <c r="P93" s="358"/>
      <c r="Q93" s="358"/>
    </row>
    <row r="94">
      <c r="A94" s="358"/>
      <c r="B94" s="358"/>
      <c r="C94" s="358"/>
      <c r="D94" s="358"/>
      <c r="E94" s="358"/>
      <c r="F94" s="358"/>
      <c r="G94" s="358"/>
      <c r="H94" s="358"/>
      <c r="I94" s="358"/>
      <c r="J94" s="358"/>
      <c r="K94" s="358"/>
      <c r="L94" s="358"/>
      <c r="M94" s="358"/>
      <c r="N94" s="358"/>
      <c r="O94" s="358"/>
      <c r="P94" s="358"/>
      <c r="Q94" s="358"/>
    </row>
    <row r="95">
      <c r="A95" s="358"/>
      <c r="B95" s="358"/>
      <c r="C95" s="358"/>
      <c r="D95" s="358"/>
      <c r="E95" s="358"/>
      <c r="F95" s="358"/>
      <c r="G95" s="358"/>
      <c r="H95" s="358"/>
      <c r="I95" s="358"/>
      <c r="J95" s="358"/>
      <c r="K95" s="358"/>
      <c r="L95" s="358"/>
      <c r="M95" s="358"/>
      <c r="N95" s="358"/>
      <c r="O95" s="358"/>
      <c r="P95" s="358"/>
      <c r="Q95" s="358"/>
    </row>
    <row r="96">
      <c r="A96" s="358"/>
      <c r="B96" s="358"/>
      <c r="C96" s="358"/>
      <c r="D96" s="358"/>
      <c r="E96" s="358"/>
      <c r="F96" s="358"/>
      <c r="G96" s="358"/>
      <c r="H96" s="358"/>
      <c r="I96" s="358"/>
      <c r="J96" s="358"/>
      <c r="K96" s="358"/>
      <c r="L96" s="358"/>
      <c r="M96" s="358"/>
      <c r="N96" s="358"/>
      <c r="O96" s="358"/>
      <c r="P96" s="358"/>
      <c r="Q96" s="358"/>
    </row>
    <row r="97">
      <c r="A97" s="358"/>
      <c r="B97" s="358"/>
      <c r="C97" s="358"/>
      <c r="D97" s="358"/>
      <c r="E97" s="358"/>
      <c r="F97" s="358"/>
      <c r="G97" s="358"/>
      <c r="H97" s="358"/>
      <c r="I97" s="358"/>
      <c r="J97" s="358"/>
      <c r="K97" s="358"/>
      <c r="L97" s="358"/>
      <c r="M97" s="358"/>
      <c r="N97" s="358"/>
      <c r="O97" s="358"/>
      <c r="P97" s="358"/>
      <c r="Q97" s="358"/>
    </row>
    <row r="98">
      <c r="A98" s="358"/>
      <c r="B98" s="358"/>
      <c r="C98" s="358"/>
      <c r="D98" s="358"/>
      <c r="E98" s="358"/>
      <c r="F98" s="358"/>
      <c r="G98" s="358"/>
      <c r="H98" s="358"/>
      <c r="I98" s="358"/>
      <c r="J98" s="358"/>
      <c r="K98" s="358"/>
      <c r="L98" s="358"/>
      <c r="M98" s="358"/>
      <c r="N98" s="358"/>
      <c r="O98" s="358"/>
      <c r="P98" s="358"/>
      <c r="Q98" s="358"/>
    </row>
    <row r="99">
      <c r="A99" s="358"/>
      <c r="B99" s="358"/>
      <c r="C99" s="358"/>
      <c r="D99" s="358"/>
      <c r="E99" s="358"/>
      <c r="F99" s="358"/>
      <c r="G99" s="358"/>
      <c r="H99" s="358"/>
      <c r="I99" s="358"/>
      <c r="J99" s="358"/>
      <c r="K99" s="358"/>
      <c r="L99" s="358"/>
      <c r="M99" s="358"/>
      <c r="N99" s="358"/>
      <c r="O99" s="358"/>
      <c r="P99" s="358"/>
      <c r="Q99" s="358"/>
    </row>
    <row r="100">
      <c r="A100" s="358"/>
      <c r="B100" s="358"/>
      <c r="C100" s="358"/>
      <c r="D100" s="358"/>
      <c r="E100" s="358"/>
      <c r="F100" s="358"/>
      <c r="G100" s="358"/>
      <c r="H100" s="358"/>
      <c r="I100" s="358"/>
      <c r="J100" s="358"/>
      <c r="K100" s="358"/>
      <c r="L100" s="358"/>
      <c r="M100" s="358"/>
      <c r="N100" s="358"/>
      <c r="O100" s="358"/>
      <c r="P100" s="358"/>
      <c r="Q100" s="358"/>
    </row>
    <row r="101">
      <c r="A101" s="358"/>
      <c r="B101" s="358"/>
      <c r="C101" s="358"/>
      <c r="D101" s="358"/>
      <c r="E101" s="358"/>
      <c r="F101" s="358"/>
      <c r="G101" s="358"/>
      <c r="H101" s="358"/>
      <c r="I101" s="358"/>
      <c r="J101" s="358"/>
      <c r="K101" s="358"/>
      <c r="L101" s="358"/>
      <c r="M101" s="358"/>
      <c r="N101" s="358"/>
      <c r="O101" s="358"/>
      <c r="P101" s="358"/>
      <c r="Q101" s="358"/>
    </row>
    <row r="102">
      <c r="A102" s="358"/>
      <c r="B102" s="358"/>
      <c r="C102" s="358"/>
      <c r="D102" s="358"/>
      <c r="E102" s="358"/>
      <c r="F102" s="358"/>
      <c r="G102" s="358"/>
      <c r="H102" s="358"/>
      <c r="I102" s="358"/>
      <c r="J102" s="358"/>
      <c r="K102" s="358"/>
      <c r="L102" s="358"/>
      <c r="M102" s="358"/>
      <c r="N102" s="358"/>
      <c r="O102" s="358"/>
      <c r="P102" s="358"/>
      <c r="Q102" s="358"/>
    </row>
    <row r="103">
      <c r="A103" s="358"/>
      <c r="B103" s="358"/>
      <c r="C103" s="358"/>
      <c r="D103" s="358"/>
      <c r="E103" s="358"/>
      <c r="F103" s="358"/>
      <c r="G103" s="358"/>
      <c r="H103" s="358"/>
      <c r="I103" s="358"/>
      <c r="J103" s="358"/>
      <c r="K103" s="358"/>
      <c r="L103" s="358"/>
      <c r="M103" s="358"/>
      <c r="N103" s="358"/>
      <c r="O103" s="358"/>
      <c r="P103" s="358"/>
      <c r="Q103" s="358"/>
    </row>
    <row r="104">
      <c r="A104" s="358"/>
      <c r="B104" s="358"/>
      <c r="C104" s="358"/>
      <c r="D104" s="358"/>
      <c r="E104" s="358"/>
      <c r="F104" s="358"/>
      <c r="G104" s="358"/>
      <c r="H104" s="358"/>
      <c r="I104" s="358"/>
      <c r="J104" s="358"/>
      <c r="K104" s="358"/>
      <c r="L104" s="358"/>
      <c r="M104" s="358"/>
      <c r="N104" s="358"/>
      <c r="O104" s="358"/>
      <c r="P104" s="358"/>
      <c r="Q104" s="358"/>
    </row>
    <row r="105">
      <c r="A105" s="358"/>
      <c r="B105" s="358"/>
      <c r="C105" s="358"/>
      <c r="D105" s="358"/>
      <c r="E105" s="358"/>
      <c r="F105" s="358"/>
      <c r="G105" s="358"/>
      <c r="H105" s="358"/>
      <c r="I105" s="358"/>
      <c r="J105" s="358"/>
      <c r="K105" s="358"/>
      <c r="L105" s="358"/>
      <c r="M105" s="358"/>
      <c r="N105" s="358"/>
      <c r="O105" s="358"/>
      <c r="P105" s="358"/>
      <c r="Q105" s="358"/>
    </row>
    <row r="106">
      <c r="A106" s="358"/>
      <c r="B106" s="358"/>
      <c r="C106" s="358"/>
      <c r="D106" s="358"/>
      <c r="E106" s="358"/>
      <c r="F106" s="358"/>
      <c r="G106" s="358"/>
      <c r="H106" s="358"/>
      <c r="I106" s="358"/>
      <c r="J106" s="358"/>
      <c r="K106" s="358"/>
      <c r="L106" s="358"/>
      <c r="M106" s="358"/>
      <c r="N106" s="358"/>
      <c r="O106" s="358"/>
      <c r="P106" s="358"/>
      <c r="Q106" s="358"/>
    </row>
    <row r="107">
      <c r="A107" s="358"/>
      <c r="B107" s="358"/>
      <c r="C107" s="358"/>
      <c r="D107" s="358"/>
      <c r="E107" s="358"/>
      <c r="F107" s="358"/>
      <c r="G107" s="358"/>
      <c r="H107" s="358"/>
      <c r="I107" s="358"/>
      <c r="J107" s="358"/>
      <c r="K107" s="358"/>
      <c r="L107" s="358"/>
      <c r="M107" s="358"/>
      <c r="N107" s="358"/>
      <c r="O107" s="358"/>
      <c r="P107" s="358"/>
      <c r="Q107" s="358"/>
    </row>
    <row r="108">
      <c r="A108" s="358"/>
      <c r="B108" s="358"/>
      <c r="C108" s="358"/>
      <c r="D108" s="358"/>
      <c r="E108" s="358"/>
      <c r="F108" s="358"/>
      <c r="G108" s="358"/>
      <c r="H108" s="358"/>
      <c r="I108" s="358"/>
      <c r="J108" s="358"/>
      <c r="K108" s="358"/>
      <c r="L108" s="358"/>
      <c r="M108" s="358"/>
      <c r="N108" s="358"/>
      <c r="O108" s="358"/>
      <c r="P108" s="358"/>
      <c r="Q108" s="358"/>
    </row>
    <row r="109">
      <c r="A109" s="358"/>
      <c r="B109" s="358"/>
      <c r="C109" s="358"/>
      <c r="D109" s="358"/>
      <c r="E109" s="358"/>
      <c r="F109" s="358"/>
      <c r="G109" s="358"/>
      <c r="H109" s="358"/>
      <c r="I109" s="358"/>
      <c r="J109" s="358"/>
      <c r="K109" s="358"/>
      <c r="L109" s="358"/>
      <c r="M109" s="358"/>
      <c r="N109" s="358"/>
      <c r="O109" s="358"/>
      <c r="P109" s="358"/>
      <c r="Q109" s="358"/>
    </row>
    <row r="110">
      <c r="A110" s="358"/>
      <c r="B110" s="358"/>
      <c r="C110" s="358"/>
      <c r="D110" s="358"/>
      <c r="E110" s="358"/>
      <c r="F110" s="358"/>
      <c r="G110" s="358"/>
      <c r="H110" s="358"/>
      <c r="I110" s="358"/>
      <c r="J110" s="358"/>
      <c r="K110" s="358"/>
      <c r="L110" s="358"/>
      <c r="M110" s="358"/>
      <c r="N110" s="358"/>
      <c r="O110" s="358"/>
      <c r="P110" s="358"/>
      <c r="Q110" s="358"/>
    </row>
    <row r="111">
      <c r="A111" s="358"/>
      <c r="B111" s="358"/>
      <c r="C111" s="358"/>
      <c r="D111" s="358"/>
      <c r="E111" s="358"/>
      <c r="F111" s="358"/>
      <c r="G111" s="358"/>
      <c r="H111" s="358"/>
      <c r="I111" s="358"/>
      <c r="J111" s="358"/>
      <c r="K111" s="358"/>
      <c r="L111" s="358"/>
      <c r="M111" s="358"/>
      <c r="N111" s="358"/>
      <c r="O111" s="358"/>
      <c r="P111" s="358"/>
      <c r="Q111" s="358"/>
    </row>
    <row r="112">
      <c r="A112" s="358"/>
      <c r="B112" s="358"/>
      <c r="C112" s="358"/>
      <c r="D112" s="358"/>
      <c r="E112" s="358"/>
      <c r="F112" s="358"/>
      <c r="G112" s="358"/>
      <c r="H112" s="358"/>
      <c r="I112" s="358"/>
      <c r="J112" s="358"/>
      <c r="K112" s="358"/>
      <c r="L112" s="358"/>
      <c r="M112" s="358"/>
      <c r="N112" s="358"/>
      <c r="O112" s="358"/>
      <c r="P112" s="358"/>
      <c r="Q112" s="358"/>
    </row>
    <row r="113">
      <c r="A113" s="358"/>
      <c r="B113" s="358"/>
      <c r="C113" s="358"/>
      <c r="D113" s="358"/>
      <c r="E113" s="358"/>
      <c r="F113" s="358"/>
      <c r="G113" s="358"/>
      <c r="H113" s="358"/>
      <c r="I113" s="358"/>
      <c r="J113" s="358"/>
      <c r="K113" s="358"/>
      <c r="L113" s="358"/>
      <c r="M113" s="358"/>
      <c r="N113" s="358"/>
      <c r="O113" s="358"/>
      <c r="P113" s="358"/>
      <c r="Q113" s="358"/>
    </row>
    <row r="114">
      <c r="A114" s="358"/>
      <c r="B114" s="358"/>
      <c r="C114" s="358"/>
      <c r="D114" s="358"/>
      <c r="E114" s="358"/>
      <c r="F114" s="358"/>
      <c r="G114" s="358"/>
      <c r="H114" s="358"/>
      <c r="I114" s="358"/>
      <c r="J114" s="358"/>
      <c r="K114" s="358"/>
      <c r="L114" s="358"/>
      <c r="M114" s="358"/>
      <c r="N114" s="358"/>
      <c r="O114" s="358"/>
      <c r="P114" s="358"/>
      <c r="Q114" s="358"/>
    </row>
    <row r="115">
      <c r="A115" s="358"/>
      <c r="B115" s="358"/>
      <c r="C115" s="358"/>
      <c r="D115" s="358"/>
      <c r="E115" s="358"/>
      <c r="F115" s="358"/>
      <c r="G115" s="358"/>
      <c r="H115" s="358"/>
      <c r="I115" s="358"/>
      <c r="J115" s="358"/>
      <c r="K115" s="358"/>
      <c r="L115" s="358"/>
      <c r="M115" s="358"/>
      <c r="N115" s="358"/>
      <c r="O115" s="358"/>
      <c r="P115" s="358"/>
      <c r="Q115" s="358"/>
    </row>
    <row r="116">
      <c r="A116" s="358"/>
      <c r="B116" s="358"/>
      <c r="C116" s="358"/>
      <c r="D116" s="358"/>
      <c r="E116" s="358"/>
      <c r="F116" s="358"/>
      <c r="G116" s="358"/>
      <c r="H116" s="358"/>
      <c r="I116" s="358"/>
      <c r="J116" s="358"/>
      <c r="K116" s="358"/>
      <c r="L116" s="358"/>
      <c r="M116" s="358"/>
      <c r="N116" s="358"/>
      <c r="O116" s="358"/>
      <c r="P116" s="358"/>
      <c r="Q116" s="358"/>
    </row>
    <row r="117">
      <c r="A117" s="358"/>
      <c r="B117" s="358"/>
      <c r="C117" s="358"/>
      <c r="D117" s="358"/>
      <c r="E117" s="358"/>
      <c r="F117" s="358"/>
      <c r="G117" s="358"/>
      <c r="H117" s="358"/>
      <c r="I117" s="358"/>
      <c r="J117" s="358"/>
      <c r="K117" s="358"/>
      <c r="L117" s="358"/>
      <c r="M117" s="358"/>
      <c r="N117" s="358"/>
      <c r="O117" s="358"/>
      <c r="P117" s="358"/>
      <c r="Q117" s="358"/>
    </row>
    <row r="118">
      <c r="A118" s="358"/>
      <c r="B118" s="358"/>
      <c r="C118" s="358"/>
      <c r="D118" s="358"/>
      <c r="E118" s="358"/>
      <c r="F118" s="358"/>
      <c r="G118" s="358"/>
      <c r="H118" s="358"/>
      <c r="I118" s="358"/>
      <c r="J118" s="358"/>
      <c r="K118" s="358"/>
      <c r="L118" s="358"/>
      <c r="M118" s="358"/>
      <c r="N118" s="358"/>
      <c r="O118" s="358"/>
      <c r="P118" s="358"/>
      <c r="Q118" s="358"/>
    </row>
    <row r="119">
      <c r="A119" s="358"/>
      <c r="B119" s="358"/>
      <c r="C119" s="358"/>
      <c r="D119" s="358"/>
      <c r="E119" s="358"/>
      <c r="F119" s="358"/>
      <c r="G119" s="358"/>
      <c r="H119" s="358"/>
      <c r="I119" s="358"/>
      <c r="J119" s="358"/>
      <c r="K119" s="358"/>
      <c r="L119" s="358"/>
      <c r="M119" s="358"/>
      <c r="N119" s="358"/>
      <c r="O119" s="358"/>
      <c r="P119" s="358"/>
      <c r="Q119" s="358"/>
    </row>
    <row r="120">
      <c r="A120" s="358"/>
      <c r="B120" s="358"/>
      <c r="C120" s="358"/>
      <c r="D120" s="358"/>
      <c r="E120" s="358"/>
      <c r="F120" s="358"/>
      <c r="G120" s="358"/>
      <c r="H120" s="358"/>
      <c r="I120" s="358"/>
      <c r="J120" s="358"/>
      <c r="K120" s="358"/>
      <c r="L120" s="358"/>
      <c r="M120" s="358"/>
      <c r="N120" s="358"/>
      <c r="O120" s="358"/>
      <c r="P120" s="358"/>
      <c r="Q120" s="358"/>
    </row>
    <row r="121">
      <c r="A121" s="358"/>
      <c r="B121" s="358"/>
      <c r="C121" s="358"/>
      <c r="D121" s="358"/>
      <c r="E121" s="358"/>
      <c r="F121" s="358"/>
      <c r="G121" s="358"/>
      <c r="H121" s="358"/>
      <c r="I121" s="358"/>
      <c r="J121" s="358"/>
      <c r="K121" s="358"/>
      <c r="L121" s="358"/>
      <c r="M121" s="358"/>
      <c r="N121" s="358"/>
      <c r="O121" s="358"/>
      <c r="P121" s="358"/>
      <c r="Q121" s="358"/>
    </row>
    <row r="122">
      <c r="A122" s="358"/>
      <c r="B122" s="358"/>
      <c r="C122" s="358"/>
      <c r="D122" s="358"/>
      <c r="E122" s="358"/>
      <c r="F122" s="358"/>
      <c r="G122" s="358"/>
      <c r="H122" s="358"/>
      <c r="I122" s="358"/>
      <c r="J122" s="358"/>
      <c r="K122" s="358"/>
      <c r="L122" s="358"/>
      <c r="M122" s="358"/>
      <c r="N122" s="358"/>
      <c r="O122" s="358"/>
      <c r="P122" s="358"/>
      <c r="Q122" s="358"/>
    </row>
    <row r="123">
      <c r="A123" s="358"/>
      <c r="B123" s="358"/>
      <c r="C123" s="358"/>
      <c r="D123" s="358"/>
      <c r="E123" s="358"/>
      <c r="F123" s="358"/>
      <c r="G123" s="358"/>
      <c r="H123" s="358"/>
      <c r="I123" s="358"/>
      <c r="J123" s="365"/>
      <c r="K123" s="358"/>
      <c r="L123" s="358"/>
      <c r="M123" s="358"/>
      <c r="N123" s="358"/>
      <c r="O123" s="358"/>
      <c r="P123" s="358"/>
      <c r="Q123" s="358"/>
    </row>
    <row r="124">
      <c r="A124" s="358"/>
      <c r="B124" s="358"/>
      <c r="C124" s="358"/>
      <c r="D124" s="358"/>
      <c r="E124" s="358"/>
      <c r="F124" s="358"/>
      <c r="G124" s="358"/>
      <c r="H124" s="358"/>
      <c r="I124" s="358"/>
      <c r="J124" s="365"/>
      <c r="K124" s="358"/>
      <c r="L124" s="358"/>
      <c r="M124" s="358"/>
      <c r="N124" s="358"/>
      <c r="O124" s="358"/>
      <c r="P124" s="358"/>
      <c r="Q124" s="358"/>
    </row>
    <row r="125">
      <c r="A125" s="358"/>
      <c r="B125" s="358"/>
      <c r="C125" s="358"/>
      <c r="D125" s="358"/>
      <c r="E125" s="358"/>
      <c r="F125" s="358"/>
      <c r="G125" s="358"/>
      <c r="H125" s="358"/>
      <c r="I125" s="358"/>
      <c r="J125" s="358"/>
      <c r="K125" s="358"/>
      <c r="L125" s="358"/>
      <c r="M125" s="358"/>
      <c r="N125" s="358"/>
      <c r="O125" s="358"/>
      <c r="P125" s="358"/>
      <c r="Q125" s="358"/>
    </row>
    <row r="126">
      <c r="A126" s="358"/>
      <c r="B126" s="358"/>
      <c r="C126" s="358"/>
      <c r="D126" s="358"/>
      <c r="E126" s="358"/>
      <c r="F126" s="358"/>
      <c r="G126" s="358"/>
      <c r="H126" s="358"/>
      <c r="I126" s="358"/>
      <c r="J126" s="358"/>
      <c r="K126" s="358"/>
      <c r="L126" s="358"/>
      <c r="M126" s="358"/>
      <c r="N126" s="358"/>
      <c r="O126" s="358"/>
      <c r="P126" s="358"/>
      <c r="Q126" s="358"/>
    </row>
    <row r="127">
      <c r="A127" s="358"/>
      <c r="B127" s="358"/>
      <c r="C127" s="358"/>
      <c r="D127" s="358"/>
      <c r="E127" s="358"/>
      <c r="F127" s="358"/>
      <c r="G127" s="358"/>
      <c r="H127" s="358"/>
      <c r="I127" s="358"/>
      <c r="J127" s="358"/>
      <c r="K127" s="358"/>
      <c r="L127" s="358"/>
      <c r="M127" s="358"/>
      <c r="N127" s="358"/>
      <c r="O127" s="358"/>
      <c r="P127" s="358"/>
      <c r="Q127" s="358"/>
    </row>
    <row r="128">
      <c r="A128" s="358"/>
      <c r="B128" s="358"/>
      <c r="C128" s="358"/>
      <c r="D128" s="358"/>
      <c r="E128" s="358"/>
      <c r="F128" s="358"/>
      <c r="G128" s="358"/>
      <c r="H128" s="358"/>
      <c r="I128" s="358"/>
      <c r="J128" s="358"/>
      <c r="K128" s="358"/>
      <c r="L128" s="358"/>
      <c r="M128" s="358"/>
      <c r="N128" s="358"/>
      <c r="O128" s="358"/>
      <c r="P128" s="358"/>
      <c r="Q128" s="358"/>
    </row>
    <row r="129">
      <c r="A129" s="358"/>
      <c r="B129" s="358"/>
      <c r="C129" s="358"/>
      <c r="D129" s="358"/>
      <c r="E129" s="358"/>
      <c r="F129" s="358"/>
      <c r="G129" s="358"/>
      <c r="H129" s="358"/>
      <c r="I129" s="358"/>
      <c r="J129" s="358"/>
      <c r="K129" s="358"/>
      <c r="L129" s="358"/>
      <c r="M129" s="358"/>
      <c r="N129" s="358"/>
      <c r="O129" s="358"/>
      <c r="P129" s="358"/>
      <c r="Q129" s="358"/>
    </row>
    <row r="130">
      <c r="A130" s="358"/>
      <c r="B130" s="358"/>
      <c r="C130" s="358"/>
      <c r="D130" s="358"/>
      <c r="E130" s="358"/>
      <c r="F130" s="358"/>
      <c r="G130" s="358"/>
      <c r="H130" s="358"/>
      <c r="I130" s="358"/>
      <c r="J130" s="358"/>
      <c r="K130" s="358"/>
      <c r="L130" s="358"/>
      <c r="M130" s="358"/>
      <c r="N130" s="358"/>
      <c r="O130" s="358"/>
      <c r="P130" s="358"/>
      <c r="Q130" s="358"/>
    </row>
    <row r="131">
      <c r="A131" s="358"/>
      <c r="B131" s="358"/>
      <c r="C131" s="358"/>
      <c r="D131" s="358"/>
      <c r="E131" s="358"/>
      <c r="F131" s="358"/>
      <c r="G131" s="358"/>
      <c r="H131" s="358"/>
      <c r="I131" s="358"/>
      <c r="J131" s="358"/>
      <c r="K131" s="358"/>
      <c r="L131" s="358"/>
      <c r="M131" s="358"/>
      <c r="N131" s="358"/>
      <c r="O131" s="358"/>
      <c r="P131" s="358"/>
      <c r="Q131" s="358"/>
    </row>
    <row r="132">
      <c r="A132" s="358"/>
      <c r="B132" s="358"/>
      <c r="C132" s="358"/>
      <c r="D132" s="358"/>
      <c r="E132" s="358"/>
      <c r="F132" s="358"/>
      <c r="G132" s="358"/>
      <c r="H132" s="358"/>
      <c r="I132" s="358"/>
      <c r="J132" s="358"/>
      <c r="K132" s="358"/>
      <c r="L132" s="358"/>
      <c r="M132" s="358"/>
      <c r="N132" s="358"/>
      <c r="O132" s="358"/>
      <c r="P132" s="358"/>
      <c r="Q132" s="358"/>
    </row>
    <row r="133">
      <c r="A133" s="358"/>
      <c r="B133" s="358"/>
      <c r="C133" s="358"/>
      <c r="D133" s="358"/>
      <c r="E133" s="358"/>
      <c r="F133" s="358"/>
      <c r="G133" s="358"/>
      <c r="H133" s="358"/>
      <c r="I133" s="358"/>
      <c r="J133" s="358"/>
      <c r="K133" s="358"/>
      <c r="L133" s="358"/>
      <c r="M133" s="358"/>
      <c r="N133" s="358"/>
      <c r="O133" s="358"/>
      <c r="P133" s="358"/>
      <c r="Q133" s="358"/>
    </row>
    <row r="134">
      <c r="A134" s="358"/>
      <c r="B134" s="358"/>
      <c r="C134" s="358"/>
      <c r="D134" s="358"/>
      <c r="E134" s="358"/>
      <c r="F134" s="358"/>
      <c r="G134" s="358"/>
      <c r="H134" s="358"/>
      <c r="I134" s="358"/>
      <c r="J134" s="358"/>
      <c r="K134" s="358"/>
      <c r="L134" s="358"/>
      <c r="M134" s="358"/>
      <c r="N134" s="358"/>
      <c r="O134" s="358"/>
      <c r="P134" s="358"/>
      <c r="Q134" s="358"/>
    </row>
    <row r="135">
      <c r="A135" s="358"/>
      <c r="B135" s="358"/>
      <c r="C135" s="358"/>
      <c r="D135" s="358"/>
      <c r="E135" s="358"/>
      <c r="F135" s="358"/>
      <c r="G135" s="358"/>
      <c r="H135" s="358"/>
      <c r="I135" s="358"/>
      <c r="J135" s="358"/>
      <c r="K135" s="358"/>
      <c r="L135" s="358"/>
      <c r="M135" s="358"/>
      <c r="N135" s="358"/>
      <c r="O135" s="358"/>
      <c r="P135" s="358"/>
      <c r="Q135" s="358"/>
    </row>
    <row r="136">
      <c r="A136" s="358"/>
      <c r="B136" s="358"/>
      <c r="C136" s="358"/>
      <c r="D136" s="358"/>
      <c r="E136" s="358"/>
      <c r="F136" s="358"/>
      <c r="G136" s="358"/>
      <c r="H136" s="358"/>
      <c r="I136" s="358"/>
      <c r="J136" s="358"/>
      <c r="K136" s="358"/>
      <c r="L136" s="358"/>
      <c r="M136" s="358"/>
      <c r="N136" s="358"/>
      <c r="O136" s="358"/>
      <c r="P136" s="358"/>
      <c r="Q136" s="358"/>
    </row>
    <row r="137">
      <c r="A137" s="358"/>
      <c r="B137" s="358"/>
      <c r="C137" s="358"/>
      <c r="D137" s="358"/>
      <c r="E137" s="358"/>
      <c r="F137" s="358"/>
      <c r="G137" s="358"/>
      <c r="H137" s="358"/>
      <c r="I137" s="358"/>
      <c r="J137" s="358"/>
      <c r="K137" s="358"/>
      <c r="L137" s="358"/>
      <c r="M137" s="358"/>
      <c r="N137" s="358"/>
      <c r="O137" s="358"/>
      <c r="P137" s="358"/>
      <c r="Q137" s="358"/>
    </row>
    <row r="138">
      <c r="A138" s="358"/>
      <c r="B138" s="358"/>
      <c r="C138" s="358"/>
      <c r="D138" s="358"/>
      <c r="E138" s="358"/>
      <c r="F138" s="358"/>
      <c r="G138" s="358"/>
      <c r="H138" s="358"/>
      <c r="I138" s="358"/>
      <c r="J138" s="358"/>
      <c r="K138" s="358"/>
      <c r="L138" s="358"/>
      <c r="M138" s="358"/>
      <c r="N138" s="358"/>
      <c r="O138" s="358"/>
      <c r="P138" s="358"/>
      <c r="Q138" s="358"/>
    </row>
    <row r="139">
      <c r="A139" s="358"/>
      <c r="B139" s="358"/>
      <c r="C139" s="358"/>
      <c r="D139" s="358"/>
      <c r="E139" s="358"/>
      <c r="F139" s="358"/>
      <c r="G139" s="358"/>
      <c r="H139" s="358"/>
      <c r="I139" s="358"/>
      <c r="J139" s="358"/>
      <c r="K139" s="358"/>
      <c r="L139" s="358"/>
      <c r="M139" s="358"/>
      <c r="N139" s="358"/>
      <c r="O139" s="358"/>
      <c r="P139" s="358"/>
      <c r="Q139" s="358"/>
    </row>
    <row r="140">
      <c r="A140" s="358"/>
      <c r="B140" s="358"/>
      <c r="C140" s="358"/>
      <c r="D140" s="358"/>
      <c r="E140" s="358"/>
      <c r="F140" s="358"/>
      <c r="G140" s="358"/>
      <c r="H140" s="358"/>
      <c r="I140" s="358"/>
      <c r="J140" s="358"/>
      <c r="K140" s="358"/>
      <c r="L140" s="358"/>
      <c r="M140" s="358"/>
      <c r="N140" s="358"/>
      <c r="O140" s="358"/>
      <c r="P140" s="358"/>
      <c r="Q140" s="358"/>
    </row>
    <row r="141">
      <c r="A141" s="358"/>
      <c r="B141" s="358"/>
      <c r="C141" s="358"/>
      <c r="D141" s="358"/>
      <c r="E141" s="358"/>
      <c r="F141" s="358"/>
      <c r="G141" s="358"/>
      <c r="H141" s="358"/>
      <c r="I141" s="358"/>
      <c r="J141" s="358"/>
      <c r="K141" s="358"/>
      <c r="L141" s="358"/>
      <c r="M141" s="358"/>
      <c r="N141" s="358"/>
      <c r="O141" s="358"/>
      <c r="P141" s="358"/>
      <c r="Q141" s="358"/>
    </row>
    <row r="142">
      <c r="A142" s="358"/>
      <c r="B142" s="358"/>
      <c r="C142" s="358"/>
      <c r="D142" s="358"/>
      <c r="E142" s="358"/>
      <c r="F142" s="358"/>
      <c r="G142" s="358"/>
      <c r="H142" s="358"/>
      <c r="I142" s="358"/>
      <c r="J142" s="358"/>
      <c r="K142" s="358"/>
      <c r="L142" s="358"/>
      <c r="M142" s="358"/>
      <c r="N142" s="358"/>
      <c r="O142" s="358"/>
      <c r="P142" s="358"/>
      <c r="Q142" s="358"/>
    </row>
    <row r="143">
      <c r="A143" s="358"/>
      <c r="B143" s="358"/>
      <c r="C143" s="358"/>
      <c r="D143" s="358"/>
      <c r="E143" s="358"/>
      <c r="F143" s="358"/>
      <c r="G143" s="358"/>
      <c r="H143" s="358"/>
      <c r="I143" s="358"/>
      <c r="J143" s="358"/>
      <c r="K143" s="358"/>
      <c r="L143" s="358"/>
      <c r="M143" s="358"/>
      <c r="N143" s="358"/>
      <c r="O143" s="358"/>
      <c r="P143" s="358"/>
      <c r="Q143" s="358"/>
    </row>
    <row r="144">
      <c r="A144" s="358"/>
      <c r="B144" s="358"/>
      <c r="C144" s="358"/>
      <c r="D144" s="358"/>
      <c r="E144" s="358"/>
      <c r="F144" s="358"/>
      <c r="G144" s="358"/>
      <c r="H144" s="358"/>
      <c r="I144" s="358"/>
      <c r="J144" s="358"/>
      <c r="K144" s="358"/>
      <c r="L144" s="358"/>
      <c r="M144" s="358"/>
      <c r="N144" s="358"/>
      <c r="O144" s="358"/>
      <c r="P144" s="358"/>
      <c r="Q144" s="358"/>
    </row>
    <row r="145">
      <c r="A145" s="358"/>
      <c r="B145" s="358"/>
      <c r="C145" s="358"/>
      <c r="D145" s="358"/>
      <c r="E145" s="358"/>
      <c r="F145" s="358"/>
      <c r="G145" s="358"/>
      <c r="H145" s="358"/>
      <c r="I145" s="358"/>
      <c r="J145" s="358"/>
      <c r="K145" s="358"/>
      <c r="L145" s="358"/>
      <c r="M145" s="358"/>
      <c r="N145" s="358"/>
      <c r="O145" s="358"/>
      <c r="P145" s="358"/>
      <c r="Q145" s="358"/>
    </row>
    <row r="146">
      <c r="A146" s="358"/>
      <c r="B146" s="358"/>
      <c r="C146" s="358"/>
      <c r="D146" s="358"/>
      <c r="E146" s="358"/>
      <c r="F146" s="358"/>
      <c r="G146" s="358"/>
      <c r="H146" s="358"/>
      <c r="I146" s="358"/>
      <c r="J146" s="358"/>
      <c r="K146" s="358"/>
      <c r="L146" s="358"/>
      <c r="M146" s="358"/>
      <c r="N146" s="358"/>
      <c r="O146" s="358"/>
      <c r="P146" s="358"/>
      <c r="Q146" s="358"/>
    </row>
    <row r="147">
      <c r="A147" s="358"/>
      <c r="B147" s="358"/>
      <c r="C147" s="358"/>
      <c r="D147" s="358"/>
      <c r="E147" s="358"/>
      <c r="F147" s="358"/>
      <c r="G147" s="358"/>
      <c r="H147" s="358"/>
      <c r="I147" s="358"/>
      <c r="J147" s="358"/>
      <c r="K147" s="358"/>
      <c r="L147" s="358"/>
      <c r="M147" s="358"/>
      <c r="N147" s="358"/>
      <c r="O147" s="358"/>
      <c r="P147" s="358"/>
      <c r="Q147" s="358"/>
    </row>
    <row r="148">
      <c r="A148" s="358"/>
      <c r="B148" s="358"/>
      <c r="C148" s="358"/>
      <c r="D148" s="358"/>
      <c r="E148" s="358"/>
      <c r="F148" s="358"/>
      <c r="G148" s="358"/>
      <c r="H148" s="358"/>
      <c r="I148" s="358"/>
      <c r="J148" s="358"/>
      <c r="K148" s="358"/>
      <c r="L148" s="358"/>
      <c r="M148" s="358"/>
      <c r="N148" s="358"/>
      <c r="O148" s="358"/>
      <c r="P148" s="358"/>
      <c r="Q148" s="358"/>
    </row>
    <row r="149">
      <c r="A149" s="358"/>
      <c r="B149" s="358"/>
      <c r="C149" s="358"/>
      <c r="D149" s="358"/>
      <c r="E149" s="358"/>
      <c r="F149" s="358"/>
      <c r="G149" s="358"/>
      <c r="H149" s="358"/>
      <c r="I149" s="358"/>
      <c r="J149" s="358"/>
      <c r="K149" s="358"/>
      <c r="L149" s="358"/>
      <c r="M149" s="358"/>
      <c r="N149" s="358"/>
      <c r="O149" s="358"/>
      <c r="P149" s="358"/>
      <c r="Q149" s="358"/>
    </row>
    <row r="150">
      <c r="A150" s="358"/>
      <c r="B150" s="358"/>
      <c r="C150" s="358"/>
      <c r="D150" s="358"/>
      <c r="E150" s="358"/>
      <c r="F150" s="358"/>
      <c r="G150" s="358"/>
      <c r="H150" s="358"/>
      <c r="I150" s="358"/>
      <c r="J150" s="358"/>
      <c r="K150" s="358"/>
      <c r="L150" s="358"/>
      <c r="M150" s="358"/>
      <c r="N150" s="358"/>
      <c r="O150" s="358"/>
      <c r="P150" s="358"/>
      <c r="Q150" s="358"/>
    </row>
    <row r="151">
      <c r="A151" s="358"/>
      <c r="B151" s="358"/>
      <c r="C151" s="358"/>
      <c r="D151" s="358"/>
      <c r="E151" s="358"/>
      <c r="F151" s="358"/>
      <c r="G151" s="358"/>
      <c r="H151" s="358"/>
      <c r="I151" s="358"/>
      <c r="J151" s="358"/>
      <c r="K151" s="358"/>
      <c r="L151" s="358"/>
      <c r="M151" s="358"/>
      <c r="N151" s="358"/>
      <c r="O151" s="358"/>
      <c r="P151" s="358"/>
      <c r="Q151" s="358"/>
    </row>
    <row r="152">
      <c r="A152" s="358"/>
      <c r="B152" s="358"/>
      <c r="C152" s="358"/>
      <c r="D152" s="358"/>
      <c r="E152" s="358"/>
      <c r="F152" s="358"/>
      <c r="G152" s="358"/>
      <c r="H152" s="358"/>
      <c r="I152" s="358"/>
      <c r="J152" s="358"/>
      <c r="K152" s="358"/>
      <c r="L152" s="358"/>
      <c r="M152" s="358"/>
      <c r="N152" s="358"/>
      <c r="O152" s="358"/>
      <c r="P152" s="358"/>
      <c r="Q152" s="358"/>
    </row>
    <row r="153">
      <c r="A153" s="358"/>
      <c r="B153" s="358"/>
      <c r="C153" s="358"/>
      <c r="D153" s="358"/>
      <c r="E153" s="358"/>
      <c r="F153" s="358"/>
      <c r="G153" s="358"/>
      <c r="H153" s="358"/>
      <c r="I153" s="358"/>
      <c r="J153" s="358"/>
      <c r="K153" s="358"/>
      <c r="L153" s="358"/>
      <c r="M153" s="358"/>
      <c r="N153" s="358"/>
      <c r="O153" s="358"/>
      <c r="P153" s="358"/>
      <c r="Q153" s="358"/>
    </row>
    <row r="154">
      <c r="A154" s="358"/>
      <c r="B154" s="358"/>
      <c r="C154" s="358"/>
      <c r="D154" s="358"/>
      <c r="E154" s="358"/>
      <c r="F154" s="358"/>
      <c r="G154" s="358"/>
      <c r="H154" s="358"/>
      <c r="I154" s="358"/>
      <c r="J154" s="358"/>
      <c r="K154" s="358"/>
      <c r="L154" s="358"/>
      <c r="M154" s="358"/>
      <c r="N154" s="358"/>
      <c r="O154" s="358"/>
      <c r="P154" s="358"/>
      <c r="Q154" s="358"/>
    </row>
    <row r="155">
      <c r="A155" s="358"/>
      <c r="B155" s="358"/>
      <c r="C155" s="358"/>
      <c r="D155" s="358"/>
      <c r="E155" s="358"/>
      <c r="F155" s="358"/>
      <c r="G155" s="358"/>
      <c r="H155" s="358"/>
      <c r="I155" s="358"/>
      <c r="J155" s="358"/>
      <c r="K155" s="358"/>
      <c r="L155" s="358"/>
      <c r="M155" s="358"/>
      <c r="N155" s="358"/>
      <c r="O155" s="358"/>
      <c r="P155" s="358"/>
      <c r="Q155" s="358"/>
    </row>
    <row r="156">
      <c r="A156" s="358"/>
      <c r="B156" s="358"/>
      <c r="C156" s="358"/>
      <c r="D156" s="358"/>
      <c r="E156" s="358"/>
      <c r="F156" s="358"/>
      <c r="G156" s="358"/>
      <c r="H156" s="358"/>
      <c r="I156" s="358"/>
      <c r="J156" s="358"/>
      <c r="K156" s="358"/>
      <c r="L156" s="358"/>
      <c r="M156" s="358"/>
      <c r="N156" s="358"/>
      <c r="O156" s="358"/>
      <c r="P156" s="358"/>
      <c r="Q156" s="358"/>
    </row>
    <row r="157">
      <c r="A157" s="358"/>
      <c r="B157" s="358"/>
      <c r="C157" s="358"/>
      <c r="D157" s="358"/>
      <c r="E157" s="358"/>
      <c r="F157" s="358"/>
      <c r="G157" s="358"/>
      <c r="H157" s="358"/>
      <c r="I157" s="358"/>
      <c r="J157" s="358"/>
      <c r="K157" s="358"/>
      <c r="L157" s="358"/>
      <c r="M157" s="358"/>
      <c r="N157" s="358"/>
      <c r="O157" s="358"/>
      <c r="P157" s="358"/>
      <c r="Q157" s="358"/>
    </row>
    <row r="158">
      <c r="A158" s="358"/>
      <c r="B158" s="358"/>
      <c r="C158" s="358"/>
      <c r="D158" s="358"/>
      <c r="E158" s="358"/>
      <c r="F158" s="358"/>
      <c r="G158" s="358"/>
      <c r="H158" s="358"/>
      <c r="I158" s="358"/>
      <c r="J158" s="358"/>
      <c r="K158" s="358"/>
      <c r="L158" s="358"/>
      <c r="M158" s="358"/>
      <c r="N158" s="358"/>
      <c r="O158" s="358"/>
      <c r="P158" s="358"/>
      <c r="Q158" s="358"/>
    </row>
    <row r="159">
      <c r="A159" s="358"/>
      <c r="B159" s="358"/>
      <c r="C159" s="358"/>
      <c r="D159" s="358"/>
      <c r="E159" s="358"/>
      <c r="F159" s="358"/>
      <c r="G159" s="358"/>
      <c r="H159" s="358"/>
      <c r="I159" s="358"/>
      <c r="J159" s="358"/>
      <c r="K159" s="358"/>
      <c r="L159" s="358"/>
      <c r="M159" s="358"/>
      <c r="N159" s="358"/>
      <c r="O159" s="358"/>
      <c r="P159" s="358"/>
      <c r="Q159" s="358"/>
    </row>
    <row r="160">
      <c r="A160" s="358"/>
      <c r="B160" s="358"/>
      <c r="C160" s="358"/>
      <c r="D160" s="358"/>
      <c r="E160" s="358"/>
      <c r="F160" s="358"/>
      <c r="G160" s="358"/>
      <c r="H160" s="358"/>
      <c r="I160" s="358"/>
      <c r="J160" s="358"/>
      <c r="K160" s="358"/>
      <c r="L160" s="358"/>
      <c r="M160" s="358"/>
      <c r="N160" s="358"/>
      <c r="O160" s="358"/>
      <c r="P160" s="358"/>
      <c r="Q160" s="358"/>
    </row>
    <row r="161">
      <c r="A161" s="358"/>
      <c r="B161" s="358"/>
      <c r="C161" s="358"/>
      <c r="D161" s="358"/>
      <c r="E161" s="358"/>
      <c r="F161" s="358"/>
      <c r="G161" s="358"/>
      <c r="H161" s="358"/>
      <c r="I161" s="358"/>
      <c r="J161" s="358"/>
      <c r="K161" s="358"/>
      <c r="L161" s="358"/>
      <c r="M161" s="358"/>
      <c r="N161" s="358"/>
      <c r="O161" s="358"/>
      <c r="P161" s="358"/>
      <c r="Q161" s="358"/>
    </row>
    <row r="162">
      <c r="A162" s="358"/>
      <c r="B162" s="358"/>
      <c r="C162" s="358"/>
      <c r="D162" s="358"/>
      <c r="E162" s="358"/>
      <c r="F162" s="358"/>
      <c r="G162" s="358"/>
      <c r="H162" s="358"/>
      <c r="I162" s="358"/>
      <c r="J162" s="358"/>
      <c r="K162" s="358"/>
      <c r="L162" s="358"/>
      <c r="M162" s="358"/>
      <c r="N162" s="358"/>
      <c r="O162" s="358"/>
      <c r="P162" s="358"/>
      <c r="Q162" s="358"/>
    </row>
    <row r="163">
      <c r="A163" s="358"/>
      <c r="B163" s="358"/>
      <c r="C163" s="358"/>
      <c r="D163" s="358"/>
      <c r="E163" s="358"/>
      <c r="F163" s="358"/>
      <c r="G163" s="358"/>
      <c r="H163" s="358"/>
      <c r="I163" s="358"/>
      <c r="J163" s="358"/>
      <c r="K163" s="358"/>
      <c r="L163" s="358"/>
      <c r="M163" s="358"/>
      <c r="N163" s="358"/>
      <c r="O163" s="358"/>
      <c r="P163" s="358"/>
      <c r="Q163" s="358"/>
    </row>
    <row r="164">
      <c r="A164" s="358"/>
      <c r="B164" s="358"/>
      <c r="C164" s="358"/>
      <c r="D164" s="358"/>
      <c r="E164" s="358"/>
      <c r="F164" s="358"/>
      <c r="G164" s="358"/>
      <c r="H164" s="358"/>
      <c r="I164" s="358"/>
      <c r="J164" s="358"/>
      <c r="K164" s="358"/>
      <c r="L164" s="358"/>
      <c r="M164" s="358"/>
      <c r="N164" s="358"/>
      <c r="O164" s="358"/>
      <c r="P164" s="358"/>
      <c r="Q164" s="358"/>
    </row>
    <row r="165">
      <c r="A165" s="358"/>
      <c r="B165" s="358"/>
      <c r="C165" s="358"/>
      <c r="D165" s="358"/>
      <c r="E165" s="358"/>
      <c r="F165" s="358"/>
      <c r="G165" s="358"/>
      <c r="H165" s="358"/>
      <c r="I165" s="358"/>
      <c r="J165" s="358"/>
      <c r="K165" s="358"/>
      <c r="L165" s="358"/>
      <c r="M165" s="358"/>
      <c r="N165" s="358"/>
      <c r="O165" s="358"/>
      <c r="P165" s="358"/>
      <c r="Q165" s="358"/>
    </row>
    <row r="166">
      <c r="A166" s="358"/>
      <c r="B166" s="358"/>
      <c r="C166" s="358"/>
      <c r="D166" s="358"/>
      <c r="E166" s="358"/>
      <c r="F166" s="358"/>
      <c r="G166" s="358"/>
      <c r="H166" s="358"/>
      <c r="I166" s="358"/>
      <c r="J166" s="358"/>
      <c r="K166" s="358"/>
      <c r="L166" s="358"/>
      <c r="M166" s="358"/>
      <c r="N166" s="358"/>
      <c r="O166" s="358"/>
      <c r="P166" s="358"/>
      <c r="Q166" s="358"/>
    </row>
    <row r="167">
      <c r="A167" s="358"/>
      <c r="B167" s="358"/>
      <c r="C167" s="358"/>
      <c r="D167" s="358"/>
      <c r="E167" s="358"/>
      <c r="F167" s="358"/>
      <c r="G167" s="358"/>
      <c r="H167" s="358"/>
      <c r="I167" s="358"/>
      <c r="J167" s="358"/>
      <c r="K167" s="358"/>
      <c r="L167" s="358"/>
      <c r="M167" s="358"/>
      <c r="N167" s="358"/>
      <c r="O167" s="358"/>
      <c r="P167" s="358"/>
      <c r="Q167" s="358"/>
    </row>
    <row r="168">
      <c r="A168" s="358"/>
      <c r="B168" s="358"/>
      <c r="C168" s="358"/>
      <c r="D168" s="358"/>
      <c r="E168" s="358"/>
      <c r="F168" s="358"/>
      <c r="G168" s="358"/>
      <c r="H168" s="358"/>
      <c r="I168" s="358"/>
      <c r="J168" s="358"/>
      <c r="K168" s="358"/>
      <c r="L168" s="358"/>
      <c r="M168" s="358"/>
      <c r="N168" s="358"/>
      <c r="O168" s="358"/>
      <c r="P168" s="358"/>
      <c r="Q168" s="358"/>
    </row>
    <row r="169">
      <c r="A169" s="358"/>
      <c r="B169" s="358"/>
      <c r="C169" s="358"/>
      <c r="D169" s="358"/>
      <c r="E169" s="358"/>
      <c r="F169" s="358"/>
      <c r="G169" s="358"/>
      <c r="H169" s="358"/>
      <c r="I169" s="358"/>
      <c r="J169" s="358"/>
      <c r="K169" s="358"/>
      <c r="L169" s="358"/>
      <c r="M169" s="358"/>
      <c r="N169" s="358"/>
      <c r="O169" s="358"/>
      <c r="P169" s="358"/>
      <c r="Q169" s="358"/>
    </row>
    <row r="170">
      <c r="A170" s="358"/>
      <c r="B170" s="358"/>
      <c r="C170" s="358"/>
      <c r="D170" s="358"/>
      <c r="E170" s="358"/>
      <c r="F170" s="358"/>
      <c r="G170" s="358"/>
      <c r="H170" s="358"/>
      <c r="I170" s="358"/>
      <c r="J170" s="358"/>
      <c r="K170" s="358"/>
      <c r="L170" s="358"/>
      <c r="M170" s="358"/>
      <c r="N170" s="358"/>
      <c r="O170" s="358"/>
      <c r="P170" s="358"/>
      <c r="Q170" s="358"/>
    </row>
    <row r="171">
      <c r="A171" s="358"/>
      <c r="B171" s="358"/>
      <c r="C171" s="358"/>
      <c r="D171" s="358"/>
      <c r="E171" s="358"/>
      <c r="F171" s="358"/>
      <c r="G171" s="358"/>
      <c r="H171" s="358"/>
      <c r="I171" s="358"/>
      <c r="J171" s="358"/>
      <c r="K171" s="358"/>
      <c r="L171" s="358"/>
      <c r="M171" s="358"/>
      <c r="N171" s="358"/>
      <c r="O171" s="358"/>
      <c r="P171" s="358"/>
      <c r="Q171" s="358"/>
    </row>
    <row r="172">
      <c r="A172" s="358"/>
      <c r="B172" s="358"/>
      <c r="C172" s="358"/>
      <c r="D172" s="358"/>
      <c r="E172" s="358"/>
      <c r="F172" s="358"/>
      <c r="G172" s="358"/>
      <c r="H172" s="358"/>
      <c r="I172" s="358"/>
      <c r="J172" s="358"/>
      <c r="K172" s="358"/>
      <c r="L172" s="358"/>
      <c r="M172" s="358"/>
      <c r="N172" s="358"/>
      <c r="O172" s="358"/>
      <c r="P172" s="358"/>
      <c r="Q172" s="358"/>
    </row>
    <row r="173">
      <c r="A173" s="358"/>
      <c r="B173" s="358"/>
      <c r="C173" s="358"/>
      <c r="D173" s="358"/>
      <c r="E173" s="358"/>
      <c r="F173" s="358"/>
      <c r="G173" s="358"/>
      <c r="H173" s="358"/>
      <c r="I173" s="358"/>
      <c r="J173" s="358"/>
      <c r="K173" s="358"/>
      <c r="L173" s="358"/>
      <c r="M173" s="358"/>
      <c r="N173" s="358"/>
      <c r="O173" s="358"/>
      <c r="P173" s="358"/>
      <c r="Q173" s="358"/>
    </row>
    <row r="174">
      <c r="A174" s="358"/>
      <c r="B174" s="358"/>
      <c r="C174" s="358"/>
      <c r="D174" s="358"/>
      <c r="E174" s="358"/>
      <c r="F174" s="358"/>
      <c r="G174" s="358"/>
      <c r="H174" s="358"/>
      <c r="I174" s="358"/>
      <c r="J174" s="358"/>
      <c r="K174" s="358"/>
      <c r="L174" s="358"/>
      <c r="M174" s="358"/>
      <c r="N174" s="358"/>
      <c r="O174" s="358"/>
      <c r="P174" s="358"/>
      <c r="Q174" s="358"/>
    </row>
    <row r="175">
      <c r="A175" s="358"/>
      <c r="B175" s="358"/>
      <c r="C175" s="358"/>
      <c r="D175" s="358"/>
      <c r="E175" s="358"/>
      <c r="F175" s="358"/>
      <c r="G175" s="358"/>
      <c r="H175" s="358"/>
      <c r="I175" s="358"/>
      <c r="J175" s="358"/>
      <c r="K175" s="358"/>
      <c r="L175" s="358"/>
      <c r="M175" s="358"/>
      <c r="N175" s="358"/>
      <c r="O175" s="358"/>
      <c r="P175" s="358"/>
      <c r="Q175" s="358"/>
    </row>
    <row r="176">
      <c r="A176" s="358"/>
      <c r="B176" s="358"/>
      <c r="C176" s="358"/>
      <c r="D176" s="358"/>
      <c r="E176" s="358"/>
      <c r="F176" s="358"/>
      <c r="G176" s="358"/>
      <c r="H176" s="358"/>
      <c r="I176" s="358"/>
      <c r="J176" s="358"/>
      <c r="K176" s="358"/>
      <c r="L176" s="358"/>
      <c r="M176" s="358"/>
      <c r="N176" s="358"/>
      <c r="O176" s="358"/>
      <c r="P176" s="358"/>
      <c r="Q176" s="358"/>
    </row>
    <row r="177">
      <c r="A177" s="358"/>
      <c r="B177" s="358"/>
      <c r="C177" s="358"/>
      <c r="D177" s="358"/>
      <c r="E177" s="358"/>
      <c r="F177" s="358"/>
      <c r="G177" s="358"/>
      <c r="H177" s="358"/>
      <c r="I177" s="358"/>
      <c r="J177" s="358"/>
      <c r="K177" s="358"/>
      <c r="L177" s="358"/>
      <c r="M177" s="358"/>
      <c r="N177" s="358"/>
      <c r="O177" s="358"/>
      <c r="P177" s="358"/>
      <c r="Q177" s="358"/>
    </row>
    <row r="178">
      <c r="A178" s="358"/>
      <c r="B178" s="358"/>
      <c r="C178" s="358"/>
      <c r="D178" s="358"/>
      <c r="E178" s="358"/>
      <c r="F178" s="358"/>
      <c r="G178" s="358"/>
      <c r="H178" s="358"/>
      <c r="I178" s="358"/>
      <c r="J178" s="358"/>
      <c r="K178" s="358"/>
      <c r="L178" s="358"/>
      <c r="M178" s="358"/>
      <c r="N178" s="358"/>
      <c r="O178" s="358"/>
      <c r="P178" s="358"/>
      <c r="Q178" s="358"/>
    </row>
    <row r="179">
      <c r="A179" s="358"/>
      <c r="B179" s="358"/>
      <c r="C179" s="358"/>
      <c r="D179" s="358"/>
      <c r="E179" s="358"/>
      <c r="F179" s="358"/>
      <c r="G179" s="358"/>
      <c r="H179" s="358"/>
      <c r="I179" s="358"/>
      <c r="J179" s="358"/>
      <c r="K179" s="358"/>
      <c r="L179" s="358"/>
      <c r="M179" s="358"/>
      <c r="N179" s="358"/>
      <c r="O179" s="358"/>
      <c r="P179" s="358"/>
      <c r="Q179" s="358"/>
    </row>
    <row r="180">
      <c r="A180" s="358"/>
      <c r="B180" s="358"/>
      <c r="C180" s="358"/>
      <c r="D180" s="358"/>
      <c r="E180" s="358"/>
      <c r="F180" s="358"/>
      <c r="G180" s="358"/>
      <c r="H180" s="358"/>
      <c r="I180" s="358"/>
      <c r="J180" s="358"/>
      <c r="K180" s="358"/>
      <c r="L180" s="358"/>
      <c r="M180" s="358"/>
      <c r="N180" s="358"/>
      <c r="O180" s="358"/>
      <c r="P180" s="358"/>
      <c r="Q180" s="358"/>
    </row>
    <row r="181">
      <c r="A181" s="358"/>
      <c r="B181" s="358"/>
      <c r="C181" s="358"/>
      <c r="D181" s="358"/>
      <c r="E181" s="358"/>
      <c r="F181" s="358"/>
      <c r="G181" s="358"/>
      <c r="H181" s="358"/>
      <c r="I181" s="358"/>
      <c r="J181" s="358"/>
      <c r="K181" s="358"/>
      <c r="L181" s="358"/>
      <c r="M181" s="358"/>
      <c r="N181" s="358"/>
      <c r="O181" s="358"/>
      <c r="P181" s="358"/>
      <c r="Q181" s="358"/>
    </row>
    <row r="182">
      <c r="A182" s="358"/>
      <c r="B182" s="358"/>
      <c r="C182" s="358"/>
      <c r="D182" s="358"/>
      <c r="E182" s="358"/>
      <c r="F182" s="358"/>
      <c r="G182" s="358"/>
      <c r="H182" s="358"/>
      <c r="I182" s="358"/>
      <c r="J182" s="358"/>
      <c r="K182" s="358"/>
      <c r="L182" s="358"/>
      <c r="M182" s="358"/>
      <c r="N182" s="358"/>
      <c r="O182" s="358"/>
      <c r="P182" s="358"/>
      <c r="Q182" s="358"/>
    </row>
    <row r="183">
      <c r="A183" s="358"/>
      <c r="B183" s="358"/>
      <c r="C183" s="358"/>
      <c r="D183" s="358"/>
      <c r="E183" s="358"/>
      <c r="F183" s="358"/>
      <c r="G183" s="358"/>
      <c r="H183" s="358"/>
      <c r="I183" s="358"/>
      <c r="J183" s="358"/>
      <c r="K183" s="358"/>
      <c r="L183" s="358"/>
      <c r="M183" s="358"/>
      <c r="N183" s="358"/>
      <c r="O183" s="358"/>
      <c r="P183" s="358"/>
      <c r="Q183" s="358"/>
    </row>
    <row r="184">
      <c r="A184" s="358"/>
      <c r="B184" s="358"/>
      <c r="C184" s="358"/>
      <c r="D184" s="358"/>
      <c r="E184" s="358"/>
      <c r="F184" s="358"/>
      <c r="G184" s="358"/>
      <c r="H184" s="358"/>
      <c r="I184" s="358"/>
      <c r="J184" s="358"/>
      <c r="K184" s="358"/>
      <c r="L184" s="358"/>
      <c r="M184" s="358"/>
      <c r="N184" s="358"/>
      <c r="O184" s="358"/>
      <c r="P184" s="358"/>
      <c r="Q184" s="358"/>
    </row>
    <row r="185">
      <c r="A185" s="358"/>
      <c r="B185" s="358"/>
      <c r="C185" s="358"/>
      <c r="D185" s="358"/>
      <c r="E185" s="358"/>
      <c r="F185" s="358"/>
      <c r="G185" s="358"/>
      <c r="H185" s="358"/>
      <c r="I185" s="358"/>
      <c r="J185" s="358"/>
      <c r="K185" s="358"/>
      <c r="L185" s="358"/>
      <c r="M185" s="358"/>
      <c r="N185" s="358"/>
      <c r="O185" s="358"/>
      <c r="P185" s="358"/>
      <c r="Q185" s="358"/>
    </row>
    <row r="186">
      <c r="A186" s="358"/>
      <c r="B186" s="358"/>
      <c r="C186" s="358"/>
      <c r="D186" s="358"/>
      <c r="E186" s="358"/>
      <c r="F186" s="358"/>
      <c r="G186" s="358"/>
      <c r="H186" s="358"/>
      <c r="I186" s="358"/>
      <c r="J186" s="358"/>
      <c r="K186" s="358"/>
      <c r="L186" s="358"/>
      <c r="M186" s="358"/>
      <c r="N186" s="358"/>
      <c r="O186" s="358"/>
      <c r="P186" s="358"/>
      <c r="Q186" s="358"/>
    </row>
    <row r="187">
      <c r="A187" s="358"/>
      <c r="B187" s="358"/>
      <c r="C187" s="358"/>
      <c r="D187" s="358"/>
      <c r="E187" s="358"/>
      <c r="F187" s="358"/>
      <c r="G187" s="358"/>
      <c r="H187" s="358"/>
      <c r="I187" s="358"/>
      <c r="J187" s="358"/>
      <c r="K187" s="358"/>
      <c r="L187" s="358"/>
      <c r="M187" s="358"/>
      <c r="N187" s="358"/>
      <c r="O187" s="358"/>
      <c r="P187" s="358"/>
      <c r="Q187" s="358"/>
    </row>
    <row r="188">
      <c r="A188" s="358"/>
      <c r="B188" s="358"/>
      <c r="C188" s="358"/>
      <c r="D188" s="358"/>
      <c r="E188" s="358"/>
      <c r="F188" s="358"/>
      <c r="G188" s="358"/>
      <c r="H188" s="358"/>
      <c r="I188" s="358"/>
      <c r="J188" s="358"/>
      <c r="K188" s="358"/>
      <c r="L188" s="358"/>
      <c r="M188" s="358"/>
      <c r="N188" s="358"/>
      <c r="O188" s="358"/>
      <c r="P188" s="358"/>
      <c r="Q188" s="358"/>
    </row>
    <row r="189">
      <c r="A189" s="358"/>
      <c r="B189" s="358"/>
      <c r="C189" s="358"/>
      <c r="D189" s="358"/>
      <c r="E189" s="358"/>
      <c r="F189" s="358"/>
      <c r="G189" s="358"/>
      <c r="H189" s="358"/>
      <c r="I189" s="358"/>
      <c r="J189" s="358"/>
      <c r="K189" s="358"/>
      <c r="L189" s="358"/>
      <c r="M189" s="358"/>
      <c r="N189" s="358"/>
      <c r="O189" s="358"/>
      <c r="P189" s="358"/>
      <c r="Q189" s="358"/>
    </row>
    <row r="190">
      <c r="A190" s="358"/>
      <c r="B190" s="358"/>
      <c r="C190" s="358"/>
      <c r="D190" s="358"/>
      <c r="E190" s="358"/>
      <c r="F190" s="358"/>
      <c r="G190" s="358"/>
      <c r="H190" s="358"/>
      <c r="I190" s="358"/>
      <c r="J190" s="358"/>
      <c r="K190" s="358"/>
      <c r="L190" s="358"/>
      <c r="M190" s="358"/>
      <c r="N190" s="358"/>
      <c r="O190" s="358"/>
      <c r="P190" s="358"/>
      <c r="Q190" s="358"/>
    </row>
    <row r="191">
      <c r="A191" s="358"/>
      <c r="B191" s="358"/>
      <c r="C191" s="358"/>
      <c r="D191" s="358"/>
      <c r="E191" s="358"/>
      <c r="F191" s="358"/>
      <c r="G191" s="358"/>
      <c r="H191" s="358"/>
      <c r="I191" s="358"/>
      <c r="J191" s="358"/>
      <c r="K191" s="358"/>
      <c r="L191" s="358"/>
      <c r="M191" s="358"/>
      <c r="N191" s="358"/>
      <c r="O191" s="358"/>
      <c r="P191" s="358"/>
      <c r="Q191" s="358"/>
    </row>
    <row r="192">
      <c r="A192" s="358"/>
      <c r="B192" s="358"/>
      <c r="C192" s="358"/>
      <c r="D192" s="358"/>
      <c r="E192" s="358"/>
      <c r="F192" s="358"/>
      <c r="G192" s="358"/>
      <c r="H192" s="358"/>
      <c r="I192" s="358"/>
      <c r="J192" s="358"/>
      <c r="K192" s="358"/>
      <c r="L192" s="358"/>
      <c r="M192" s="358"/>
      <c r="N192" s="358"/>
      <c r="O192" s="358"/>
      <c r="P192" s="358"/>
      <c r="Q192" s="358"/>
    </row>
    <row r="193">
      <c r="A193" s="358"/>
      <c r="B193" s="358"/>
      <c r="C193" s="358"/>
      <c r="D193" s="358"/>
      <c r="E193" s="358"/>
      <c r="F193" s="358"/>
      <c r="G193" s="358"/>
      <c r="H193" s="358"/>
      <c r="I193" s="358"/>
      <c r="J193" s="358"/>
      <c r="K193" s="358"/>
      <c r="L193" s="358"/>
      <c r="M193" s="358"/>
      <c r="N193" s="358"/>
      <c r="O193" s="358"/>
      <c r="P193" s="358"/>
      <c r="Q193" s="358"/>
    </row>
    <row r="194">
      <c r="A194" s="358"/>
      <c r="B194" s="358"/>
      <c r="C194" s="358"/>
      <c r="D194" s="358"/>
      <c r="E194" s="358"/>
      <c r="F194" s="358"/>
      <c r="G194" s="358"/>
      <c r="H194" s="358"/>
      <c r="I194" s="358"/>
      <c r="J194" s="358"/>
      <c r="K194" s="358"/>
      <c r="L194" s="358"/>
      <c r="M194" s="358"/>
      <c r="N194" s="358"/>
      <c r="O194" s="358"/>
      <c r="P194" s="358"/>
      <c r="Q194" s="358"/>
    </row>
    <row r="195">
      <c r="A195" s="358"/>
      <c r="B195" s="358"/>
      <c r="C195" s="358"/>
      <c r="D195" s="358"/>
      <c r="E195" s="358"/>
      <c r="F195" s="358"/>
      <c r="G195" s="358"/>
      <c r="H195" s="358"/>
      <c r="I195" s="358"/>
      <c r="J195" s="358"/>
      <c r="K195" s="358"/>
      <c r="L195" s="358"/>
      <c r="M195" s="358"/>
      <c r="N195" s="358"/>
      <c r="O195" s="358"/>
      <c r="P195" s="358"/>
      <c r="Q195" s="358"/>
    </row>
    <row r="196">
      <c r="A196" s="358"/>
      <c r="B196" s="358"/>
      <c r="C196" s="358"/>
      <c r="D196" s="358"/>
      <c r="E196" s="358"/>
      <c r="F196" s="358"/>
      <c r="G196" s="358"/>
      <c r="H196" s="358"/>
      <c r="I196" s="358"/>
      <c r="J196" s="358"/>
      <c r="K196" s="358"/>
      <c r="L196" s="358"/>
      <c r="M196" s="358"/>
      <c r="N196" s="358"/>
      <c r="O196" s="358"/>
      <c r="P196" s="358"/>
      <c r="Q196" s="358"/>
    </row>
    <row r="197">
      <c r="A197" s="358"/>
      <c r="B197" s="358"/>
      <c r="C197" s="358"/>
      <c r="D197" s="358"/>
      <c r="E197" s="358"/>
      <c r="F197" s="358"/>
      <c r="G197" s="358"/>
      <c r="H197" s="358"/>
      <c r="I197" s="358"/>
      <c r="J197" s="358"/>
      <c r="K197" s="358"/>
      <c r="L197" s="358"/>
      <c r="M197" s="358"/>
      <c r="N197" s="358"/>
      <c r="O197" s="358"/>
      <c r="P197" s="358"/>
      <c r="Q197" s="358"/>
    </row>
    <row r="198">
      <c r="A198" s="358"/>
      <c r="B198" s="358"/>
      <c r="C198" s="358"/>
      <c r="D198" s="358"/>
      <c r="E198" s="358"/>
      <c r="F198" s="358"/>
      <c r="G198" s="358"/>
      <c r="H198" s="358"/>
      <c r="I198" s="358"/>
      <c r="J198" s="358"/>
      <c r="K198" s="358"/>
      <c r="L198" s="358"/>
      <c r="M198" s="358"/>
      <c r="N198" s="358"/>
      <c r="O198" s="358"/>
      <c r="P198" s="358"/>
      <c r="Q198" s="358"/>
    </row>
    <row r="199">
      <c r="A199" s="358"/>
      <c r="B199" s="358"/>
      <c r="C199" s="358"/>
      <c r="D199" s="358"/>
      <c r="E199" s="358"/>
      <c r="F199" s="358"/>
      <c r="G199" s="358"/>
      <c r="H199" s="358"/>
      <c r="I199" s="358"/>
      <c r="J199" s="358"/>
      <c r="K199" s="358"/>
      <c r="L199" s="358"/>
      <c r="M199" s="358"/>
      <c r="N199" s="358"/>
      <c r="O199" s="358"/>
      <c r="P199" s="358"/>
      <c r="Q199" s="358"/>
    </row>
    <row r="200">
      <c r="A200" s="358"/>
      <c r="B200" s="358"/>
      <c r="C200" s="358"/>
      <c r="D200" s="358"/>
      <c r="E200" s="358"/>
      <c r="F200" s="358"/>
      <c r="G200" s="358"/>
      <c r="H200" s="358"/>
      <c r="I200" s="358"/>
      <c r="J200" s="358"/>
      <c r="K200" s="358"/>
      <c r="L200" s="358"/>
      <c r="M200" s="358"/>
      <c r="N200" s="358"/>
      <c r="O200" s="358"/>
      <c r="P200" s="358"/>
      <c r="Q200" s="358"/>
    </row>
    <row r="201">
      <c r="A201" s="358"/>
      <c r="B201" s="358"/>
      <c r="C201" s="358"/>
      <c r="D201" s="358"/>
      <c r="E201" s="358"/>
      <c r="F201" s="358"/>
      <c r="G201" s="358"/>
      <c r="H201" s="358"/>
      <c r="I201" s="358"/>
      <c r="J201" s="358"/>
      <c r="K201" s="358"/>
      <c r="L201" s="358"/>
      <c r="M201" s="358"/>
      <c r="N201" s="358"/>
      <c r="O201" s="358"/>
      <c r="P201" s="358"/>
      <c r="Q201" s="358"/>
    </row>
    <row r="202">
      <c r="A202" s="358"/>
      <c r="B202" s="358"/>
      <c r="C202" s="358"/>
      <c r="D202" s="358"/>
      <c r="E202" s="358"/>
      <c r="F202" s="358"/>
      <c r="G202" s="358"/>
      <c r="H202" s="358"/>
      <c r="I202" s="358"/>
      <c r="J202" s="358"/>
      <c r="K202" s="358"/>
      <c r="L202" s="358"/>
      <c r="M202" s="358"/>
      <c r="N202" s="358"/>
      <c r="O202" s="358"/>
      <c r="P202" s="358"/>
      <c r="Q202" s="358"/>
    </row>
    <row r="203">
      <c r="A203" s="358"/>
      <c r="B203" s="358"/>
      <c r="C203" s="358"/>
      <c r="D203" s="358"/>
      <c r="E203" s="358"/>
      <c r="F203" s="358"/>
      <c r="G203" s="358"/>
      <c r="H203" s="358"/>
      <c r="I203" s="358"/>
      <c r="J203" s="358"/>
      <c r="K203" s="358"/>
      <c r="L203" s="358"/>
      <c r="M203" s="358"/>
      <c r="N203" s="358"/>
      <c r="O203" s="358"/>
      <c r="P203" s="358"/>
      <c r="Q203" s="358"/>
    </row>
    <row r="204">
      <c r="A204" s="358"/>
      <c r="B204" s="358"/>
      <c r="C204" s="358"/>
      <c r="D204" s="358"/>
      <c r="E204" s="358"/>
      <c r="F204" s="358"/>
      <c r="G204" s="358"/>
      <c r="H204" s="358"/>
      <c r="I204" s="358"/>
      <c r="J204" s="358"/>
      <c r="K204" s="358"/>
      <c r="L204" s="358"/>
      <c r="M204" s="358"/>
      <c r="N204" s="358"/>
      <c r="O204" s="358"/>
      <c r="P204" s="358"/>
      <c r="Q204" s="358"/>
    </row>
    <row r="205">
      <c r="A205" s="358"/>
      <c r="B205" s="358"/>
      <c r="C205" s="358"/>
      <c r="D205" s="358"/>
      <c r="E205" s="358"/>
      <c r="F205" s="358"/>
      <c r="G205" s="358"/>
      <c r="H205" s="358"/>
      <c r="I205" s="358"/>
      <c r="J205" s="358"/>
      <c r="K205" s="358"/>
      <c r="L205" s="358"/>
      <c r="M205" s="358"/>
      <c r="N205" s="358"/>
      <c r="O205" s="358"/>
      <c r="P205" s="358"/>
      <c r="Q205" s="358"/>
    </row>
    <row r="206">
      <c r="A206" s="358"/>
      <c r="B206" s="358"/>
      <c r="C206" s="358"/>
      <c r="D206" s="358"/>
      <c r="E206" s="358"/>
      <c r="F206" s="358"/>
      <c r="G206" s="358"/>
      <c r="H206" s="358"/>
      <c r="I206" s="358"/>
      <c r="J206" s="358"/>
      <c r="K206" s="358"/>
      <c r="L206" s="358"/>
      <c r="M206" s="358"/>
      <c r="N206" s="358"/>
      <c r="O206" s="358"/>
      <c r="P206" s="358"/>
      <c r="Q206" s="358"/>
    </row>
    <row r="207">
      <c r="A207" s="358"/>
      <c r="B207" s="358"/>
      <c r="C207" s="358"/>
      <c r="D207" s="358"/>
      <c r="E207" s="358"/>
      <c r="F207" s="358"/>
      <c r="G207" s="358"/>
      <c r="H207" s="358"/>
      <c r="I207" s="358"/>
      <c r="J207" s="358"/>
      <c r="K207" s="358"/>
      <c r="L207" s="358"/>
      <c r="M207" s="358"/>
      <c r="N207" s="358"/>
      <c r="O207" s="358"/>
      <c r="P207" s="358"/>
      <c r="Q207" s="358"/>
    </row>
    <row r="208">
      <c r="A208" s="358"/>
      <c r="B208" s="358"/>
      <c r="C208" s="358"/>
      <c r="D208" s="358"/>
      <c r="E208" s="358"/>
      <c r="F208" s="358"/>
      <c r="G208" s="358"/>
      <c r="H208" s="358"/>
      <c r="I208" s="358"/>
      <c r="J208" s="358"/>
      <c r="K208" s="358"/>
      <c r="L208" s="358"/>
      <c r="M208" s="358"/>
      <c r="N208" s="358"/>
      <c r="O208" s="358"/>
      <c r="P208" s="358"/>
      <c r="Q208" s="358"/>
    </row>
    <row r="209">
      <c r="A209" s="358"/>
      <c r="B209" s="358"/>
      <c r="C209" s="358"/>
      <c r="D209" s="358"/>
      <c r="E209" s="358"/>
      <c r="F209" s="358"/>
      <c r="G209" s="358"/>
      <c r="H209" s="358"/>
      <c r="I209" s="358"/>
      <c r="J209" s="358"/>
      <c r="K209" s="358"/>
      <c r="L209" s="358"/>
      <c r="M209" s="358"/>
      <c r="N209" s="358"/>
      <c r="O209" s="358"/>
      <c r="P209" s="358"/>
      <c r="Q209" s="358"/>
    </row>
    <row r="210">
      <c r="A210" s="358"/>
      <c r="B210" s="358"/>
      <c r="C210" s="358"/>
      <c r="D210" s="358"/>
      <c r="E210" s="358"/>
      <c r="F210" s="358"/>
      <c r="G210" s="358"/>
      <c r="H210" s="358"/>
      <c r="I210" s="358"/>
      <c r="J210" s="358"/>
      <c r="K210" s="358"/>
      <c r="L210" s="358"/>
      <c r="M210" s="358"/>
      <c r="N210" s="358"/>
      <c r="O210" s="358"/>
      <c r="P210" s="358"/>
      <c r="Q210" s="358"/>
    </row>
    <row r="211">
      <c r="A211" s="358"/>
      <c r="B211" s="358"/>
      <c r="C211" s="358"/>
      <c r="D211" s="358"/>
      <c r="E211" s="358"/>
      <c r="F211" s="358"/>
      <c r="G211" s="358"/>
      <c r="H211" s="358"/>
      <c r="I211" s="358"/>
      <c r="J211" s="358"/>
      <c r="K211" s="358"/>
      <c r="L211" s="358"/>
      <c r="M211" s="358"/>
      <c r="N211" s="358"/>
      <c r="O211" s="358"/>
      <c r="P211" s="358"/>
      <c r="Q211" s="358"/>
    </row>
    <row r="212">
      <c r="A212" s="358"/>
      <c r="B212" s="358"/>
      <c r="C212" s="358"/>
      <c r="D212" s="358"/>
      <c r="E212" s="358"/>
      <c r="F212" s="358"/>
      <c r="G212" s="358"/>
      <c r="H212" s="358"/>
      <c r="I212" s="358"/>
      <c r="J212" s="358"/>
      <c r="K212" s="358"/>
      <c r="L212" s="358"/>
      <c r="M212" s="358"/>
      <c r="N212" s="358"/>
      <c r="O212" s="358"/>
      <c r="P212" s="358"/>
      <c r="Q212" s="358"/>
    </row>
    <row r="213">
      <c r="A213" s="358"/>
      <c r="B213" s="358"/>
      <c r="C213" s="358"/>
      <c r="D213" s="358"/>
      <c r="E213" s="358"/>
      <c r="F213" s="358"/>
      <c r="G213" s="358"/>
      <c r="H213" s="358"/>
      <c r="I213" s="358"/>
      <c r="J213" s="358"/>
      <c r="K213" s="358"/>
      <c r="L213" s="358"/>
      <c r="M213" s="358"/>
      <c r="N213" s="358"/>
      <c r="O213" s="358"/>
      <c r="P213" s="358"/>
      <c r="Q213" s="358"/>
    </row>
    <row r="214">
      <c r="A214" s="358"/>
      <c r="B214" s="358"/>
      <c r="C214" s="358"/>
      <c r="D214" s="358"/>
      <c r="E214" s="358"/>
      <c r="F214" s="358"/>
      <c r="G214" s="358"/>
      <c r="H214" s="358"/>
      <c r="I214" s="358"/>
      <c r="J214" s="358"/>
      <c r="K214" s="358"/>
      <c r="L214" s="358"/>
      <c r="M214" s="358"/>
      <c r="N214" s="358"/>
      <c r="O214" s="358"/>
      <c r="P214" s="358"/>
      <c r="Q214" s="358"/>
    </row>
    <row r="215">
      <c r="A215" s="358"/>
      <c r="B215" s="358"/>
      <c r="C215" s="358"/>
      <c r="D215" s="358"/>
      <c r="E215" s="358"/>
      <c r="F215" s="358"/>
      <c r="G215" s="358"/>
      <c r="H215" s="358"/>
      <c r="I215" s="358"/>
      <c r="J215" s="358"/>
      <c r="K215" s="358"/>
      <c r="L215" s="358"/>
      <c r="M215" s="358"/>
      <c r="N215" s="358"/>
      <c r="O215" s="358"/>
      <c r="P215" s="358"/>
      <c r="Q215" s="358"/>
    </row>
    <row r="216">
      <c r="A216" s="358"/>
      <c r="B216" s="358"/>
      <c r="C216" s="358"/>
      <c r="D216" s="358"/>
      <c r="E216" s="358"/>
      <c r="F216" s="358"/>
      <c r="G216" s="358"/>
      <c r="H216" s="358"/>
      <c r="I216" s="358"/>
      <c r="J216" s="358"/>
      <c r="K216" s="358"/>
      <c r="L216" s="358"/>
      <c r="M216" s="358"/>
      <c r="N216" s="358"/>
      <c r="O216" s="358"/>
      <c r="P216" s="358"/>
      <c r="Q216" s="358"/>
    </row>
    <row r="217">
      <c r="A217" s="358"/>
      <c r="B217" s="358"/>
      <c r="C217" s="358"/>
      <c r="D217" s="358"/>
      <c r="E217" s="358"/>
      <c r="F217" s="358"/>
      <c r="G217" s="358"/>
      <c r="H217" s="358"/>
      <c r="I217" s="358"/>
      <c r="J217" s="358"/>
      <c r="K217" s="358"/>
      <c r="L217" s="358"/>
      <c r="M217" s="358"/>
      <c r="N217" s="358"/>
      <c r="O217" s="358"/>
      <c r="P217" s="358"/>
      <c r="Q217" s="358"/>
    </row>
    <row r="218">
      <c r="A218" s="358"/>
      <c r="B218" s="358"/>
      <c r="C218" s="358"/>
      <c r="D218" s="358"/>
      <c r="E218" s="358"/>
      <c r="F218" s="358"/>
      <c r="G218" s="358"/>
      <c r="H218" s="358"/>
      <c r="I218" s="358"/>
      <c r="J218" s="358"/>
      <c r="K218" s="358"/>
      <c r="L218" s="358"/>
      <c r="M218" s="358"/>
      <c r="N218" s="358"/>
      <c r="O218" s="358"/>
      <c r="P218" s="358"/>
      <c r="Q218" s="358"/>
    </row>
    <row r="219">
      <c r="A219" s="358"/>
      <c r="B219" s="358"/>
      <c r="C219" s="358"/>
      <c r="D219" s="358"/>
      <c r="E219" s="358"/>
      <c r="F219" s="358"/>
      <c r="G219" s="358"/>
      <c r="H219" s="358"/>
      <c r="I219" s="358"/>
      <c r="J219" s="358"/>
      <c r="K219" s="358"/>
      <c r="L219" s="358"/>
      <c r="M219" s="358"/>
      <c r="N219" s="358"/>
      <c r="O219" s="358"/>
      <c r="P219" s="358"/>
      <c r="Q219" s="358"/>
    </row>
    <row r="220">
      <c r="A220" s="358"/>
      <c r="B220" s="358"/>
      <c r="C220" s="358"/>
      <c r="D220" s="358"/>
      <c r="E220" s="358"/>
      <c r="F220" s="358"/>
      <c r="G220" s="358"/>
      <c r="H220" s="358"/>
      <c r="I220" s="358"/>
      <c r="J220" s="358"/>
      <c r="K220" s="358"/>
      <c r="L220" s="358"/>
      <c r="M220" s="358"/>
      <c r="N220" s="358"/>
      <c r="O220" s="358"/>
      <c r="P220" s="358"/>
      <c r="Q220" s="358"/>
    </row>
    <row r="221">
      <c r="A221" s="358"/>
      <c r="B221" s="358"/>
      <c r="C221" s="358"/>
      <c r="D221" s="358"/>
      <c r="E221" s="358"/>
      <c r="F221" s="358"/>
      <c r="G221" s="358"/>
      <c r="H221" s="358"/>
      <c r="I221" s="358"/>
      <c r="J221" s="358"/>
      <c r="K221" s="358"/>
      <c r="L221" s="358"/>
      <c r="M221" s="358"/>
      <c r="N221" s="358"/>
      <c r="O221" s="358"/>
      <c r="P221" s="358"/>
      <c r="Q221" s="358"/>
    </row>
    <row r="222">
      <c r="A222" s="358"/>
      <c r="B222" s="358"/>
      <c r="C222" s="358"/>
      <c r="D222" s="358"/>
      <c r="E222" s="358"/>
      <c r="F222" s="358"/>
      <c r="G222" s="358"/>
      <c r="H222" s="358"/>
      <c r="I222" s="358"/>
      <c r="J222" s="358"/>
      <c r="K222" s="358"/>
      <c r="L222" s="358"/>
      <c r="M222" s="358"/>
      <c r="N222" s="358"/>
      <c r="O222" s="358"/>
      <c r="P222" s="358"/>
      <c r="Q222" s="358"/>
    </row>
    <row r="223">
      <c r="A223" s="358"/>
      <c r="B223" s="358"/>
      <c r="C223" s="358"/>
      <c r="D223" s="358"/>
      <c r="E223" s="358"/>
      <c r="F223" s="358"/>
      <c r="G223" s="358"/>
      <c r="H223" s="358"/>
      <c r="I223" s="358"/>
      <c r="J223" s="358"/>
      <c r="K223" s="358"/>
      <c r="L223" s="358"/>
      <c r="M223" s="358"/>
      <c r="N223" s="358"/>
      <c r="O223" s="358"/>
      <c r="P223" s="358"/>
      <c r="Q223" s="358"/>
    </row>
    <row r="224">
      <c r="A224" s="358"/>
      <c r="B224" s="358"/>
      <c r="C224" s="358"/>
      <c r="D224" s="358"/>
      <c r="E224" s="358"/>
      <c r="F224" s="358"/>
      <c r="G224" s="358"/>
      <c r="H224" s="358"/>
      <c r="I224" s="358"/>
      <c r="J224" s="358"/>
      <c r="K224" s="358"/>
      <c r="L224" s="358"/>
      <c r="M224" s="358"/>
      <c r="N224" s="358"/>
      <c r="O224" s="358"/>
      <c r="P224" s="358"/>
      <c r="Q224" s="358"/>
    </row>
    <row r="225">
      <c r="A225" s="358"/>
      <c r="B225" s="358"/>
      <c r="C225" s="358"/>
      <c r="D225" s="358"/>
      <c r="E225" s="358"/>
      <c r="F225" s="358"/>
      <c r="G225" s="358"/>
      <c r="H225" s="358"/>
      <c r="I225" s="358"/>
      <c r="J225" s="358"/>
      <c r="K225" s="358"/>
      <c r="L225" s="358"/>
      <c r="M225" s="358"/>
      <c r="N225" s="358"/>
      <c r="O225" s="358"/>
      <c r="P225" s="358"/>
      <c r="Q225" s="358"/>
    </row>
    <row r="226">
      <c r="A226" s="358"/>
      <c r="B226" s="358"/>
      <c r="C226" s="358"/>
      <c r="D226" s="358"/>
      <c r="E226" s="358"/>
      <c r="F226" s="358"/>
      <c r="G226" s="358"/>
      <c r="H226" s="358"/>
      <c r="I226" s="358"/>
      <c r="J226" s="358"/>
      <c r="K226" s="358"/>
      <c r="L226" s="358"/>
      <c r="M226" s="358"/>
      <c r="N226" s="358"/>
      <c r="O226" s="358"/>
      <c r="P226" s="358"/>
      <c r="Q226" s="358"/>
    </row>
    <row r="227">
      <c r="A227" s="358"/>
      <c r="B227" s="358"/>
      <c r="C227" s="358"/>
      <c r="D227" s="358"/>
      <c r="E227" s="358"/>
      <c r="F227" s="358"/>
      <c r="G227" s="358"/>
      <c r="H227" s="358"/>
      <c r="I227" s="358"/>
      <c r="J227" s="358"/>
      <c r="K227" s="358"/>
      <c r="L227" s="358"/>
      <c r="M227" s="358"/>
      <c r="N227" s="358"/>
      <c r="O227" s="358"/>
      <c r="P227" s="358"/>
      <c r="Q227" s="358"/>
    </row>
    <row r="228">
      <c r="A228" s="358"/>
      <c r="B228" s="358"/>
      <c r="C228" s="358"/>
      <c r="D228" s="358"/>
      <c r="E228" s="358"/>
      <c r="F228" s="358"/>
      <c r="G228" s="358"/>
      <c r="H228" s="358"/>
      <c r="I228" s="358"/>
      <c r="J228" s="358"/>
      <c r="K228" s="358"/>
      <c r="L228" s="358"/>
      <c r="M228" s="358"/>
      <c r="N228" s="358"/>
      <c r="O228" s="358"/>
      <c r="P228" s="358"/>
      <c r="Q228" s="358"/>
    </row>
    <row r="229">
      <c r="A229" s="358"/>
      <c r="B229" s="358"/>
      <c r="C229" s="358"/>
      <c r="D229" s="358"/>
      <c r="E229" s="358"/>
      <c r="F229" s="358"/>
      <c r="G229" s="358"/>
      <c r="H229" s="358"/>
      <c r="I229" s="358"/>
      <c r="J229" s="358"/>
      <c r="K229" s="358"/>
      <c r="L229" s="358"/>
      <c r="M229" s="358"/>
      <c r="N229" s="358"/>
      <c r="O229" s="358"/>
      <c r="P229" s="358"/>
      <c r="Q229" s="358"/>
    </row>
    <row r="230">
      <c r="A230" s="358"/>
      <c r="B230" s="358"/>
      <c r="C230" s="358"/>
      <c r="D230" s="358"/>
      <c r="E230" s="358"/>
      <c r="F230" s="358"/>
      <c r="G230" s="358"/>
      <c r="H230" s="358"/>
      <c r="I230" s="358"/>
      <c r="J230" s="358"/>
      <c r="K230" s="358"/>
      <c r="L230" s="358"/>
      <c r="M230" s="358"/>
      <c r="N230" s="358"/>
      <c r="O230" s="358"/>
      <c r="P230" s="358"/>
      <c r="Q230" s="358"/>
    </row>
    <row r="231">
      <c r="A231" s="358"/>
      <c r="B231" s="358"/>
      <c r="C231" s="358"/>
      <c r="D231" s="358"/>
      <c r="E231" s="358"/>
      <c r="F231" s="358"/>
      <c r="G231" s="358"/>
      <c r="H231" s="358"/>
      <c r="I231" s="358"/>
      <c r="J231" s="358"/>
      <c r="K231" s="358"/>
      <c r="L231" s="358"/>
      <c r="M231" s="358"/>
      <c r="N231" s="358"/>
      <c r="O231" s="358"/>
      <c r="P231" s="358"/>
      <c r="Q231" s="358"/>
    </row>
    <row r="232">
      <c r="A232" s="358"/>
      <c r="B232" s="358"/>
      <c r="C232" s="358"/>
      <c r="D232" s="358"/>
      <c r="E232" s="358"/>
      <c r="F232" s="358"/>
      <c r="G232" s="358"/>
      <c r="H232" s="358"/>
      <c r="I232" s="358"/>
      <c r="J232" s="358"/>
      <c r="K232" s="358"/>
      <c r="L232" s="358"/>
      <c r="M232" s="358"/>
      <c r="N232" s="358"/>
      <c r="O232" s="358"/>
      <c r="P232" s="358"/>
      <c r="Q232" s="358"/>
    </row>
    <row r="233">
      <c r="A233" s="358"/>
      <c r="B233" s="358"/>
      <c r="C233" s="358"/>
      <c r="D233" s="358"/>
      <c r="E233" s="358"/>
      <c r="F233" s="358"/>
      <c r="G233" s="358"/>
      <c r="H233" s="358"/>
      <c r="I233" s="358"/>
      <c r="J233" s="358"/>
      <c r="K233" s="358"/>
      <c r="L233" s="358"/>
      <c r="M233" s="358"/>
      <c r="N233" s="358"/>
      <c r="O233" s="358"/>
      <c r="P233" s="358"/>
      <c r="Q233" s="358"/>
    </row>
    <row r="234">
      <c r="A234" s="358"/>
      <c r="B234" s="358"/>
      <c r="C234" s="358"/>
      <c r="D234" s="358"/>
      <c r="E234" s="358"/>
      <c r="F234" s="358"/>
      <c r="G234" s="358"/>
      <c r="H234" s="358"/>
      <c r="I234" s="358"/>
      <c r="J234" s="358"/>
      <c r="K234" s="358"/>
      <c r="L234" s="358"/>
      <c r="M234" s="358"/>
      <c r="N234" s="358"/>
      <c r="O234" s="358"/>
      <c r="P234" s="358"/>
      <c r="Q234" s="358"/>
    </row>
    <row r="235">
      <c r="A235" s="358"/>
      <c r="B235" s="358"/>
      <c r="C235" s="358"/>
      <c r="D235" s="358"/>
      <c r="E235" s="358"/>
      <c r="F235" s="358"/>
      <c r="G235" s="358"/>
      <c r="H235" s="358"/>
      <c r="I235" s="358"/>
      <c r="J235" s="358"/>
      <c r="K235" s="358"/>
      <c r="L235" s="358"/>
      <c r="M235" s="358"/>
      <c r="N235" s="358"/>
      <c r="O235" s="358"/>
      <c r="P235" s="358"/>
      <c r="Q235" s="358"/>
    </row>
    <row r="236">
      <c r="A236" s="358"/>
      <c r="B236" s="358"/>
      <c r="C236" s="358"/>
      <c r="D236" s="358"/>
      <c r="E236" s="358"/>
      <c r="F236" s="358"/>
      <c r="G236" s="358"/>
      <c r="H236" s="358"/>
      <c r="I236" s="358"/>
      <c r="J236" s="358"/>
      <c r="K236" s="358"/>
      <c r="L236" s="358"/>
      <c r="M236" s="358"/>
      <c r="N236" s="358"/>
      <c r="O236" s="358"/>
      <c r="P236" s="358"/>
      <c r="Q236" s="358"/>
    </row>
    <row r="237">
      <c r="A237" s="358"/>
      <c r="B237" s="358"/>
      <c r="C237" s="358"/>
      <c r="D237" s="358"/>
      <c r="E237" s="358"/>
      <c r="F237" s="358"/>
      <c r="G237" s="358"/>
      <c r="H237" s="358"/>
      <c r="I237" s="358"/>
      <c r="J237" s="358"/>
      <c r="K237" s="358"/>
      <c r="L237" s="358"/>
      <c r="M237" s="358"/>
      <c r="N237" s="358"/>
      <c r="O237" s="358"/>
      <c r="P237" s="358"/>
      <c r="Q237" s="358"/>
    </row>
    <row r="238">
      <c r="A238" s="358"/>
      <c r="B238" s="358"/>
      <c r="C238" s="358"/>
      <c r="D238" s="358"/>
      <c r="E238" s="358"/>
      <c r="F238" s="358"/>
      <c r="G238" s="358"/>
      <c r="H238" s="358"/>
      <c r="I238" s="358"/>
      <c r="J238" s="358"/>
      <c r="K238" s="358"/>
      <c r="L238" s="358"/>
      <c r="M238" s="358"/>
      <c r="N238" s="358"/>
      <c r="O238" s="358"/>
      <c r="P238" s="358"/>
      <c r="Q238" s="358"/>
    </row>
    <row r="239">
      <c r="A239" s="358"/>
      <c r="B239" s="358"/>
      <c r="C239" s="358"/>
      <c r="D239" s="358"/>
      <c r="E239" s="358"/>
      <c r="F239" s="358"/>
      <c r="G239" s="358"/>
      <c r="H239" s="358"/>
      <c r="I239" s="358"/>
      <c r="J239" s="358"/>
      <c r="K239" s="358"/>
      <c r="L239" s="358"/>
      <c r="M239" s="358"/>
      <c r="N239" s="358"/>
      <c r="O239" s="358"/>
      <c r="P239" s="358"/>
      <c r="Q239" s="358"/>
    </row>
    <row r="240">
      <c r="A240" s="358"/>
      <c r="B240" s="358"/>
      <c r="C240" s="358"/>
      <c r="D240" s="358"/>
      <c r="E240" s="358"/>
      <c r="F240" s="358"/>
      <c r="G240" s="358"/>
      <c r="H240" s="358"/>
      <c r="I240" s="358"/>
      <c r="J240" s="358"/>
      <c r="K240" s="358"/>
      <c r="L240" s="358"/>
      <c r="M240" s="358"/>
      <c r="N240" s="358"/>
      <c r="O240" s="358"/>
      <c r="P240" s="358"/>
      <c r="Q240" s="358"/>
    </row>
    <row r="241">
      <c r="A241" s="358"/>
      <c r="B241" s="358"/>
      <c r="C241" s="358"/>
      <c r="D241" s="358"/>
      <c r="E241" s="358"/>
      <c r="F241" s="358"/>
      <c r="G241" s="358"/>
      <c r="H241" s="358"/>
      <c r="I241" s="358"/>
      <c r="J241" s="358"/>
      <c r="K241" s="358"/>
      <c r="L241" s="358"/>
      <c r="M241" s="358"/>
      <c r="N241" s="358"/>
      <c r="O241" s="358"/>
      <c r="P241" s="358"/>
      <c r="Q241" s="358"/>
    </row>
    <row r="242">
      <c r="A242" s="358"/>
      <c r="B242" s="358"/>
      <c r="C242" s="358"/>
      <c r="D242" s="358"/>
      <c r="E242" s="358"/>
      <c r="F242" s="358"/>
      <c r="G242" s="358"/>
      <c r="H242" s="358"/>
      <c r="I242" s="358"/>
      <c r="J242" s="358"/>
      <c r="K242" s="358"/>
      <c r="L242" s="358"/>
      <c r="M242" s="358"/>
      <c r="N242" s="358"/>
      <c r="O242" s="358"/>
      <c r="P242" s="358"/>
      <c r="Q242" s="358"/>
    </row>
    <row r="243">
      <c r="A243" s="358"/>
      <c r="B243" s="358"/>
      <c r="C243" s="358"/>
      <c r="D243" s="358"/>
      <c r="E243" s="358"/>
      <c r="F243" s="358"/>
      <c r="G243" s="358"/>
      <c r="H243" s="358"/>
      <c r="I243" s="358"/>
      <c r="J243" s="358"/>
      <c r="K243" s="358"/>
      <c r="L243" s="358"/>
      <c r="M243" s="358"/>
      <c r="N243" s="358"/>
      <c r="O243" s="358"/>
      <c r="P243" s="358"/>
      <c r="Q243" s="358"/>
    </row>
    <row r="244">
      <c r="A244" s="358"/>
      <c r="B244" s="358"/>
      <c r="C244" s="358"/>
      <c r="D244" s="358"/>
      <c r="E244" s="358"/>
      <c r="F244" s="358"/>
      <c r="G244" s="358"/>
      <c r="H244" s="358"/>
      <c r="I244" s="358"/>
      <c r="J244" s="358"/>
      <c r="K244" s="358"/>
      <c r="L244" s="358"/>
      <c r="M244" s="358"/>
      <c r="N244" s="358"/>
      <c r="O244" s="358"/>
      <c r="P244" s="358"/>
      <c r="Q244" s="358"/>
    </row>
    <row r="245">
      <c r="A245" s="358"/>
      <c r="B245" s="358"/>
      <c r="C245" s="358"/>
      <c r="D245" s="358"/>
      <c r="E245" s="358"/>
      <c r="F245" s="358"/>
      <c r="G245" s="358"/>
      <c r="H245" s="358"/>
      <c r="I245" s="358"/>
      <c r="J245" s="358"/>
      <c r="K245" s="358"/>
      <c r="L245" s="358"/>
      <c r="M245" s="358"/>
      <c r="N245" s="358"/>
      <c r="O245" s="358"/>
      <c r="P245" s="358"/>
      <c r="Q245" s="358"/>
    </row>
    <row r="246">
      <c r="A246" s="358"/>
      <c r="B246" s="358"/>
      <c r="C246" s="358"/>
      <c r="D246" s="358"/>
      <c r="E246" s="358"/>
      <c r="F246" s="358"/>
      <c r="G246" s="358"/>
      <c r="H246" s="358"/>
      <c r="I246" s="358"/>
      <c r="J246" s="358"/>
      <c r="K246" s="358"/>
      <c r="L246" s="358"/>
      <c r="M246" s="358"/>
      <c r="N246" s="358"/>
      <c r="O246" s="358"/>
      <c r="P246" s="358"/>
      <c r="Q246" s="358"/>
    </row>
    <row r="247">
      <c r="A247" s="358"/>
      <c r="B247" s="358"/>
      <c r="C247" s="358"/>
      <c r="D247" s="358"/>
      <c r="E247" s="358"/>
      <c r="F247" s="358"/>
      <c r="G247" s="358"/>
      <c r="H247" s="358"/>
      <c r="I247" s="358"/>
      <c r="J247" s="358"/>
      <c r="K247" s="358"/>
      <c r="L247" s="358"/>
      <c r="M247" s="358"/>
      <c r="N247" s="358"/>
      <c r="O247" s="358"/>
      <c r="P247" s="358"/>
      <c r="Q247" s="358"/>
    </row>
    <row r="248">
      <c r="A248" s="358"/>
      <c r="B248" s="358"/>
      <c r="C248" s="358"/>
      <c r="D248" s="358"/>
      <c r="E248" s="358"/>
      <c r="F248" s="358"/>
      <c r="G248" s="358"/>
      <c r="H248" s="358"/>
      <c r="I248" s="358"/>
      <c r="J248" s="358"/>
      <c r="K248" s="358"/>
      <c r="L248" s="358"/>
      <c r="M248" s="358"/>
      <c r="N248" s="358"/>
      <c r="O248" s="358"/>
      <c r="P248" s="358"/>
      <c r="Q248" s="358"/>
    </row>
    <row r="249">
      <c r="A249" s="358"/>
      <c r="B249" s="358"/>
      <c r="C249" s="358"/>
      <c r="D249" s="358"/>
      <c r="E249" s="358"/>
      <c r="F249" s="358"/>
      <c r="G249" s="358"/>
      <c r="H249" s="358"/>
      <c r="I249" s="358"/>
      <c r="J249" s="358"/>
      <c r="K249" s="358"/>
      <c r="L249" s="358"/>
      <c r="M249" s="358"/>
      <c r="N249" s="358"/>
      <c r="O249" s="358"/>
      <c r="P249" s="358"/>
      <c r="Q249" s="358"/>
    </row>
    <row r="250">
      <c r="A250" s="358"/>
      <c r="B250" s="358"/>
      <c r="C250" s="358"/>
      <c r="D250" s="358"/>
      <c r="E250" s="358"/>
      <c r="F250" s="358"/>
      <c r="G250" s="358"/>
      <c r="H250" s="358"/>
      <c r="I250" s="358"/>
      <c r="J250" s="358"/>
      <c r="K250" s="358"/>
      <c r="L250" s="358"/>
      <c r="M250" s="358"/>
      <c r="N250" s="358"/>
      <c r="O250" s="358"/>
      <c r="P250" s="358"/>
      <c r="Q250" s="358"/>
    </row>
    <row r="251">
      <c r="A251" s="358"/>
      <c r="B251" s="358"/>
      <c r="C251" s="358"/>
      <c r="D251" s="358"/>
      <c r="E251" s="358"/>
      <c r="F251" s="358"/>
      <c r="G251" s="358"/>
      <c r="H251" s="358"/>
      <c r="I251" s="358"/>
      <c r="J251" s="358"/>
      <c r="K251" s="358"/>
      <c r="L251" s="358"/>
      <c r="M251" s="358"/>
      <c r="N251" s="358"/>
      <c r="O251" s="358"/>
      <c r="P251" s="358"/>
      <c r="Q251" s="358"/>
    </row>
    <row r="252">
      <c r="A252" s="358"/>
      <c r="B252" s="358"/>
      <c r="C252" s="358"/>
      <c r="D252" s="358"/>
      <c r="E252" s="358"/>
      <c r="F252" s="358"/>
      <c r="G252" s="358"/>
      <c r="H252" s="358"/>
      <c r="I252" s="358"/>
      <c r="J252" s="358"/>
      <c r="K252" s="358"/>
      <c r="L252" s="358"/>
      <c r="M252" s="358"/>
      <c r="N252" s="358"/>
      <c r="O252" s="358"/>
      <c r="P252" s="358"/>
      <c r="Q252" s="358"/>
    </row>
    <row r="253">
      <c r="A253" s="358"/>
      <c r="B253" s="358"/>
      <c r="C253" s="358"/>
      <c r="D253" s="358"/>
      <c r="E253" s="358"/>
      <c r="F253" s="358"/>
      <c r="G253" s="358"/>
      <c r="H253" s="358"/>
      <c r="I253" s="358"/>
      <c r="J253" s="358"/>
      <c r="K253" s="358"/>
      <c r="L253" s="358"/>
      <c r="M253" s="358"/>
      <c r="N253" s="358"/>
      <c r="O253" s="358"/>
      <c r="P253" s="358"/>
      <c r="Q253" s="358"/>
    </row>
    <row r="254">
      <c r="A254" s="358"/>
      <c r="B254" s="358"/>
      <c r="C254" s="358"/>
      <c r="D254" s="358"/>
      <c r="E254" s="358"/>
      <c r="F254" s="358"/>
      <c r="G254" s="358"/>
      <c r="H254" s="358"/>
      <c r="I254" s="358"/>
      <c r="J254" s="358"/>
      <c r="K254" s="358"/>
      <c r="L254" s="358"/>
      <c r="M254" s="358"/>
      <c r="N254" s="358"/>
      <c r="O254" s="358"/>
      <c r="P254" s="358"/>
      <c r="Q254" s="358"/>
    </row>
    <row r="255">
      <c r="A255" s="358"/>
      <c r="B255" s="358"/>
      <c r="C255" s="358"/>
      <c r="D255" s="358"/>
      <c r="E255" s="358"/>
      <c r="F255" s="358"/>
      <c r="G255" s="358"/>
      <c r="H255" s="358"/>
      <c r="I255" s="358"/>
      <c r="J255" s="358"/>
      <c r="K255" s="358"/>
      <c r="L255" s="358"/>
      <c r="M255" s="358"/>
      <c r="N255" s="358"/>
      <c r="O255" s="358"/>
      <c r="P255" s="358"/>
      <c r="Q255" s="358"/>
    </row>
    <row r="256">
      <c r="A256" s="358"/>
      <c r="B256" s="358"/>
      <c r="C256" s="358"/>
      <c r="D256" s="358"/>
      <c r="E256" s="358"/>
      <c r="F256" s="358"/>
      <c r="G256" s="358"/>
      <c r="H256" s="358"/>
      <c r="I256" s="358"/>
      <c r="J256" s="358"/>
      <c r="K256" s="358"/>
      <c r="L256" s="358"/>
      <c r="M256" s="358"/>
      <c r="N256" s="358"/>
      <c r="O256" s="358"/>
      <c r="P256" s="358"/>
      <c r="Q256" s="358"/>
    </row>
    <row r="257">
      <c r="A257" s="358"/>
      <c r="B257" s="358"/>
      <c r="C257" s="358"/>
      <c r="D257" s="358"/>
      <c r="E257" s="358"/>
      <c r="F257" s="358"/>
      <c r="G257" s="358"/>
      <c r="H257" s="358"/>
      <c r="I257" s="358"/>
      <c r="J257" s="358"/>
      <c r="K257" s="358"/>
      <c r="L257" s="358"/>
      <c r="M257" s="358"/>
      <c r="N257" s="358"/>
      <c r="O257" s="358"/>
      <c r="P257" s="358"/>
      <c r="Q257" s="358"/>
    </row>
    <row r="258">
      <c r="A258" s="358"/>
      <c r="B258" s="358"/>
      <c r="C258" s="358"/>
      <c r="D258" s="358"/>
      <c r="E258" s="358"/>
      <c r="F258" s="358"/>
      <c r="G258" s="358"/>
      <c r="H258" s="358"/>
      <c r="I258" s="358"/>
      <c r="J258" s="358"/>
      <c r="K258" s="358"/>
      <c r="L258" s="358"/>
      <c r="M258" s="358"/>
      <c r="N258" s="358"/>
      <c r="O258" s="358"/>
      <c r="P258" s="358"/>
      <c r="Q258" s="358"/>
    </row>
    <row r="259">
      <c r="A259" s="358"/>
      <c r="B259" s="358"/>
      <c r="C259" s="358"/>
      <c r="D259" s="358"/>
      <c r="E259" s="358"/>
      <c r="F259" s="358"/>
      <c r="G259" s="358"/>
      <c r="H259" s="358"/>
      <c r="I259" s="358"/>
      <c r="J259" s="358"/>
      <c r="K259" s="358"/>
      <c r="L259" s="358"/>
      <c r="M259" s="358"/>
      <c r="N259" s="358"/>
      <c r="O259" s="358"/>
      <c r="P259" s="358"/>
      <c r="Q259" s="358"/>
    </row>
    <row r="260">
      <c r="A260" s="358"/>
      <c r="B260" s="358"/>
      <c r="C260" s="358"/>
      <c r="D260" s="358"/>
      <c r="E260" s="358"/>
      <c r="F260" s="358"/>
      <c r="G260" s="358"/>
      <c r="H260" s="358"/>
      <c r="I260" s="358"/>
      <c r="J260" s="358"/>
      <c r="K260" s="358"/>
      <c r="L260" s="358"/>
      <c r="M260" s="358"/>
      <c r="N260" s="358"/>
      <c r="O260" s="358"/>
      <c r="P260" s="358"/>
      <c r="Q260" s="358"/>
    </row>
    <row r="261">
      <c r="A261" s="358"/>
      <c r="B261" s="358"/>
      <c r="C261" s="358"/>
      <c r="D261" s="358"/>
      <c r="E261" s="358"/>
      <c r="F261" s="358"/>
      <c r="G261" s="358"/>
      <c r="H261" s="358"/>
      <c r="I261" s="358"/>
      <c r="J261" s="358"/>
      <c r="K261" s="358"/>
      <c r="L261" s="358"/>
      <c r="M261" s="358"/>
      <c r="N261" s="358"/>
      <c r="O261" s="358"/>
      <c r="P261" s="358"/>
      <c r="Q261" s="358"/>
    </row>
    <row r="262">
      <c r="A262" s="358"/>
      <c r="B262" s="358"/>
      <c r="C262" s="358"/>
      <c r="D262" s="358"/>
      <c r="E262" s="358"/>
      <c r="F262" s="358"/>
      <c r="G262" s="358"/>
      <c r="H262" s="358"/>
      <c r="I262" s="358"/>
      <c r="J262" s="358"/>
      <c r="K262" s="358"/>
      <c r="L262" s="358"/>
      <c r="M262" s="358"/>
      <c r="N262" s="358"/>
      <c r="O262" s="358"/>
      <c r="P262" s="358"/>
      <c r="Q262" s="358"/>
    </row>
    <row r="263">
      <c r="A263" s="358"/>
      <c r="B263" s="358"/>
      <c r="C263" s="358"/>
      <c r="D263" s="358"/>
      <c r="E263" s="358"/>
      <c r="F263" s="358"/>
      <c r="G263" s="358"/>
      <c r="H263" s="358"/>
      <c r="I263" s="358"/>
      <c r="J263" s="358"/>
      <c r="K263" s="358"/>
      <c r="L263" s="358"/>
      <c r="M263" s="358"/>
      <c r="N263" s="358"/>
      <c r="O263" s="358"/>
      <c r="P263" s="358"/>
      <c r="Q263" s="358"/>
    </row>
    <row r="264">
      <c r="A264" s="358"/>
      <c r="B264" s="358"/>
      <c r="C264" s="358"/>
      <c r="D264" s="358"/>
      <c r="E264" s="358"/>
      <c r="F264" s="358"/>
      <c r="G264" s="358"/>
      <c r="H264" s="358"/>
      <c r="I264" s="358"/>
      <c r="J264" s="358"/>
      <c r="K264" s="358"/>
      <c r="L264" s="358"/>
      <c r="M264" s="358"/>
      <c r="N264" s="358"/>
      <c r="O264" s="358"/>
      <c r="P264" s="358"/>
      <c r="Q264" s="358"/>
    </row>
    <row r="265">
      <c r="A265" s="358"/>
      <c r="B265" s="358"/>
      <c r="C265" s="358"/>
      <c r="D265" s="358"/>
      <c r="E265" s="358"/>
      <c r="F265" s="358"/>
      <c r="G265" s="358"/>
      <c r="H265" s="358"/>
      <c r="I265" s="358"/>
      <c r="J265" s="358"/>
      <c r="K265" s="358"/>
      <c r="L265" s="358"/>
      <c r="M265" s="358"/>
      <c r="N265" s="358"/>
      <c r="O265" s="358"/>
      <c r="P265" s="358"/>
      <c r="Q265" s="358"/>
    </row>
    <row r="266">
      <c r="A266" s="358"/>
      <c r="B266" s="358"/>
      <c r="C266" s="358"/>
      <c r="D266" s="358"/>
      <c r="E266" s="358"/>
      <c r="F266" s="358"/>
      <c r="G266" s="358"/>
      <c r="H266" s="358"/>
      <c r="I266" s="358"/>
      <c r="J266" s="358"/>
      <c r="K266" s="358"/>
      <c r="L266" s="358"/>
      <c r="M266" s="358"/>
      <c r="N266" s="358"/>
      <c r="O266" s="358"/>
      <c r="P266" s="358"/>
      <c r="Q266" s="358"/>
    </row>
    <row r="267">
      <c r="A267" s="358"/>
      <c r="B267" s="358"/>
      <c r="C267" s="358"/>
      <c r="D267" s="358"/>
      <c r="E267" s="358"/>
      <c r="F267" s="358"/>
      <c r="G267" s="358"/>
      <c r="H267" s="358"/>
      <c r="I267" s="358"/>
      <c r="J267" s="358"/>
      <c r="K267" s="358"/>
      <c r="L267" s="358"/>
      <c r="M267" s="358"/>
      <c r="N267" s="358"/>
      <c r="O267" s="358"/>
      <c r="P267" s="358"/>
      <c r="Q267" s="358"/>
    </row>
    <row r="268">
      <c r="A268" s="358"/>
      <c r="B268" s="358"/>
      <c r="C268" s="358"/>
      <c r="D268" s="358"/>
      <c r="E268" s="358"/>
      <c r="F268" s="358"/>
      <c r="G268" s="358"/>
      <c r="H268" s="358"/>
      <c r="I268" s="358"/>
      <c r="J268" s="358"/>
      <c r="K268" s="358"/>
      <c r="L268" s="358"/>
      <c r="M268" s="358"/>
      <c r="N268" s="358"/>
      <c r="O268" s="358"/>
      <c r="P268" s="358"/>
      <c r="Q268" s="358"/>
    </row>
    <row r="269">
      <c r="A269" s="358"/>
      <c r="B269" s="358"/>
      <c r="C269" s="358"/>
      <c r="D269" s="358"/>
      <c r="E269" s="358"/>
      <c r="F269" s="358"/>
      <c r="G269" s="358"/>
      <c r="H269" s="358"/>
      <c r="I269" s="358"/>
      <c r="J269" s="358"/>
      <c r="K269" s="358"/>
      <c r="L269" s="358"/>
      <c r="M269" s="358"/>
      <c r="N269" s="358"/>
      <c r="O269" s="358"/>
      <c r="P269" s="358"/>
      <c r="Q269" s="358"/>
    </row>
    <row r="270">
      <c r="A270" s="358"/>
      <c r="B270" s="358"/>
      <c r="C270" s="358"/>
      <c r="D270" s="358"/>
      <c r="E270" s="358"/>
      <c r="F270" s="358"/>
      <c r="G270" s="358"/>
      <c r="H270" s="358"/>
      <c r="I270" s="358"/>
      <c r="J270" s="358"/>
      <c r="K270" s="358"/>
      <c r="L270" s="358"/>
      <c r="M270" s="358"/>
      <c r="N270" s="358"/>
      <c r="O270" s="358"/>
      <c r="P270" s="358"/>
      <c r="Q270" s="358"/>
    </row>
    <row r="271">
      <c r="A271" s="358"/>
      <c r="B271" s="358"/>
      <c r="C271" s="358"/>
      <c r="D271" s="358"/>
      <c r="E271" s="358"/>
      <c r="F271" s="358"/>
      <c r="G271" s="358"/>
      <c r="H271" s="358"/>
      <c r="I271" s="358"/>
      <c r="J271" s="358"/>
      <c r="K271" s="358"/>
      <c r="L271" s="358"/>
      <c r="M271" s="358"/>
      <c r="N271" s="358"/>
      <c r="O271" s="358"/>
      <c r="P271" s="358"/>
      <c r="Q271" s="358"/>
    </row>
    <row r="272">
      <c r="A272" s="358"/>
      <c r="B272" s="358"/>
      <c r="C272" s="358"/>
      <c r="D272" s="358"/>
      <c r="E272" s="358"/>
      <c r="F272" s="358"/>
      <c r="G272" s="358"/>
      <c r="H272" s="358"/>
      <c r="I272" s="358"/>
      <c r="J272" s="358"/>
      <c r="K272" s="358"/>
      <c r="L272" s="358"/>
      <c r="M272" s="358"/>
      <c r="N272" s="358"/>
      <c r="O272" s="358"/>
      <c r="P272" s="358"/>
      <c r="Q272" s="358"/>
    </row>
    <row r="273">
      <c r="A273" s="358"/>
      <c r="B273" s="358"/>
      <c r="C273" s="358"/>
      <c r="D273" s="358"/>
      <c r="E273" s="358"/>
      <c r="F273" s="358"/>
      <c r="G273" s="358"/>
      <c r="H273" s="358"/>
      <c r="I273" s="358"/>
      <c r="J273" s="358"/>
      <c r="K273" s="358"/>
      <c r="L273" s="358"/>
      <c r="M273" s="358"/>
      <c r="N273" s="358"/>
      <c r="O273" s="358"/>
      <c r="P273" s="358"/>
      <c r="Q273" s="358"/>
    </row>
    <row r="274">
      <c r="A274" s="358"/>
      <c r="B274" s="358"/>
      <c r="C274" s="358"/>
      <c r="D274" s="358"/>
      <c r="E274" s="358"/>
      <c r="F274" s="358"/>
      <c r="G274" s="358"/>
      <c r="H274" s="358"/>
      <c r="I274" s="358"/>
      <c r="J274" s="358"/>
      <c r="K274" s="358"/>
      <c r="L274" s="358"/>
      <c r="M274" s="358"/>
      <c r="N274" s="358"/>
      <c r="O274" s="358"/>
      <c r="P274" s="358"/>
      <c r="Q274" s="358"/>
    </row>
    <row r="275">
      <c r="A275" s="358"/>
      <c r="B275" s="358"/>
      <c r="C275" s="358"/>
      <c r="D275" s="358"/>
      <c r="E275" s="358"/>
      <c r="F275" s="358"/>
      <c r="G275" s="358"/>
      <c r="H275" s="358"/>
      <c r="I275" s="358"/>
      <c r="J275" s="358"/>
      <c r="K275" s="358"/>
      <c r="L275" s="358"/>
      <c r="M275" s="358"/>
      <c r="N275" s="358"/>
      <c r="O275" s="358"/>
      <c r="P275" s="358"/>
      <c r="Q275" s="358"/>
    </row>
    <row r="276">
      <c r="A276" s="358"/>
      <c r="B276" s="358"/>
      <c r="C276" s="358"/>
      <c r="D276" s="358"/>
      <c r="E276" s="358"/>
      <c r="F276" s="358"/>
      <c r="G276" s="358"/>
      <c r="H276" s="358"/>
      <c r="I276" s="358"/>
      <c r="J276" s="358"/>
      <c r="K276" s="358"/>
      <c r="L276" s="358"/>
      <c r="M276" s="358"/>
      <c r="N276" s="358"/>
      <c r="O276" s="358"/>
      <c r="P276" s="358"/>
      <c r="Q276" s="358"/>
    </row>
    <row r="277">
      <c r="A277" s="358"/>
      <c r="B277" s="358"/>
      <c r="C277" s="358"/>
      <c r="D277" s="358"/>
      <c r="E277" s="358"/>
      <c r="F277" s="358"/>
      <c r="G277" s="358"/>
      <c r="H277" s="358"/>
      <c r="I277" s="358"/>
      <c r="J277" s="358"/>
      <c r="K277" s="358"/>
      <c r="L277" s="358"/>
      <c r="M277" s="358"/>
      <c r="N277" s="358"/>
      <c r="O277" s="358"/>
      <c r="P277" s="358"/>
      <c r="Q277" s="358"/>
    </row>
    <row r="278">
      <c r="A278" s="358"/>
      <c r="B278" s="358"/>
      <c r="C278" s="358"/>
      <c r="D278" s="358"/>
      <c r="E278" s="358"/>
      <c r="F278" s="358"/>
      <c r="G278" s="358"/>
      <c r="H278" s="358"/>
      <c r="I278" s="358"/>
      <c r="J278" s="358"/>
      <c r="K278" s="358"/>
      <c r="L278" s="358"/>
      <c r="M278" s="358"/>
      <c r="N278" s="358"/>
      <c r="O278" s="358"/>
      <c r="P278" s="358"/>
      <c r="Q278" s="358"/>
    </row>
    <row r="279">
      <c r="A279" s="358"/>
      <c r="B279" s="358"/>
      <c r="C279" s="358"/>
      <c r="D279" s="358"/>
      <c r="E279" s="358"/>
      <c r="F279" s="358"/>
      <c r="G279" s="358"/>
      <c r="H279" s="358"/>
      <c r="I279" s="358"/>
      <c r="J279" s="358"/>
      <c r="K279" s="358"/>
      <c r="L279" s="358"/>
      <c r="M279" s="358"/>
      <c r="N279" s="358"/>
      <c r="O279" s="358"/>
      <c r="P279" s="358"/>
      <c r="Q279" s="358"/>
    </row>
    <row r="280">
      <c r="A280" s="358"/>
      <c r="B280" s="358"/>
      <c r="C280" s="358"/>
      <c r="D280" s="358"/>
      <c r="E280" s="358"/>
      <c r="F280" s="358"/>
      <c r="G280" s="358"/>
      <c r="H280" s="358"/>
      <c r="I280" s="358"/>
      <c r="J280" s="358"/>
      <c r="K280" s="358"/>
      <c r="L280" s="358"/>
      <c r="M280" s="358"/>
      <c r="N280" s="358"/>
      <c r="O280" s="358"/>
      <c r="P280" s="358"/>
      <c r="Q280" s="358"/>
    </row>
    <row r="281">
      <c r="A281" s="358"/>
      <c r="B281" s="358"/>
      <c r="C281" s="358"/>
      <c r="D281" s="358"/>
      <c r="E281" s="358"/>
      <c r="F281" s="358"/>
      <c r="G281" s="358"/>
      <c r="H281" s="358"/>
      <c r="I281" s="358"/>
      <c r="J281" s="358"/>
      <c r="K281" s="358"/>
      <c r="L281" s="358"/>
      <c r="M281" s="358"/>
      <c r="N281" s="358"/>
      <c r="O281" s="358"/>
      <c r="P281" s="358"/>
      <c r="Q281" s="358"/>
    </row>
    <row r="282">
      <c r="A282" s="358"/>
      <c r="B282" s="358"/>
      <c r="C282" s="358"/>
      <c r="D282" s="358"/>
      <c r="E282" s="358"/>
      <c r="F282" s="358"/>
      <c r="G282" s="358"/>
      <c r="H282" s="358"/>
      <c r="I282" s="358"/>
      <c r="J282" s="358"/>
      <c r="K282" s="358"/>
      <c r="L282" s="358"/>
      <c r="M282" s="358"/>
      <c r="N282" s="358"/>
      <c r="O282" s="358"/>
      <c r="P282" s="358"/>
      <c r="Q282" s="358"/>
    </row>
    <row r="283">
      <c r="A283" s="358"/>
      <c r="B283" s="358"/>
      <c r="C283" s="358"/>
      <c r="D283" s="358"/>
      <c r="E283" s="358"/>
      <c r="F283" s="358"/>
      <c r="G283" s="358"/>
      <c r="H283" s="358"/>
      <c r="I283" s="358"/>
      <c r="J283" s="358"/>
      <c r="K283" s="358"/>
      <c r="L283" s="358"/>
      <c r="M283" s="358"/>
      <c r="N283" s="358"/>
      <c r="O283" s="358"/>
      <c r="P283" s="358"/>
      <c r="Q283" s="358"/>
    </row>
    <row r="284">
      <c r="A284" s="358"/>
      <c r="B284" s="358"/>
      <c r="C284" s="358"/>
      <c r="D284" s="358"/>
      <c r="E284" s="358"/>
      <c r="F284" s="358"/>
      <c r="G284" s="358"/>
      <c r="H284" s="358"/>
      <c r="I284" s="358"/>
      <c r="J284" s="358"/>
      <c r="K284" s="358"/>
      <c r="L284" s="358"/>
      <c r="M284" s="358"/>
      <c r="N284" s="358"/>
      <c r="O284" s="358"/>
      <c r="P284" s="358"/>
      <c r="Q284" s="358"/>
    </row>
    <row r="285">
      <c r="A285" s="358"/>
      <c r="B285" s="358"/>
      <c r="C285" s="358"/>
      <c r="D285" s="358"/>
      <c r="E285" s="358"/>
      <c r="F285" s="358"/>
      <c r="G285" s="358"/>
      <c r="H285" s="358"/>
      <c r="I285" s="358"/>
      <c r="J285" s="358"/>
      <c r="K285" s="358"/>
      <c r="L285" s="358"/>
      <c r="M285" s="358"/>
      <c r="N285" s="358"/>
      <c r="O285" s="358"/>
      <c r="P285" s="358"/>
      <c r="Q285" s="358"/>
    </row>
    <row r="286">
      <c r="A286" s="358"/>
      <c r="B286" s="358"/>
      <c r="C286" s="358"/>
      <c r="D286" s="358"/>
      <c r="E286" s="358"/>
      <c r="F286" s="358"/>
      <c r="G286" s="358"/>
      <c r="H286" s="358"/>
      <c r="I286" s="358"/>
      <c r="J286" s="358"/>
      <c r="K286" s="358"/>
      <c r="L286" s="358"/>
      <c r="M286" s="358"/>
      <c r="N286" s="358"/>
      <c r="O286" s="358"/>
      <c r="P286" s="358"/>
      <c r="Q286" s="358"/>
    </row>
    <row r="287">
      <c r="A287" s="358"/>
      <c r="B287" s="358"/>
      <c r="C287" s="358"/>
      <c r="D287" s="358"/>
      <c r="E287" s="358"/>
      <c r="F287" s="358"/>
      <c r="G287" s="358"/>
      <c r="H287" s="358"/>
      <c r="I287" s="358"/>
      <c r="J287" s="358"/>
      <c r="K287" s="358"/>
      <c r="L287" s="358"/>
      <c r="M287" s="358"/>
      <c r="N287" s="358"/>
      <c r="O287" s="358"/>
      <c r="P287" s="358"/>
      <c r="Q287" s="358"/>
    </row>
    <row r="288">
      <c r="A288" s="358"/>
      <c r="B288" s="358"/>
      <c r="C288" s="358"/>
      <c r="D288" s="358"/>
      <c r="E288" s="358"/>
      <c r="F288" s="358"/>
      <c r="G288" s="358"/>
      <c r="H288" s="358"/>
      <c r="I288" s="358"/>
      <c r="J288" s="358"/>
      <c r="K288" s="358"/>
      <c r="L288" s="358"/>
      <c r="M288" s="358"/>
      <c r="N288" s="358"/>
      <c r="O288" s="358"/>
      <c r="P288" s="358"/>
      <c r="Q288" s="358"/>
    </row>
    <row r="289">
      <c r="A289" s="358"/>
      <c r="B289" s="358"/>
      <c r="C289" s="358"/>
      <c r="D289" s="358"/>
      <c r="E289" s="358"/>
      <c r="F289" s="358"/>
      <c r="G289" s="358"/>
      <c r="H289" s="358"/>
      <c r="I289" s="358"/>
      <c r="J289" s="358"/>
      <c r="K289" s="358"/>
      <c r="L289" s="358"/>
      <c r="M289" s="358"/>
      <c r="N289" s="358"/>
      <c r="O289" s="358"/>
      <c r="P289" s="358"/>
      <c r="Q289" s="358"/>
    </row>
    <row r="290">
      <c r="A290" s="358"/>
      <c r="B290" s="358"/>
      <c r="C290" s="358"/>
      <c r="D290" s="358"/>
      <c r="E290" s="358"/>
      <c r="F290" s="358"/>
      <c r="G290" s="358"/>
      <c r="H290" s="358"/>
      <c r="I290" s="358"/>
      <c r="J290" s="358"/>
      <c r="K290" s="358"/>
      <c r="L290" s="358"/>
      <c r="M290" s="358"/>
      <c r="N290" s="358"/>
      <c r="O290" s="358"/>
      <c r="P290" s="358"/>
      <c r="Q290" s="358"/>
    </row>
    <row r="291">
      <c r="A291" s="358"/>
      <c r="B291" s="358"/>
      <c r="C291" s="358"/>
      <c r="D291" s="358"/>
      <c r="E291" s="358"/>
      <c r="F291" s="358"/>
      <c r="G291" s="358"/>
      <c r="H291" s="358"/>
      <c r="I291" s="358"/>
      <c r="J291" s="358"/>
      <c r="K291" s="358"/>
      <c r="L291" s="358"/>
      <c r="M291" s="358"/>
      <c r="N291" s="358"/>
      <c r="O291" s="358"/>
      <c r="P291" s="358"/>
      <c r="Q291" s="358"/>
    </row>
    <row r="292">
      <c r="A292" s="358"/>
      <c r="B292" s="358"/>
      <c r="C292" s="358"/>
      <c r="D292" s="358"/>
      <c r="E292" s="358"/>
      <c r="F292" s="358"/>
      <c r="G292" s="358"/>
      <c r="H292" s="358"/>
      <c r="I292" s="358"/>
      <c r="J292" s="358"/>
      <c r="K292" s="358"/>
      <c r="L292" s="358"/>
      <c r="M292" s="358"/>
      <c r="N292" s="358"/>
      <c r="O292" s="358"/>
      <c r="P292" s="358"/>
      <c r="Q292" s="358"/>
    </row>
    <row r="293">
      <c r="A293" s="358"/>
      <c r="B293" s="358"/>
      <c r="C293" s="358"/>
      <c r="D293" s="358"/>
      <c r="E293" s="358"/>
      <c r="F293" s="358"/>
      <c r="G293" s="358"/>
      <c r="H293" s="358"/>
      <c r="I293" s="358"/>
      <c r="J293" s="358"/>
      <c r="K293" s="358"/>
      <c r="L293" s="358"/>
      <c r="M293" s="358"/>
      <c r="N293" s="358"/>
      <c r="O293" s="358"/>
      <c r="P293" s="358"/>
      <c r="Q293" s="358"/>
    </row>
    <row r="294">
      <c r="A294" s="358"/>
      <c r="B294" s="358"/>
      <c r="C294" s="358"/>
      <c r="D294" s="358"/>
      <c r="E294" s="358"/>
      <c r="F294" s="358"/>
      <c r="G294" s="358"/>
      <c r="H294" s="358"/>
      <c r="I294" s="358"/>
      <c r="J294" s="358"/>
      <c r="K294" s="358"/>
      <c r="L294" s="358"/>
      <c r="M294" s="358"/>
      <c r="N294" s="358"/>
      <c r="O294" s="358"/>
      <c r="P294" s="358"/>
      <c r="Q294" s="358"/>
    </row>
    <row r="295">
      <c r="A295" s="358"/>
      <c r="B295" s="358"/>
      <c r="C295" s="358"/>
      <c r="D295" s="358"/>
      <c r="E295" s="358"/>
      <c r="F295" s="358"/>
      <c r="G295" s="358"/>
      <c r="H295" s="358"/>
      <c r="I295" s="358"/>
      <c r="J295" s="358"/>
      <c r="K295" s="358"/>
      <c r="L295" s="358"/>
      <c r="M295" s="358"/>
      <c r="N295" s="358"/>
      <c r="O295" s="358"/>
      <c r="P295" s="358"/>
      <c r="Q295" s="358"/>
    </row>
    <row r="296">
      <c r="A296" s="358"/>
      <c r="B296" s="358"/>
      <c r="C296" s="358"/>
      <c r="D296" s="358"/>
      <c r="E296" s="358"/>
      <c r="F296" s="358"/>
      <c r="G296" s="358"/>
      <c r="H296" s="358"/>
      <c r="I296" s="358"/>
      <c r="J296" s="358"/>
      <c r="K296" s="358"/>
      <c r="L296" s="358"/>
      <c r="M296" s="358"/>
      <c r="N296" s="358"/>
      <c r="O296" s="358"/>
      <c r="P296" s="358"/>
      <c r="Q296" s="358"/>
    </row>
    <row r="297">
      <c r="A297" s="358"/>
      <c r="B297" s="358"/>
      <c r="C297" s="358"/>
      <c r="D297" s="358"/>
      <c r="E297" s="358"/>
      <c r="F297" s="358"/>
      <c r="G297" s="358"/>
      <c r="H297" s="358"/>
      <c r="I297" s="358"/>
      <c r="J297" s="358"/>
      <c r="K297" s="358"/>
      <c r="L297" s="358"/>
      <c r="M297" s="358"/>
      <c r="N297" s="358"/>
      <c r="O297" s="358"/>
      <c r="P297" s="358"/>
      <c r="Q297" s="358"/>
    </row>
    <row r="298">
      <c r="A298" s="358"/>
      <c r="B298" s="358"/>
      <c r="C298" s="358"/>
      <c r="D298" s="358"/>
      <c r="E298" s="358"/>
      <c r="F298" s="358"/>
      <c r="G298" s="358"/>
      <c r="H298" s="358"/>
      <c r="I298" s="358"/>
      <c r="J298" s="358"/>
      <c r="K298" s="358"/>
      <c r="L298" s="358"/>
      <c r="M298" s="358"/>
      <c r="N298" s="358"/>
      <c r="O298" s="358"/>
      <c r="P298" s="358"/>
      <c r="Q298" s="358"/>
    </row>
    <row r="299">
      <c r="A299" s="358"/>
      <c r="B299" s="358"/>
      <c r="C299" s="358"/>
      <c r="D299" s="358"/>
      <c r="E299" s="358"/>
      <c r="F299" s="358"/>
      <c r="G299" s="358"/>
      <c r="H299" s="358"/>
      <c r="I299" s="358"/>
      <c r="J299" s="358"/>
      <c r="K299" s="358"/>
      <c r="L299" s="358"/>
      <c r="M299" s="358"/>
      <c r="N299" s="358"/>
      <c r="O299" s="358"/>
      <c r="P299" s="358"/>
      <c r="Q299" s="358"/>
    </row>
    <row r="300">
      <c r="A300" s="358"/>
      <c r="B300" s="358"/>
      <c r="C300" s="358"/>
      <c r="D300" s="358"/>
      <c r="E300" s="358"/>
      <c r="F300" s="358"/>
      <c r="G300" s="358"/>
      <c r="H300" s="358"/>
      <c r="I300" s="358"/>
      <c r="J300" s="358"/>
      <c r="K300" s="358"/>
      <c r="L300" s="358"/>
      <c r="M300" s="358"/>
      <c r="N300" s="358"/>
      <c r="O300" s="358"/>
      <c r="P300" s="358"/>
      <c r="Q300" s="358"/>
    </row>
    <row r="301">
      <c r="A301" s="358"/>
      <c r="B301" s="358"/>
      <c r="C301" s="358"/>
      <c r="D301" s="358"/>
      <c r="E301" s="358"/>
      <c r="F301" s="358"/>
      <c r="G301" s="358"/>
      <c r="H301" s="358"/>
      <c r="I301" s="358"/>
      <c r="J301" s="358"/>
      <c r="K301" s="358"/>
      <c r="L301" s="358"/>
      <c r="M301" s="358"/>
      <c r="N301" s="358"/>
      <c r="O301" s="358"/>
      <c r="P301" s="358"/>
      <c r="Q301" s="358"/>
    </row>
    <row r="302">
      <c r="A302" s="358"/>
      <c r="B302" s="358"/>
      <c r="C302" s="358"/>
      <c r="D302" s="358"/>
      <c r="E302" s="358"/>
      <c r="F302" s="358"/>
      <c r="G302" s="358"/>
      <c r="H302" s="358"/>
      <c r="I302" s="358"/>
      <c r="J302" s="358"/>
      <c r="K302" s="358"/>
      <c r="L302" s="358"/>
      <c r="M302" s="358"/>
      <c r="N302" s="358"/>
      <c r="O302" s="358"/>
      <c r="P302" s="358"/>
      <c r="Q302" s="358"/>
    </row>
    <row r="303">
      <c r="A303" s="358"/>
      <c r="B303" s="358"/>
      <c r="C303" s="358"/>
      <c r="D303" s="358"/>
      <c r="E303" s="358"/>
      <c r="F303" s="358"/>
      <c r="G303" s="358"/>
      <c r="H303" s="358"/>
      <c r="I303" s="358"/>
      <c r="J303" s="358"/>
      <c r="K303" s="358"/>
      <c r="L303" s="358"/>
      <c r="M303" s="358"/>
      <c r="N303" s="358"/>
      <c r="O303" s="358"/>
      <c r="P303" s="358"/>
      <c r="Q303" s="358"/>
    </row>
    <row r="304">
      <c r="A304" s="358"/>
      <c r="B304" s="358"/>
      <c r="C304" s="358"/>
      <c r="D304" s="358"/>
      <c r="E304" s="358"/>
      <c r="F304" s="358"/>
      <c r="G304" s="358"/>
      <c r="H304" s="358"/>
      <c r="I304" s="358"/>
      <c r="J304" s="358"/>
      <c r="K304" s="358"/>
      <c r="L304" s="358"/>
      <c r="M304" s="358"/>
      <c r="N304" s="358"/>
      <c r="O304" s="358"/>
      <c r="P304" s="358"/>
      <c r="Q304" s="358"/>
    </row>
    <row r="305">
      <c r="A305" s="358"/>
      <c r="B305" s="358"/>
      <c r="C305" s="358"/>
      <c r="D305" s="358"/>
      <c r="E305" s="358"/>
      <c r="F305" s="358"/>
      <c r="G305" s="358"/>
      <c r="H305" s="358"/>
      <c r="I305" s="358"/>
      <c r="J305" s="358"/>
      <c r="K305" s="358"/>
      <c r="L305" s="358"/>
      <c r="M305" s="358"/>
      <c r="N305" s="358"/>
      <c r="O305" s="358"/>
      <c r="P305" s="358"/>
      <c r="Q305" s="358"/>
    </row>
    <row r="306">
      <c r="A306" s="358"/>
      <c r="B306" s="358"/>
      <c r="C306" s="358"/>
      <c r="D306" s="358"/>
      <c r="E306" s="358"/>
      <c r="F306" s="358"/>
      <c r="G306" s="358"/>
      <c r="H306" s="358"/>
      <c r="I306" s="358"/>
      <c r="J306" s="358"/>
      <c r="K306" s="358"/>
      <c r="L306" s="358"/>
      <c r="M306" s="358"/>
      <c r="N306" s="358"/>
      <c r="O306" s="358"/>
      <c r="P306" s="358"/>
      <c r="Q306" s="358"/>
    </row>
    <row r="307">
      <c r="A307" s="358"/>
      <c r="B307" s="358"/>
      <c r="C307" s="358"/>
      <c r="D307" s="358"/>
      <c r="E307" s="358"/>
      <c r="F307" s="358"/>
      <c r="G307" s="358"/>
      <c r="H307" s="358"/>
      <c r="I307" s="358"/>
      <c r="J307" s="358"/>
      <c r="K307" s="358"/>
      <c r="L307" s="358"/>
      <c r="M307" s="358"/>
      <c r="N307" s="358"/>
      <c r="O307" s="358"/>
      <c r="P307" s="358"/>
      <c r="Q307" s="358"/>
    </row>
    <row r="308">
      <c r="A308" s="358"/>
      <c r="B308" s="358"/>
      <c r="C308" s="358"/>
      <c r="D308" s="358"/>
      <c r="E308" s="358"/>
      <c r="F308" s="358"/>
      <c r="G308" s="358"/>
      <c r="H308" s="358"/>
      <c r="I308" s="358"/>
      <c r="J308" s="358"/>
      <c r="K308" s="358"/>
      <c r="L308" s="358"/>
      <c r="M308" s="358"/>
      <c r="N308" s="358"/>
      <c r="O308" s="358"/>
      <c r="P308" s="358"/>
      <c r="Q308" s="358"/>
    </row>
    <row r="309">
      <c r="A309" s="358"/>
      <c r="B309" s="358"/>
      <c r="C309" s="358"/>
      <c r="D309" s="358"/>
      <c r="E309" s="358"/>
      <c r="F309" s="358"/>
      <c r="G309" s="358"/>
      <c r="H309" s="358"/>
      <c r="I309" s="358"/>
      <c r="J309" s="358"/>
      <c r="K309" s="358"/>
      <c r="L309" s="358"/>
      <c r="M309" s="358"/>
      <c r="N309" s="358"/>
      <c r="O309" s="358"/>
      <c r="P309" s="358"/>
      <c r="Q309" s="358"/>
    </row>
    <row r="310">
      <c r="A310" s="358"/>
      <c r="B310" s="358"/>
      <c r="C310" s="358"/>
      <c r="D310" s="358"/>
      <c r="E310" s="358"/>
      <c r="F310" s="358"/>
      <c r="G310" s="358"/>
      <c r="H310" s="358"/>
      <c r="I310" s="358"/>
      <c r="J310" s="358"/>
      <c r="K310" s="358"/>
      <c r="L310" s="358"/>
      <c r="M310" s="358"/>
      <c r="N310" s="358"/>
      <c r="O310" s="358"/>
      <c r="P310" s="358"/>
      <c r="Q310" s="358"/>
    </row>
    <row r="311">
      <c r="A311" s="358"/>
      <c r="B311" s="358"/>
      <c r="C311" s="358"/>
      <c r="D311" s="358"/>
      <c r="E311" s="358"/>
      <c r="F311" s="358"/>
      <c r="G311" s="358"/>
      <c r="H311" s="358"/>
      <c r="I311" s="358"/>
      <c r="J311" s="358"/>
      <c r="K311" s="358"/>
      <c r="L311" s="358"/>
      <c r="M311" s="358"/>
      <c r="N311" s="358"/>
      <c r="O311" s="358"/>
      <c r="P311" s="358"/>
      <c r="Q311" s="358"/>
    </row>
    <row r="312">
      <c r="A312" s="358"/>
      <c r="B312" s="358"/>
      <c r="C312" s="358"/>
      <c r="D312" s="358"/>
      <c r="E312" s="358"/>
      <c r="F312" s="358"/>
      <c r="G312" s="358"/>
      <c r="H312" s="358"/>
      <c r="I312" s="358"/>
      <c r="J312" s="358"/>
      <c r="K312" s="358"/>
      <c r="L312" s="358"/>
      <c r="M312" s="358"/>
      <c r="N312" s="358"/>
      <c r="O312" s="358"/>
      <c r="P312" s="358"/>
      <c r="Q312" s="358"/>
    </row>
    <row r="313">
      <c r="A313" s="358"/>
      <c r="B313" s="358"/>
      <c r="C313" s="358"/>
      <c r="D313" s="358"/>
      <c r="E313" s="358"/>
      <c r="F313" s="358"/>
      <c r="G313" s="358"/>
      <c r="H313" s="358"/>
      <c r="I313" s="358"/>
      <c r="J313" s="358"/>
      <c r="K313" s="358"/>
      <c r="L313" s="358"/>
      <c r="M313" s="358"/>
      <c r="N313" s="358"/>
      <c r="O313" s="358"/>
      <c r="P313" s="358"/>
      <c r="Q313" s="358"/>
    </row>
    <row r="314">
      <c r="A314" s="358"/>
      <c r="B314" s="358"/>
      <c r="C314" s="358"/>
      <c r="D314" s="358"/>
      <c r="E314" s="358"/>
      <c r="F314" s="358"/>
      <c r="G314" s="358"/>
      <c r="H314" s="358"/>
      <c r="I314" s="358"/>
      <c r="J314" s="358"/>
      <c r="K314" s="358"/>
      <c r="L314" s="358"/>
      <c r="M314" s="358"/>
      <c r="N314" s="358"/>
      <c r="O314" s="358"/>
      <c r="P314" s="358"/>
      <c r="Q314" s="358"/>
    </row>
    <row r="315">
      <c r="A315" s="358"/>
      <c r="B315" s="358"/>
      <c r="C315" s="358"/>
      <c r="D315" s="358"/>
      <c r="E315" s="358"/>
      <c r="F315" s="358"/>
      <c r="G315" s="358"/>
      <c r="H315" s="358"/>
      <c r="I315" s="358"/>
      <c r="J315" s="358"/>
      <c r="K315" s="358"/>
      <c r="L315" s="358"/>
      <c r="M315" s="358"/>
      <c r="N315" s="358"/>
      <c r="O315" s="358"/>
      <c r="P315" s="358"/>
      <c r="Q315" s="358"/>
    </row>
    <row r="316">
      <c r="A316" s="358"/>
      <c r="B316" s="358"/>
      <c r="C316" s="358"/>
      <c r="D316" s="358"/>
      <c r="E316" s="358"/>
      <c r="F316" s="358"/>
      <c r="G316" s="358"/>
      <c r="H316" s="358"/>
      <c r="I316" s="358"/>
      <c r="J316" s="358"/>
      <c r="K316" s="358"/>
      <c r="L316" s="358"/>
      <c r="M316" s="358"/>
      <c r="N316" s="358"/>
      <c r="O316" s="358"/>
      <c r="P316" s="358"/>
      <c r="Q316" s="358"/>
    </row>
    <row r="317">
      <c r="A317" s="358"/>
      <c r="B317" s="358"/>
      <c r="C317" s="358"/>
      <c r="D317" s="358"/>
      <c r="E317" s="358"/>
      <c r="F317" s="358"/>
      <c r="G317" s="358"/>
      <c r="H317" s="358"/>
      <c r="I317" s="358"/>
      <c r="J317" s="358"/>
      <c r="K317" s="358"/>
      <c r="L317" s="358"/>
      <c r="M317" s="358"/>
      <c r="N317" s="358"/>
      <c r="O317" s="358"/>
      <c r="P317" s="358"/>
      <c r="Q317" s="358"/>
    </row>
    <row r="318">
      <c r="A318" s="358"/>
      <c r="B318" s="358"/>
      <c r="C318" s="358"/>
      <c r="D318" s="358"/>
      <c r="E318" s="358"/>
      <c r="F318" s="358"/>
      <c r="G318" s="358"/>
      <c r="H318" s="358"/>
      <c r="I318" s="358"/>
      <c r="J318" s="358"/>
      <c r="K318" s="358"/>
      <c r="L318" s="358"/>
      <c r="M318" s="358"/>
      <c r="N318" s="358"/>
      <c r="O318" s="358"/>
      <c r="P318" s="358"/>
      <c r="Q318" s="358"/>
    </row>
    <row r="319">
      <c r="A319" s="358"/>
      <c r="B319" s="358"/>
      <c r="C319" s="358"/>
      <c r="D319" s="358"/>
      <c r="E319" s="358"/>
      <c r="F319" s="358"/>
      <c r="G319" s="358"/>
      <c r="H319" s="358"/>
      <c r="I319" s="358"/>
      <c r="J319" s="358"/>
      <c r="K319" s="358"/>
      <c r="L319" s="358"/>
      <c r="M319" s="358"/>
      <c r="N319" s="358"/>
      <c r="O319" s="358"/>
      <c r="P319" s="358"/>
      <c r="Q319" s="358"/>
    </row>
    <row r="320">
      <c r="A320" s="358"/>
      <c r="B320" s="358"/>
      <c r="C320" s="358"/>
      <c r="D320" s="358"/>
      <c r="E320" s="358"/>
      <c r="F320" s="358"/>
      <c r="G320" s="358"/>
      <c r="H320" s="358"/>
      <c r="I320" s="358"/>
      <c r="J320" s="358"/>
      <c r="K320" s="358"/>
      <c r="L320" s="358"/>
      <c r="M320" s="358"/>
      <c r="N320" s="358"/>
      <c r="O320" s="358"/>
      <c r="P320" s="358"/>
      <c r="Q320" s="358"/>
    </row>
    <row r="321">
      <c r="A321" s="358"/>
      <c r="B321" s="358"/>
      <c r="C321" s="358"/>
      <c r="D321" s="358"/>
      <c r="E321" s="358"/>
      <c r="F321" s="358"/>
      <c r="G321" s="358"/>
      <c r="H321" s="358"/>
      <c r="I321" s="358"/>
      <c r="J321" s="358"/>
      <c r="K321" s="358"/>
      <c r="L321" s="358"/>
      <c r="M321" s="358"/>
      <c r="N321" s="358"/>
      <c r="O321" s="358"/>
      <c r="P321" s="358"/>
      <c r="Q321" s="358"/>
    </row>
    <row r="322">
      <c r="A322" s="358"/>
      <c r="B322" s="358"/>
      <c r="C322" s="358"/>
      <c r="D322" s="358"/>
      <c r="E322" s="358"/>
      <c r="F322" s="358"/>
      <c r="G322" s="358"/>
      <c r="H322" s="358"/>
      <c r="I322" s="358"/>
      <c r="J322" s="358"/>
      <c r="K322" s="358"/>
      <c r="L322" s="358"/>
      <c r="M322" s="358"/>
      <c r="N322" s="358"/>
      <c r="O322" s="358"/>
      <c r="P322" s="358"/>
      <c r="Q322" s="358"/>
    </row>
    <row r="323">
      <c r="A323" s="358"/>
      <c r="B323" s="358"/>
      <c r="C323" s="358"/>
      <c r="D323" s="358"/>
      <c r="E323" s="358"/>
      <c r="F323" s="358"/>
      <c r="G323" s="358"/>
      <c r="H323" s="358"/>
      <c r="I323" s="358"/>
      <c r="J323" s="358"/>
      <c r="K323" s="358"/>
      <c r="L323" s="358"/>
      <c r="M323" s="358"/>
      <c r="N323" s="358"/>
      <c r="O323" s="358"/>
      <c r="P323" s="358"/>
      <c r="Q323" s="358"/>
    </row>
    <row r="324">
      <c r="A324" s="358"/>
      <c r="B324" s="358"/>
      <c r="C324" s="358"/>
      <c r="D324" s="358"/>
      <c r="E324" s="358"/>
      <c r="F324" s="358"/>
      <c r="G324" s="358"/>
      <c r="H324" s="358"/>
      <c r="I324" s="358"/>
      <c r="J324" s="358"/>
      <c r="K324" s="358"/>
      <c r="L324" s="358"/>
      <c r="M324" s="358"/>
      <c r="N324" s="358"/>
      <c r="O324" s="358"/>
      <c r="P324" s="358"/>
      <c r="Q324" s="358"/>
    </row>
    <row r="325">
      <c r="A325" s="358"/>
      <c r="B325" s="358"/>
      <c r="C325" s="358"/>
      <c r="D325" s="358"/>
      <c r="E325" s="358"/>
      <c r="F325" s="358"/>
      <c r="G325" s="358"/>
      <c r="H325" s="358"/>
      <c r="I325" s="358"/>
      <c r="J325" s="358"/>
      <c r="K325" s="358"/>
      <c r="L325" s="358"/>
      <c r="M325" s="358"/>
      <c r="N325" s="358"/>
      <c r="O325" s="358"/>
      <c r="P325" s="358"/>
      <c r="Q325" s="358"/>
    </row>
    <row r="326">
      <c r="A326" s="358"/>
      <c r="B326" s="358"/>
      <c r="C326" s="358"/>
      <c r="D326" s="358"/>
      <c r="E326" s="358"/>
      <c r="F326" s="358"/>
      <c r="G326" s="358"/>
      <c r="H326" s="358"/>
      <c r="I326" s="358"/>
      <c r="J326" s="358"/>
      <c r="K326" s="358"/>
      <c r="L326" s="358"/>
      <c r="M326" s="358"/>
      <c r="N326" s="358"/>
      <c r="O326" s="358"/>
      <c r="P326" s="358"/>
      <c r="Q326" s="358"/>
    </row>
    <row r="327">
      <c r="A327" s="358"/>
      <c r="B327" s="358"/>
      <c r="C327" s="358"/>
      <c r="D327" s="358"/>
      <c r="E327" s="358"/>
      <c r="F327" s="358"/>
      <c r="G327" s="358"/>
      <c r="H327" s="358"/>
      <c r="I327" s="358"/>
      <c r="J327" s="358"/>
      <c r="K327" s="358"/>
      <c r="L327" s="358"/>
      <c r="M327" s="358"/>
      <c r="N327" s="358"/>
      <c r="O327" s="358"/>
      <c r="P327" s="358"/>
      <c r="Q327" s="358"/>
    </row>
    <row r="328">
      <c r="A328" s="358"/>
      <c r="B328" s="358"/>
      <c r="C328" s="358"/>
      <c r="D328" s="358"/>
      <c r="E328" s="358"/>
      <c r="F328" s="358"/>
      <c r="G328" s="358"/>
      <c r="H328" s="358"/>
      <c r="I328" s="358"/>
      <c r="J328" s="358"/>
      <c r="K328" s="358"/>
      <c r="L328" s="358"/>
      <c r="M328" s="358"/>
      <c r="N328" s="358"/>
      <c r="O328" s="358"/>
      <c r="P328" s="358"/>
      <c r="Q328" s="358"/>
    </row>
    <row r="329">
      <c r="A329" s="358"/>
      <c r="B329" s="358"/>
      <c r="C329" s="358"/>
      <c r="D329" s="358"/>
      <c r="E329" s="358"/>
      <c r="F329" s="358"/>
      <c r="G329" s="358"/>
      <c r="H329" s="358"/>
      <c r="I329" s="358"/>
      <c r="J329" s="358"/>
      <c r="K329" s="358"/>
      <c r="L329" s="358"/>
      <c r="M329" s="358"/>
      <c r="N329" s="358"/>
      <c r="O329" s="358"/>
      <c r="P329" s="358"/>
      <c r="Q329" s="358"/>
    </row>
    <row r="330">
      <c r="A330" s="358"/>
      <c r="B330" s="358"/>
      <c r="C330" s="358"/>
      <c r="D330" s="358"/>
      <c r="E330" s="358"/>
      <c r="F330" s="358"/>
      <c r="G330" s="358"/>
      <c r="H330" s="358"/>
      <c r="I330" s="358"/>
      <c r="J330" s="358"/>
      <c r="K330" s="358"/>
      <c r="L330" s="358"/>
      <c r="M330" s="358"/>
      <c r="N330" s="358"/>
      <c r="O330" s="358"/>
      <c r="P330" s="358"/>
      <c r="Q330" s="358"/>
    </row>
    <row r="331">
      <c r="A331" s="358"/>
      <c r="B331" s="358"/>
      <c r="C331" s="358"/>
      <c r="D331" s="358"/>
      <c r="E331" s="358"/>
      <c r="F331" s="358"/>
      <c r="G331" s="358"/>
      <c r="H331" s="358"/>
      <c r="I331" s="358"/>
      <c r="J331" s="358"/>
      <c r="K331" s="358"/>
      <c r="L331" s="358"/>
      <c r="M331" s="358"/>
      <c r="N331" s="358"/>
      <c r="O331" s="358"/>
      <c r="P331" s="358"/>
      <c r="Q331" s="358"/>
    </row>
    <row r="332">
      <c r="A332" s="358"/>
      <c r="B332" s="358"/>
      <c r="C332" s="358"/>
      <c r="D332" s="358"/>
      <c r="E332" s="358"/>
      <c r="F332" s="358"/>
      <c r="G332" s="358"/>
      <c r="H332" s="358"/>
      <c r="I332" s="358"/>
      <c r="J332" s="358"/>
      <c r="K332" s="358"/>
      <c r="L332" s="358"/>
      <c r="M332" s="358"/>
      <c r="N332" s="358"/>
      <c r="O332" s="358"/>
      <c r="P332" s="358"/>
      <c r="Q332" s="358"/>
    </row>
    <row r="333">
      <c r="A333" s="358"/>
      <c r="B333" s="358"/>
      <c r="C333" s="358"/>
      <c r="D333" s="358"/>
      <c r="E333" s="358"/>
      <c r="F333" s="358"/>
      <c r="G333" s="358"/>
      <c r="H333" s="358"/>
      <c r="I333" s="358"/>
      <c r="J333" s="358"/>
      <c r="K333" s="358"/>
      <c r="L333" s="358"/>
      <c r="M333" s="358"/>
      <c r="N333" s="358"/>
      <c r="O333" s="358"/>
      <c r="P333" s="358"/>
      <c r="Q333" s="358"/>
    </row>
    <row r="334">
      <c r="A334" s="358"/>
      <c r="B334" s="358"/>
      <c r="C334" s="358"/>
      <c r="D334" s="358"/>
      <c r="E334" s="358"/>
      <c r="F334" s="358"/>
      <c r="G334" s="358"/>
      <c r="H334" s="358"/>
      <c r="I334" s="358"/>
      <c r="J334" s="358"/>
      <c r="K334" s="358"/>
      <c r="L334" s="358"/>
      <c r="M334" s="358"/>
      <c r="N334" s="358"/>
      <c r="O334" s="358"/>
      <c r="P334" s="358"/>
      <c r="Q334" s="358"/>
    </row>
    <row r="335">
      <c r="A335" s="358"/>
      <c r="B335" s="358"/>
      <c r="C335" s="358"/>
      <c r="D335" s="358"/>
      <c r="E335" s="358"/>
      <c r="F335" s="358"/>
      <c r="G335" s="358"/>
      <c r="H335" s="358"/>
      <c r="I335" s="358"/>
      <c r="J335" s="358"/>
      <c r="K335" s="358"/>
      <c r="L335" s="358"/>
      <c r="M335" s="358"/>
      <c r="N335" s="358"/>
      <c r="O335" s="358"/>
      <c r="P335" s="358"/>
      <c r="Q335" s="358"/>
    </row>
    <row r="336">
      <c r="A336" s="358"/>
      <c r="B336" s="358"/>
      <c r="C336" s="358"/>
      <c r="D336" s="358"/>
      <c r="E336" s="358"/>
      <c r="F336" s="358"/>
      <c r="G336" s="358"/>
      <c r="H336" s="358"/>
      <c r="I336" s="358"/>
      <c r="J336" s="358"/>
      <c r="K336" s="358"/>
      <c r="L336" s="358"/>
      <c r="M336" s="358"/>
      <c r="N336" s="358"/>
      <c r="O336" s="358"/>
      <c r="P336" s="358"/>
      <c r="Q336" s="358"/>
    </row>
    <row r="337">
      <c r="A337" s="358"/>
      <c r="B337" s="358"/>
      <c r="C337" s="358"/>
      <c r="D337" s="358"/>
      <c r="E337" s="358"/>
      <c r="F337" s="358"/>
      <c r="G337" s="358"/>
      <c r="H337" s="358"/>
      <c r="I337" s="358"/>
      <c r="J337" s="358"/>
      <c r="K337" s="358"/>
      <c r="L337" s="358"/>
      <c r="M337" s="358"/>
      <c r="N337" s="358"/>
      <c r="O337" s="358"/>
      <c r="P337" s="358"/>
      <c r="Q337" s="358"/>
    </row>
    <row r="338">
      <c r="A338" s="358"/>
      <c r="B338" s="358"/>
      <c r="C338" s="358"/>
      <c r="D338" s="358"/>
      <c r="E338" s="358"/>
      <c r="F338" s="358"/>
      <c r="G338" s="358"/>
      <c r="H338" s="358"/>
      <c r="I338" s="358"/>
      <c r="J338" s="358"/>
      <c r="K338" s="358"/>
      <c r="L338" s="358"/>
      <c r="M338" s="358"/>
      <c r="N338" s="358"/>
      <c r="O338" s="358"/>
      <c r="P338" s="358"/>
      <c r="Q338" s="358"/>
    </row>
    <row r="339">
      <c r="A339" s="358"/>
      <c r="B339" s="358"/>
      <c r="C339" s="358"/>
      <c r="D339" s="358"/>
      <c r="E339" s="358"/>
      <c r="F339" s="358"/>
      <c r="G339" s="358"/>
      <c r="H339" s="358"/>
      <c r="I339" s="358"/>
      <c r="J339" s="358"/>
      <c r="K339" s="358"/>
      <c r="L339" s="358"/>
      <c r="M339" s="358"/>
      <c r="N339" s="358"/>
      <c r="O339" s="358"/>
      <c r="P339" s="358"/>
      <c r="Q339" s="358"/>
    </row>
    <row r="340">
      <c r="A340" s="358"/>
      <c r="B340" s="358"/>
      <c r="C340" s="358"/>
      <c r="D340" s="358"/>
      <c r="E340" s="358"/>
      <c r="F340" s="358"/>
      <c r="G340" s="358"/>
      <c r="H340" s="358"/>
      <c r="I340" s="358"/>
      <c r="J340" s="358"/>
      <c r="K340" s="358"/>
      <c r="L340" s="358"/>
      <c r="M340" s="358"/>
      <c r="N340" s="358"/>
      <c r="O340" s="358"/>
      <c r="P340" s="358"/>
      <c r="Q340" s="358"/>
    </row>
    <row r="341">
      <c r="A341" s="358"/>
      <c r="B341" s="358"/>
      <c r="C341" s="358"/>
      <c r="D341" s="358"/>
      <c r="E341" s="358"/>
      <c r="F341" s="358"/>
      <c r="G341" s="358"/>
      <c r="H341" s="358"/>
      <c r="I341" s="358"/>
      <c r="J341" s="358"/>
      <c r="K341" s="358"/>
      <c r="L341" s="358"/>
      <c r="M341" s="358"/>
      <c r="N341" s="358"/>
      <c r="O341" s="358"/>
      <c r="P341" s="358"/>
      <c r="Q341" s="358"/>
    </row>
    <row r="342">
      <c r="A342" s="358"/>
      <c r="B342" s="358"/>
      <c r="C342" s="358"/>
      <c r="D342" s="358"/>
      <c r="E342" s="358"/>
      <c r="F342" s="358"/>
      <c r="G342" s="358"/>
      <c r="H342" s="358"/>
      <c r="I342" s="358"/>
      <c r="J342" s="358"/>
      <c r="K342" s="358"/>
      <c r="L342" s="358"/>
      <c r="M342" s="358"/>
      <c r="N342" s="358"/>
      <c r="O342" s="358"/>
      <c r="P342" s="358"/>
      <c r="Q342" s="358"/>
    </row>
    <row r="343">
      <c r="A343" s="358"/>
      <c r="B343" s="358"/>
      <c r="C343" s="358"/>
      <c r="D343" s="358"/>
      <c r="E343" s="358"/>
      <c r="F343" s="358"/>
      <c r="G343" s="358"/>
      <c r="H343" s="358"/>
      <c r="I343" s="358"/>
      <c r="J343" s="358"/>
      <c r="K343" s="358"/>
      <c r="L343" s="358"/>
      <c r="M343" s="358"/>
      <c r="N343" s="358"/>
      <c r="O343" s="358"/>
      <c r="P343" s="358"/>
      <c r="Q343" s="358"/>
    </row>
    <row r="344">
      <c r="A344" s="358"/>
      <c r="B344" s="358"/>
      <c r="C344" s="358"/>
      <c r="D344" s="358"/>
      <c r="E344" s="358"/>
      <c r="F344" s="358"/>
      <c r="G344" s="358"/>
      <c r="H344" s="358"/>
      <c r="I344" s="358"/>
      <c r="J344" s="358"/>
      <c r="K344" s="358"/>
      <c r="L344" s="358"/>
      <c r="M344" s="358"/>
      <c r="N344" s="358"/>
      <c r="O344" s="358"/>
      <c r="P344" s="358"/>
      <c r="Q344" s="358"/>
    </row>
    <row r="345">
      <c r="A345" s="358"/>
      <c r="B345" s="358"/>
      <c r="C345" s="358"/>
      <c r="D345" s="358"/>
      <c r="E345" s="358"/>
      <c r="F345" s="358"/>
      <c r="G345" s="358"/>
      <c r="H345" s="358"/>
      <c r="I345" s="358"/>
      <c r="J345" s="358"/>
      <c r="K345" s="358"/>
      <c r="L345" s="358"/>
      <c r="M345" s="358"/>
      <c r="N345" s="358"/>
      <c r="O345" s="358"/>
      <c r="P345" s="358"/>
      <c r="Q345" s="358"/>
    </row>
    <row r="346">
      <c r="A346" s="358"/>
      <c r="B346" s="358"/>
      <c r="C346" s="358"/>
      <c r="D346" s="358"/>
      <c r="E346" s="358"/>
      <c r="F346" s="358"/>
      <c r="G346" s="358"/>
      <c r="H346" s="358"/>
      <c r="I346" s="358"/>
      <c r="J346" s="358"/>
      <c r="K346" s="358"/>
      <c r="L346" s="358"/>
      <c r="M346" s="358"/>
      <c r="N346" s="358"/>
      <c r="O346" s="358"/>
      <c r="P346" s="358"/>
      <c r="Q346" s="358"/>
    </row>
    <row r="347">
      <c r="A347" s="358"/>
      <c r="B347" s="358"/>
      <c r="C347" s="358"/>
      <c r="D347" s="358"/>
      <c r="E347" s="358"/>
      <c r="F347" s="358"/>
      <c r="G347" s="358"/>
      <c r="H347" s="358"/>
      <c r="I347" s="358"/>
      <c r="J347" s="358"/>
      <c r="K347" s="358"/>
      <c r="L347" s="358"/>
      <c r="M347" s="358"/>
      <c r="N347" s="358"/>
      <c r="O347" s="358"/>
      <c r="P347" s="358"/>
      <c r="Q347" s="358"/>
    </row>
    <row r="348">
      <c r="A348" s="358"/>
      <c r="B348" s="358"/>
      <c r="C348" s="358"/>
      <c r="D348" s="358"/>
      <c r="E348" s="358"/>
      <c r="F348" s="358"/>
      <c r="G348" s="358"/>
      <c r="H348" s="358"/>
      <c r="I348" s="358"/>
      <c r="J348" s="358"/>
      <c r="K348" s="358"/>
      <c r="L348" s="358"/>
      <c r="M348" s="358"/>
      <c r="N348" s="358"/>
      <c r="O348" s="358"/>
      <c r="P348" s="358"/>
      <c r="Q348" s="358"/>
    </row>
    <row r="349">
      <c r="A349" s="358"/>
      <c r="B349" s="358"/>
      <c r="C349" s="358"/>
      <c r="D349" s="358"/>
      <c r="E349" s="358"/>
      <c r="F349" s="358"/>
      <c r="G349" s="358"/>
      <c r="H349" s="358"/>
      <c r="I349" s="358"/>
      <c r="J349" s="358"/>
      <c r="K349" s="358"/>
      <c r="L349" s="358"/>
      <c r="M349" s="358"/>
      <c r="N349" s="358"/>
      <c r="O349" s="358"/>
      <c r="P349" s="358"/>
      <c r="Q349" s="358"/>
    </row>
    <row r="350">
      <c r="A350" s="358"/>
      <c r="B350" s="358"/>
      <c r="C350" s="358"/>
      <c r="D350" s="358"/>
      <c r="E350" s="358"/>
      <c r="F350" s="358"/>
      <c r="G350" s="358"/>
      <c r="H350" s="358"/>
      <c r="I350" s="358"/>
      <c r="J350" s="358"/>
      <c r="K350" s="358"/>
      <c r="L350" s="358"/>
      <c r="M350" s="358"/>
      <c r="N350" s="358"/>
      <c r="O350" s="358"/>
      <c r="P350" s="358"/>
      <c r="Q350" s="358"/>
    </row>
    <row r="351">
      <c r="A351" s="358"/>
      <c r="B351" s="358"/>
      <c r="C351" s="358"/>
      <c r="D351" s="358"/>
      <c r="E351" s="358"/>
      <c r="F351" s="358"/>
      <c r="G351" s="358"/>
      <c r="H351" s="358"/>
      <c r="I351" s="358"/>
      <c r="J351" s="358"/>
      <c r="K351" s="358"/>
      <c r="L351" s="358"/>
      <c r="M351" s="358"/>
      <c r="N351" s="358"/>
      <c r="O351" s="358"/>
      <c r="P351" s="358"/>
      <c r="Q351" s="358"/>
    </row>
    <row r="352">
      <c r="A352" s="358"/>
      <c r="B352" s="358"/>
      <c r="C352" s="358"/>
      <c r="D352" s="358"/>
      <c r="E352" s="358"/>
      <c r="F352" s="358"/>
      <c r="G352" s="358"/>
      <c r="H352" s="358"/>
      <c r="I352" s="358"/>
      <c r="J352" s="358"/>
      <c r="K352" s="358"/>
      <c r="L352" s="358"/>
      <c r="M352" s="358"/>
      <c r="N352" s="358"/>
      <c r="O352" s="358"/>
      <c r="P352" s="358"/>
      <c r="Q352" s="358"/>
    </row>
    <row r="353">
      <c r="A353" s="358"/>
      <c r="B353" s="358"/>
      <c r="C353" s="358"/>
      <c r="D353" s="358"/>
      <c r="E353" s="358"/>
      <c r="F353" s="358"/>
      <c r="G353" s="358"/>
      <c r="H353" s="358"/>
      <c r="I353" s="358"/>
      <c r="J353" s="358"/>
      <c r="K353" s="358"/>
      <c r="L353" s="358"/>
      <c r="M353" s="358"/>
      <c r="N353" s="358"/>
      <c r="O353" s="358"/>
      <c r="P353" s="358"/>
      <c r="Q353" s="358"/>
    </row>
    <row r="354">
      <c r="A354" s="358"/>
      <c r="B354" s="358"/>
      <c r="C354" s="358"/>
      <c r="D354" s="358"/>
      <c r="E354" s="358"/>
      <c r="F354" s="358"/>
      <c r="G354" s="358"/>
      <c r="H354" s="358"/>
      <c r="I354" s="358"/>
      <c r="J354" s="358"/>
      <c r="K354" s="358"/>
      <c r="L354" s="358"/>
      <c r="M354" s="358"/>
      <c r="N354" s="358"/>
      <c r="O354" s="358"/>
      <c r="P354" s="358"/>
      <c r="Q354" s="358"/>
    </row>
    <row r="355">
      <c r="A355" s="358"/>
      <c r="B355" s="358"/>
      <c r="C355" s="358"/>
      <c r="D355" s="358"/>
      <c r="E355" s="358"/>
      <c r="F355" s="358"/>
      <c r="G355" s="358"/>
      <c r="H355" s="358"/>
      <c r="I355" s="358"/>
      <c r="J355" s="358"/>
      <c r="K355" s="358"/>
      <c r="L355" s="358"/>
      <c r="M355" s="358"/>
      <c r="N355" s="358"/>
      <c r="O355" s="358"/>
      <c r="P355" s="358"/>
      <c r="Q355" s="358"/>
    </row>
    <row r="356">
      <c r="A356" s="358"/>
      <c r="B356" s="358"/>
      <c r="C356" s="358"/>
      <c r="D356" s="358"/>
      <c r="E356" s="358"/>
      <c r="F356" s="358"/>
      <c r="G356" s="358"/>
      <c r="H356" s="358"/>
      <c r="I356" s="358"/>
      <c r="J356" s="358"/>
      <c r="K356" s="358"/>
      <c r="L356" s="358"/>
      <c r="M356" s="358"/>
      <c r="N356" s="358"/>
      <c r="O356" s="358"/>
      <c r="P356" s="358"/>
      <c r="Q356" s="358"/>
    </row>
    <row r="357">
      <c r="A357" s="358"/>
      <c r="B357" s="358"/>
      <c r="C357" s="358"/>
      <c r="D357" s="358"/>
      <c r="E357" s="358"/>
      <c r="F357" s="358"/>
      <c r="G357" s="358"/>
      <c r="H357" s="358"/>
      <c r="I357" s="358"/>
      <c r="J357" s="358"/>
      <c r="K357" s="358"/>
      <c r="L357" s="358"/>
      <c r="M357" s="358"/>
      <c r="N357" s="358"/>
      <c r="O357" s="358"/>
      <c r="P357" s="358"/>
      <c r="Q357" s="358"/>
    </row>
    <row r="358">
      <c r="A358" s="358"/>
      <c r="B358" s="358"/>
      <c r="C358" s="358"/>
      <c r="D358" s="358"/>
      <c r="E358" s="358"/>
      <c r="F358" s="358"/>
      <c r="G358" s="358"/>
      <c r="H358" s="358"/>
      <c r="I358" s="358"/>
      <c r="J358" s="358"/>
      <c r="K358" s="358"/>
      <c r="L358" s="358"/>
      <c r="M358" s="358"/>
      <c r="N358" s="358"/>
      <c r="O358" s="358"/>
      <c r="P358" s="358"/>
      <c r="Q358" s="358"/>
    </row>
    <row r="359">
      <c r="A359" s="358"/>
      <c r="B359" s="358"/>
      <c r="C359" s="358"/>
      <c r="D359" s="358"/>
      <c r="E359" s="358"/>
      <c r="F359" s="358"/>
      <c r="G359" s="358"/>
      <c r="H359" s="358"/>
      <c r="I359" s="358"/>
      <c r="J359" s="358"/>
      <c r="K359" s="358"/>
      <c r="L359" s="358"/>
      <c r="M359" s="358"/>
      <c r="N359" s="358"/>
      <c r="O359" s="358"/>
      <c r="P359" s="358"/>
      <c r="Q359" s="358"/>
    </row>
    <row r="360">
      <c r="A360" s="358"/>
      <c r="B360" s="358"/>
      <c r="C360" s="358"/>
      <c r="D360" s="358"/>
      <c r="E360" s="358"/>
      <c r="F360" s="358"/>
      <c r="G360" s="358"/>
      <c r="H360" s="358"/>
      <c r="I360" s="358"/>
      <c r="J360" s="358"/>
      <c r="K360" s="358"/>
      <c r="L360" s="358"/>
      <c r="M360" s="358"/>
      <c r="N360" s="358"/>
      <c r="O360" s="358"/>
      <c r="P360" s="358"/>
      <c r="Q360" s="358"/>
    </row>
    <row r="361">
      <c r="A361" s="358"/>
      <c r="B361" s="358"/>
      <c r="C361" s="358"/>
      <c r="D361" s="358"/>
      <c r="E361" s="358"/>
      <c r="F361" s="358"/>
      <c r="G361" s="358"/>
      <c r="H361" s="358"/>
      <c r="I361" s="358"/>
      <c r="J361" s="358"/>
      <c r="K361" s="358"/>
      <c r="L361" s="358"/>
      <c r="M361" s="358"/>
      <c r="N361" s="358"/>
      <c r="O361" s="358"/>
      <c r="P361" s="358"/>
      <c r="Q361" s="358"/>
    </row>
    <row r="362">
      <c r="A362" s="358"/>
      <c r="B362" s="358"/>
      <c r="C362" s="358"/>
      <c r="D362" s="358"/>
      <c r="E362" s="358"/>
      <c r="F362" s="358"/>
      <c r="G362" s="358"/>
      <c r="H362" s="358"/>
      <c r="I362" s="358"/>
      <c r="J362" s="358"/>
      <c r="K362" s="358"/>
      <c r="L362" s="358"/>
      <c r="M362" s="358"/>
      <c r="N362" s="358"/>
      <c r="O362" s="358"/>
      <c r="P362" s="358"/>
      <c r="Q362" s="358"/>
    </row>
    <row r="363">
      <c r="A363" s="358"/>
      <c r="B363" s="358"/>
      <c r="C363" s="358"/>
      <c r="D363" s="358"/>
      <c r="E363" s="358"/>
      <c r="F363" s="358"/>
      <c r="G363" s="358"/>
      <c r="H363" s="358"/>
      <c r="I363" s="358"/>
      <c r="J363" s="358"/>
      <c r="K363" s="358"/>
      <c r="L363" s="358"/>
      <c r="M363" s="358"/>
      <c r="N363" s="358"/>
      <c r="O363" s="358"/>
      <c r="P363" s="358"/>
      <c r="Q363" s="358"/>
    </row>
    <row r="364">
      <c r="A364" s="358"/>
      <c r="B364" s="358"/>
      <c r="C364" s="358"/>
      <c r="D364" s="358"/>
      <c r="E364" s="358"/>
      <c r="F364" s="358"/>
      <c r="G364" s="358"/>
      <c r="H364" s="358"/>
      <c r="I364" s="358"/>
      <c r="J364" s="358"/>
      <c r="K364" s="358"/>
      <c r="L364" s="358"/>
      <c r="M364" s="358"/>
      <c r="N364" s="358"/>
      <c r="O364" s="358"/>
      <c r="P364" s="358"/>
      <c r="Q364" s="358"/>
    </row>
    <row r="365">
      <c r="A365" s="358"/>
      <c r="B365" s="358"/>
      <c r="C365" s="358"/>
      <c r="D365" s="358"/>
      <c r="E365" s="358"/>
      <c r="F365" s="358"/>
      <c r="G365" s="358"/>
      <c r="H365" s="358"/>
      <c r="I365" s="358"/>
      <c r="J365" s="358"/>
      <c r="K365" s="358"/>
      <c r="L365" s="358"/>
      <c r="M365" s="358"/>
      <c r="N365" s="358"/>
      <c r="O365" s="358"/>
      <c r="P365" s="358"/>
      <c r="Q365" s="358"/>
    </row>
    <row r="366">
      <c r="A366" s="358"/>
      <c r="B366" s="358"/>
      <c r="C366" s="358"/>
      <c r="D366" s="358"/>
      <c r="E366" s="358"/>
      <c r="F366" s="358"/>
      <c r="G366" s="358"/>
      <c r="H366" s="358"/>
      <c r="I366" s="358"/>
      <c r="J366" s="358"/>
      <c r="K366" s="358"/>
      <c r="L366" s="358"/>
      <c r="M366" s="358"/>
      <c r="N366" s="358"/>
      <c r="O366" s="358"/>
      <c r="P366" s="358"/>
      <c r="Q366" s="358"/>
    </row>
    <row r="367">
      <c r="A367" s="358"/>
      <c r="B367" s="358"/>
      <c r="C367" s="358"/>
      <c r="D367" s="358"/>
      <c r="E367" s="358"/>
      <c r="F367" s="358"/>
      <c r="G367" s="358"/>
      <c r="H367" s="358"/>
      <c r="I367" s="358"/>
      <c r="J367" s="358"/>
      <c r="K367" s="358"/>
      <c r="L367" s="358"/>
      <c r="M367" s="358"/>
      <c r="N367" s="358"/>
      <c r="O367" s="358"/>
      <c r="P367" s="358"/>
      <c r="Q367" s="358"/>
    </row>
    <row r="368">
      <c r="A368" s="358"/>
      <c r="B368" s="358"/>
      <c r="C368" s="358"/>
      <c r="D368" s="358"/>
      <c r="E368" s="358"/>
      <c r="F368" s="358"/>
      <c r="G368" s="358"/>
      <c r="H368" s="358"/>
      <c r="I368" s="358"/>
      <c r="J368" s="358"/>
      <c r="K368" s="358"/>
      <c r="L368" s="358"/>
      <c r="M368" s="358"/>
      <c r="N368" s="358"/>
      <c r="O368" s="358"/>
      <c r="P368" s="358"/>
      <c r="Q368" s="358"/>
    </row>
    <row r="369">
      <c r="A369" s="358"/>
      <c r="B369" s="358"/>
      <c r="C369" s="358"/>
      <c r="D369" s="358"/>
      <c r="E369" s="358"/>
      <c r="F369" s="358"/>
      <c r="G369" s="358"/>
      <c r="H369" s="358"/>
      <c r="I369" s="358"/>
      <c r="J369" s="358"/>
      <c r="K369" s="358"/>
      <c r="L369" s="358"/>
      <c r="M369" s="358"/>
      <c r="N369" s="358"/>
      <c r="O369" s="358"/>
      <c r="P369" s="358"/>
      <c r="Q369" s="358"/>
    </row>
    <row r="370">
      <c r="A370" s="358"/>
      <c r="B370" s="358"/>
      <c r="C370" s="358"/>
      <c r="D370" s="358"/>
      <c r="E370" s="358"/>
      <c r="F370" s="358"/>
      <c r="G370" s="358"/>
      <c r="H370" s="358"/>
      <c r="I370" s="358"/>
      <c r="J370" s="358"/>
      <c r="K370" s="358"/>
      <c r="L370" s="358"/>
      <c r="M370" s="358"/>
      <c r="N370" s="358"/>
      <c r="O370" s="358"/>
      <c r="P370" s="358"/>
      <c r="Q370" s="358"/>
    </row>
    <row r="371">
      <c r="A371" s="358"/>
      <c r="B371" s="358"/>
      <c r="C371" s="358"/>
      <c r="D371" s="358"/>
      <c r="E371" s="358"/>
      <c r="F371" s="358"/>
      <c r="G371" s="358"/>
      <c r="H371" s="358"/>
      <c r="I371" s="358"/>
      <c r="J371" s="358"/>
      <c r="K371" s="358"/>
      <c r="L371" s="358"/>
      <c r="M371" s="358"/>
      <c r="N371" s="358"/>
      <c r="O371" s="358"/>
      <c r="P371" s="358"/>
      <c r="Q371" s="358"/>
    </row>
    <row r="372">
      <c r="A372" s="358"/>
      <c r="B372" s="358"/>
      <c r="C372" s="358"/>
      <c r="D372" s="358"/>
      <c r="E372" s="358"/>
      <c r="F372" s="358"/>
      <c r="G372" s="358"/>
      <c r="H372" s="358"/>
      <c r="I372" s="358"/>
      <c r="J372" s="358"/>
      <c r="K372" s="358"/>
      <c r="L372" s="358"/>
      <c r="M372" s="358"/>
      <c r="N372" s="358"/>
      <c r="O372" s="358"/>
      <c r="P372" s="358"/>
      <c r="Q372" s="358"/>
    </row>
    <row r="373">
      <c r="A373" s="358"/>
      <c r="B373" s="358"/>
      <c r="C373" s="358"/>
      <c r="D373" s="358"/>
      <c r="E373" s="358"/>
      <c r="F373" s="358"/>
      <c r="G373" s="358"/>
      <c r="H373" s="358"/>
      <c r="I373" s="358"/>
      <c r="J373" s="358"/>
      <c r="K373" s="358"/>
      <c r="L373" s="358"/>
      <c r="M373" s="358"/>
      <c r="N373" s="358"/>
      <c r="O373" s="358"/>
      <c r="P373" s="358"/>
      <c r="Q373" s="358"/>
    </row>
    <row r="374">
      <c r="A374" s="358"/>
      <c r="B374" s="358"/>
      <c r="C374" s="358"/>
      <c r="D374" s="358"/>
      <c r="E374" s="358"/>
      <c r="F374" s="358"/>
      <c r="G374" s="358"/>
      <c r="H374" s="358"/>
      <c r="I374" s="358"/>
      <c r="J374" s="358"/>
      <c r="K374" s="358"/>
      <c r="L374" s="358"/>
      <c r="M374" s="358"/>
      <c r="N374" s="358"/>
      <c r="O374" s="358"/>
      <c r="P374" s="358"/>
      <c r="Q374" s="358"/>
    </row>
    <row r="375">
      <c r="A375" s="358"/>
      <c r="B375" s="358"/>
      <c r="C375" s="358"/>
      <c r="D375" s="358"/>
      <c r="E375" s="358"/>
      <c r="F375" s="358"/>
      <c r="G375" s="358"/>
      <c r="H375" s="358"/>
      <c r="I375" s="358"/>
      <c r="J375" s="358"/>
      <c r="K375" s="358"/>
      <c r="L375" s="358"/>
      <c r="M375" s="358"/>
      <c r="N375" s="358"/>
      <c r="O375" s="358"/>
      <c r="P375" s="358"/>
      <c r="Q375" s="358"/>
    </row>
    <row r="376">
      <c r="A376" s="358"/>
      <c r="B376" s="358"/>
      <c r="C376" s="358"/>
      <c r="D376" s="358"/>
      <c r="E376" s="358"/>
      <c r="F376" s="358"/>
      <c r="G376" s="358"/>
      <c r="H376" s="358"/>
      <c r="I376" s="358"/>
      <c r="J376" s="358"/>
      <c r="K376" s="358"/>
      <c r="L376" s="358"/>
      <c r="M376" s="358"/>
      <c r="N376" s="358"/>
      <c r="O376" s="358"/>
      <c r="P376" s="358"/>
      <c r="Q376" s="358"/>
    </row>
    <row r="377">
      <c r="A377" s="358"/>
      <c r="B377" s="358"/>
      <c r="C377" s="358"/>
      <c r="D377" s="358"/>
      <c r="E377" s="358"/>
      <c r="F377" s="358"/>
      <c r="G377" s="358"/>
      <c r="H377" s="358"/>
      <c r="I377" s="358"/>
      <c r="J377" s="358"/>
      <c r="K377" s="358"/>
      <c r="L377" s="358"/>
      <c r="M377" s="358"/>
      <c r="N377" s="358"/>
      <c r="O377" s="358"/>
      <c r="P377" s="358"/>
      <c r="Q377" s="358"/>
    </row>
    <row r="378">
      <c r="A378" s="358"/>
      <c r="B378" s="358"/>
      <c r="C378" s="358"/>
      <c r="D378" s="358"/>
      <c r="E378" s="358"/>
      <c r="F378" s="358"/>
      <c r="G378" s="358"/>
      <c r="H378" s="358"/>
      <c r="I378" s="358"/>
      <c r="J378" s="358"/>
      <c r="K378" s="358"/>
      <c r="L378" s="358"/>
      <c r="M378" s="358"/>
      <c r="N378" s="358"/>
      <c r="O378" s="358"/>
      <c r="P378" s="358"/>
      <c r="Q378" s="358"/>
    </row>
    <row r="379">
      <c r="A379" s="358"/>
      <c r="B379" s="358"/>
      <c r="C379" s="358"/>
      <c r="D379" s="358"/>
      <c r="E379" s="358"/>
      <c r="F379" s="358"/>
      <c r="G379" s="358"/>
      <c r="H379" s="358"/>
      <c r="I379" s="358"/>
      <c r="J379" s="358"/>
      <c r="K379" s="358"/>
      <c r="L379" s="358"/>
      <c r="M379" s="358"/>
      <c r="N379" s="358"/>
      <c r="O379" s="358"/>
      <c r="P379" s="358"/>
      <c r="Q379" s="358"/>
    </row>
    <row r="380">
      <c r="A380" s="358"/>
      <c r="B380" s="358"/>
      <c r="C380" s="358"/>
      <c r="D380" s="358"/>
      <c r="E380" s="358"/>
      <c r="F380" s="358"/>
      <c r="G380" s="358"/>
      <c r="H380" s="358"/>
      <c r="I380" s="358"/>
      <c r="J380" s="358"/>
      <c r="K380" s="358"/>
      <c r="L380" s="358"/>
      <c r="M380" s="358"/>
      <c r="N380" s="358"/>
      <c r="O380" s="358"/>
      <c r="P380" s="358"/>
      <c r="Q380" s="358"/>
    </row>
    <row r="381">
      <c r="A381" s="358"/>
      <c r="B381" s="358"/>
      <c r="C381" s="358"/>
      <c r="D381" s="358"/>
      <c r="E381" s="358"/>
      <c r="F381" s="358"/>
      <c r="G381" s="358"/>
      <c r="H381" s="358"/>
      <c r="I381" s="358"/>
      <c r="J381" s="358"/>
      <c r="K381" s="358"/>
      <c r="L381" s="358"/>
      <c r="M381" s="358"/>
      <c r="N381" s="358"/>
      <c r="O381" s="358"/>
      <c r="P381" s="358"/>
      <c r="Q381" s="358"/>
    </row>
    <row r="382">
      <c r="A382" s="358"/>
      <c r="B382" s="358"/>
      <c r="C382" s="358"/>
      <c r="D382" s="358"/>
      <c r="E382" s="358"/>
      <c r="F382" s="358"/>
      <c r="G382" s="358"/>
      <c r="H382" s="358"/>
      <c r="I382" s="358"/>
      <c r="J382" s="358"/>
      <c r="K382" s="358"/>
      <c r="L382" s="358"/>
      <c r="M382" s="358"/>
      <c r="N382" s="358"/>
      <c r="O382" s="358"/>
      <c r="P382" s="358"/>
      <c r="Q382" s="358"/>
    </row>
    <row r="383">
      <c r="A383" s="358"/>
      <c r="B383" s="358"/>
      <c r="C383" s="358"/>
      <c r="D383" s="358"/>
      <c r="E383" s="358"/>
      <c r="F383" s="358"/>
      <c r="G383" s="358"/>
      <c r="H383" s="358"/>
      <c r="I383" s="358"/>
      <c r="J383" s="358"/>
      <c r="K383" s="358"/>
      <c r="L383" s="358"/>
      <c r="M383" s="358"/>
      <c r="N383" s="358"/>
      <c r="O383" s="358"/>
      <c r="P383" s="358"/>
      <c r="Q383" s="358"/>
    </row>
    <row r="384">
      <c r="A384" s="358"/>
      <c r="B384" s="358"/>
      <c r="C384" s="358"/>
      <c r="D384" s="358"/>
      <c r="E384" s="358"/>
      <c r="F384" s="358"/>
      <c r="G384" s="358"/>
      <c r="H384" s="358"/>
      <c r="I384" s="358"/>
      <c r="J384" s="358"/>
      <c r="K384" s="358"/>
      <c r="L384" s="358"/>
      <c r="M384" s="358"/>
      <c r="N384" s="358"/>
      <c r="O384" s="358"/>
      <c r="P384" s="358"/>
      <c r="Q384" s="358"/>
    </row>
    <row r="385">
      <c r="A385" s="358"/>
      <c r="B385" s="358"/>
      <c r="C385" s="358"/>
      <c r="D385" s="358"/>
      <c r="E385" s="358"/>
      <c r="F385" s="358"/>
      <c r="G385" s="358"/>
      <c r="H385" s="358"/>
      <c r="I385" s="358"/>
      <c r="J385" s="358"/>
      <c r="K385" s="358"/>
      <c r="L385" s="358"/>
      <c r="M385" s="358"/>
      <c r="N385" s="358"/>
      <c r="O385" s="358"/>
      <c r="P385" s="358"/>
      <c r="Q385" s="358"/>
    </row>
    <row r="386">
      <c r="A386" s="358"/>
      <c r="B386" s="358"/>
      <c r="C386" s="358"/>
      <c r="D386" s="358"/>
      <c r="E386" s="358"/>
      <c r="F386" s="358"/>
      <c r="G386" s="358"/>
      <c r="H386" s="358"/>
      <c r="I386" s="358"/>
      <c r="J386" s="358"/>
      <c r="K386" s="358"/>
      <c r="L386" s="358"/>
      <c r="M386" s="358"/>
      <c r="N386" s="358"/>
      <c r="O386" s="358"/>
      <c r="P386" s="358"/>
      <c r="Q386" s="358"/>
    </row>
    <row r="387">
      <c r="A387" s="358"/>
      <c r="B387" s="358"/>
      <c r="C387" s="358"/>
      <c r="D387" s="358"/>
      <c r="E387" s="358"/>
      <c r="F387" s="358"/>
      <c r="G387" s="358"/>
      <c r="H387" s="358"/>
      <c r="I387" s="358"/>
      <c r="J387" s="358"/>
      <c r="K387" s="358"/>
      <c r="L387" s="358"/>
      <c r="M387" s="358"/>
      <c r="N387" s="358"/>
      <c r="O387" s="358"/>
      <c r="P387" s="358"/>
      <c r="Q387" s="358"/>
    </row>
    <row r="388">
      <c r="A388" s="358"/>
      <c r="B388" s="358"/>
      <c r="C388" s="358"/>
      <c r="D388" s="358"/>
      <c r="E388" s="358"/>
      <c r="F388" s="358"/>
      <c r="G388" s="358"/>
      <c r="H388" s="358"/>
      <c r="I388" s="358"/>
      <c r="J388" s="358"/>
      <c r="K388" s="358"/>
      <c r="L388" s="358"/>
      <c r="M388" s="358"/>
      <c r="N388" s="358"/>
      <c r="O388" s="358"/>
      <c r="P388" s="358"/>
      <c r="Q388" s="358"/>
    </row>
    <row r="389">
      <c r="A389" s="358"/>
      <c r="B389" s="358"/>
      <c r="C389" s="358"/>
      <c r="D389" s="358"/>
      <c r="E389" s="358"/>
      <c r="F389" s="358"/>
      <c r="G389" s="358"/>
      <c r="H389" s="358"/>
      <c r="I389" s="358"/>
      <c r="J389" s="358"/>
      <c r="K389" s="358"/>
      <c r="L389" s="358"/>
      <c r="M389" s="358"/>
      <c r="N389" s="358"/>
      <c r="O389" s="358"/>
      <c r="P389" s="358"/>
      <c r="Q389" s="358"/>
    </row>
    <row r="390">
      <c r="A390" s="358"/>
      <c r="B390" s="358"/>
      <c r="C390" s="358"/>
      <c r="D390" s="358"/>
      <c r="E390" s="358"/>
      <c r="F390" s="358"/>
      <c r="G390" s="358"/>
      <c r="H390" s="358"/>
      <c r="I390" s="358"/>
      <c r="J390" s="358"/>
      <c r="K390" s="358"/>
      <c r="L390" s="358"/>
      <c r="M390" s="358"/>
      <c r="N390" s="358"/>
      <c r="O390" s="358"/>
      <c r="P390" s="358"/>
      <c r="Q390" s="358"/>
    </row>
    <row r="391">
      <c r="A391" s="358"/>
      <c r="B391" s="358"/>
      <c r="C391" s="358"/>
      <c r="D391" s="358"/>
      <c r="E391" s="358"/>
      <c r="F391" s="358"/>
      <c r="G391" s="358"/>
      <c r="H391" s="358"/>
      <c r="I391" s="358"/>
      <c r="J391" s="358"/>
      <c r="K391" s="358"/>
      <c r="L391" s="358"/>
      <c r="M391" s="358"/>
      <c r="N391" s="358"/>
      <c r="O391" s="358"/>
      <c r="P391" s="358"/>
      <c r="Q391" s="358"/>
    </row>
    <row r="392">
      <c r="A392" s="358"/>
      <c r="B392" s="358"/>
      <c r="C392" s="358"/>
      <c r="D392" s="358"/>
      <c r="E392" s="358"/>
      <c r="F392" s="358"/>
      <c r="G392" s="358"/>
      <c r="H392" s="358"/>
      <c r="I392" s="358"/>
      <c r="J392" s="358"/>
      <c r="K392" s="358"/>
      <c r="L392" s="358"/>
      <c r="M392" s="358"/>
      <c r="N392" s="358"/>
      <c r="O392" s="358"/>
      <c r="P392" s="358"/>
      <c r="Q392" s="358"/>
    </row>
    <row r="393">
      <c r="A393" s="358"/>
      <c r="B393" s="358"/>
      <c r="C393" s="358"/>
      <c r="D393" s="358"/>
      <c r="E393" s="358"/>
      <c r="F393" s="358"/>
      <c r="G393" s="358"/>
      <c r="H393" s="358"/>
      <c r="I393" s="358"/>
      <c r="J393" s="358"/>
      <c r="K393" s="358"/>
      <c r="L393" s="358"/>
      <c r="M393" s="358"/>
      <c r="N393" s="358"/>
      <c r="O393" s="358"/>
      <c r="P393" s="358"/>
      <c r="Q393" s="358"/>
    </row>
    <row r="394">
      <c r="A394" s="358"/>
      <c r="B394" s="358"/>
      <c r="C394" s="358"/>
      <c r="D394" s="358"/>
      <c r="E394" s="358"/>
      <c r="F394" s="358"/>
      <c r="G394" s="358"/>
      <c r="H394" s="358"/>
      <c r="I394" s="358"/>
      <c r="J394" s="358"/>
      <c r="K394" s="358"/>
      <c r="L394" s="358"/>
      <c r="M394" s="358"/>
      <c r="N394" s="358"/>
      <c r="O394" s="358"/>
      <c r="P394" s="358"/>
      <c r="Q394" s="358"/>
    </row>
    <row r="395">
      <c r="A395" s="358"/>
      <c r="B395" s="358"/>
      <c r="C395" s="358"/>
      <c r="D395" s="358"/>
      <c r="E395" s="358"/>
      <c r="F395" s="358"/>
      <c r="G395" s="358"/>
      <c r="H395" s="358"/>
      <c r="I395" s="358"/>
      <c r="J395" s="358"/>
      <c r="K395" s="358"/>
      <c r="L395" s="358"/>
      <c r="M395" s="358"/>
      <c r="N395" s="358"/>
      <c r="O395" s="358"/>
      <c r="P395" s="358"/>
      <c r="Q395" s="358"/>
    </row>
    <row r="396">
      <c r="A396" s="358"/>
      <c r="B396" s="358"/>
      <c r="C396" s="358"/>
      <c r="D396" s="358"/>
      <c r="E396" s="358"/>
      <c r="F396" s="358"/>
      <c r="G396" s="358"/>
      <c r="H396" s="358"/>
      <c r="I396" s="358"/>
      <c r="J396" s="358"/>
      <c r="K396" s="358"/>
      <c r="L396" s="358"/>
      <c r="M396" s="358"/>
      <c r="N396" s="358"/>
      <c r="O396" s="358"/>
      <c r="P396" s="358"/>
      <c r="Q396" s="358"/>
    </row>
    <row r="397">
      <c r="A397" s="358"/>
      <c r="B397" s="358"/>
      <c r="C397" s="358"/>
      <c r="D397" s="358"/>
      <c r="E397" s="358"/>
      <c r="F397" s="358"/>
      <c r="G397" s="358"/>
      <c r="H397" s="358"/>
      <c r="I397" s="358"/>
      <c r="J397" s="358"/>
      <c r="K397" s="358"/>
      <c r="L397" s="358"/>
      <c r="M397" s="358"/>
      <c r="N397" s="358"/>
      <c r="O397" s="358"/>
      <c r="P397" s="358"/>
      <c r="Q397" s="358"/>
    </row>
    <row r="398">
      <c r="A398" s="358"/>
      <c r="B398" s="358"/>
      <c r="C398" s="358"/>
      <c r="D398" s="358"/>
      <c r="E398" s="358"/>
      <c r="F398" s="358"/>
      <c r="G398" s="358"/>
      <c r="H398" s="358"/>
      <c r="I398" s="358"/>
      <c r="J398" s="358"/>
      <c r="K398" s="358"/>
      <c r="L398" s="358"/>
      <c r="M398" s="358"/>
      <c r="N398" s="358"/>
      <c r="O398" s="358"/>
      <c r="P398" s="358"/>
      <c r="Q398" s="358"/>
    </row>
    <row r="399">
      <c r="A399" s="358"/>
      <c r="B399" s="358"/>
      <c r="C399" s="358"/>
      <c r="D399" s="358"/>
      <c r="E399" s="358"/>
      <c r="F399" s="358"/>
      <c r="G399" s="358"/>
      <c r="H399" s="358"/>
      <c r="I399" s="358"/>
      <c r="J399" s="358"/>
      <c r="K399" s="358"/>
      <c r="L399" s="358"/>
      <c r="M399" s="358"/>
      <c r="N399" s="358"/>
      <c r="O399" s="358"/>
      <c r="P399" s="358"/>
      <c r="Q399" s="358"/>
    </row>
    <row r="400">
      <c r="A400" s="358"/>
      <c r="B400" s="358"/>
      <c r="C400" s="358"/>
      <c r="D400" s="358"/>
      <c r="E400" s="358"/>
      <c r="F400" s="358"/>
      <c r="G400" s="358"/>
      <c r="H400" s="358"/>
      <c r="I400" s="358"/>
      <c r="J400" s="358"/>
      <c r="K400" s="358"/>
      <c r="L400" s="358"/>
      <c r="M400" s="358"/>
      <c r="N400" s="358"/>
      <c r="O400" s="358"/>
      <c r="P400" s="358"/>
      <c r="Q400" s="358"/>
    </row>
    <row r="401">
      <c r="A401" s="358"/>
      <c r="B401" s="358"/>
      <c r="C401" s="358"/>
      <c r="D401" s="358"/>
      <c r="E401" s="358"/>
      <c r="F401" s="358"/>
      <c r="G401" s="358"/>
      <c r="H401" s="358"/>
      <c r="I401" s="358"/>
      <c r="J401" s="358"/>
      <c r="K401" s="358"/>
      <c r="L401" s="358"/>
      <c r="M401" s="358"/>
      <c r="N401" s="358"/>
      <c r="O401" s="358"/>
      <c r="P401" s="358"/>
      <c r="Q401" s="358"/>
    </row>
    <row r="402">
      <c r="A402" s="358"/>
      <c r="B402" s="358"/>
      <c r="C402" s="358"/>
      <c r="D402" s="358"/>
      <c r="E402" s="358"/>
      <c r="F402" s="358"/>
      <c r="G402" s="358"/>
      <c r="H402" s="358"/>
      <c r="I402" s="358"/>
      <c r="J402" s="358"/>
      <c r="K402" s="358"/>
      <c r="L402" s="358"/>
      <c r="M402" s="358"/>
      <c r="N402" s="358"/>
      <c r="O402" s="358"/>
      <c r="P402" s="358"/>
      <c r="Q402" s="358"/>
    </row>
    <row r="403">
      <c r="A403" s="358"/>
      <c r="B403" s="358"/>
      <c r="C403" s="358"/>
      <c r="D403" s="358"/>
      <c r="E403" s="358"/>
      <c r="F403" s="358"/>
      <c r="G403" s="358"/>
      <c r="H403" s="358"/>
      <c r="I403" s="358"/>
      <c r="J403" s="358"/>
      <c r="K403" s="358"/>
      <c r="L403" s="358"/>
      <c r="M403" s="358"/>
      <c r="N403" s="358"/>
      <c r="O403" s="358"/>
      <c r="P403" s="358"/>
      <c r="Q403" s="358"/>
    </row>
    <row r="404">
      <c r="A404" s="358"/>
      <c r="B404" s="358"/>
      <c r="C404" s="358"/>
      <c r="D404" s="358"/>
      <c r="E404" s="358"/>
      <c r="F404" s="358"/>
      <c r="G404" s="358"/>
      <c r="H404" s="358"/>
      <c r="I404" s="358"/>
      <c r="J404" s="358"/>
      <c r="K404" s="358"/>
      <c r="L404" s="358"/>
      <c r="M404" s="358"/>
      <c r="N404" s="358"/>
      <c r="O404" s="358"/>
      <c r="P404" s="358"/>
      <c r="Q404" s="358"/>
    </row>
    <row r="405">
      <c r="A405" s="358"/>
      <c r="B405" s="358"/>
      <c r="C405" s="358"/>
      <c r="D405" s="358"/>
      <c r="E405" s="358"/>
      <c r="F405" s="358"/>
      <c r="G405" s="358"/>
      <c r="H405" s="358"/>
      <c r="I405" s="358"/>
      <c r="J405" s="358"/>
      <c r="K405" s="358"/>
      <c r="L405" s="358"/>
      <c r="M405" s="358"/>
      <c r="N405" s="358"/>
      <c r="O405" s="358"/>
      <c r="P405" s="358"/>
      <c r="Q405" s="358"/>
    </row>
    <row r="406">
      <c r="A406" s="358"/>
      <c r="B406" s="358"/>
      <c r="C406" s="358"/>
      <c r="D406" s="358"/>
      <c r="E406" s="358"/>
      <c r="F406" s="358"/>
      <c r="G406" s="358"/>
      <c r="H406" s="358"/>
      <c r="I406" s="358"/>
      <c r="J406" s="358"/>
      <c r="K406" s="358"/>
      <c r="L406" s="358"/>
      <c r="M406" s="358"/>
      <c r="N406" s="358"/>
      <c r="O406" s="358"/>
      <c r="P406" s="358"/>
      <c r="Q406" s="358"/>
    </row>
    <row r="407">
      <c r="A407" s="358"/>
      <c r="B407" s="358"/>
      <c r="C407" s="358"/>
      <c r="D407" s="358"/>
      <c r="E407" s="358"/>
      <c r="F407" s="358"/>
      <c r="G407" s="358"/>
      <c r="H407" s="358"/>
      <c r="I407" s="358"/>
      <c r="J407" s="358"/>
      <c r="K407" s="358"/>
      <c r="L407" s="358"/>
      <c r="M407" s="358"/>
      <c r="N407" s="358"/>
      <c r="O407" s="358"/>
      <c r="P407" s="358"/>
      <c r="Q407" s="358"/>
    </row>
    <row r="408">
      <c r="A408" s="358"/>
      <c r="B408" s="358"/>
      <c r="C408" s="358"/>
      <c r="D408" s="358"/>
      <c r="E408" s="358"/>
      <c r="F408" s="358"/>
      <c r="G408" s="358"/>
      <c r="H408" s="358"/>
      <c r="I408" s="358"/>
      <c r="J408" s="358"/>
      <c r="K408" s="358"/>
      <c r="L408" s="358"/>
      <c r="M408" s="358"/>
      <c r="N408" s="358"/>
      <c r="O408" s="358"/>
      <c r="P408" s="358"/>
      <c r="Q408" s="358"/>
    </row>
    <row r="409">
      <c r="A409" s="358"/>
      <c r="B409" s="358"/>
      <c r="C409" s="358"/>
      <c r="D409" s="358"/>
      <c r="E409" s="358"/>
      <c r="F409" s="358"/>
      <c r="G409" s="358"/>
      <c r="H409" s="358"/>
      <c r="I409" s="358"/>
      <c r="J409" s="358"/>
      <c r="K409" s="358"/>
      <c r="L409" s="358"/>
      <c r="M409" s="358"/>
      <c r="N409" s="358"/>
      <c r="O409" s="358"/>
      <c r="P409" s="358"/>
      <c r="Q409" s="358"/>
    </row>
    <row r="410">
      <c r="A410" s="358"/>
      <c r="B410" s="358"/>
      <c r="C410" s="358"/>
      <c r="D410" s="358"/>
      <c r="E410" s="358"/>
      <c r="F410" s="358"/>
      <c r="G410" s="358"/>
      <c r="H410" s="358"/>
      <c r="I410" s="358"/>
      <c r="J410" s="358"/>
      <c r="K410" s="358"/>
      <c r="L410" s="358"/>
      <c r="M410" s="358"/>
      <c r="N410" s="358"/>
      <c r="O410" s="358"/>
      <c r="P410" s="358"/>
      <c r="Q410" s="358"/>
    </row>
    <row r="411">
      <c r="A411" s="358"/>
      <c r="B411" s="358"/>
      <c r="C411" s="358"/>
      <c r="D411" s="358"/>
      <c r="E411" s="358"/>
      <c r="F411" s="358"/>
      <c r="G411" s="358"/>
      <c r="H411" s="358"/>
      <c r="I411" s="358"/>
      <c r="J411" s="358"/>
      <c r="K411" s="358"/>
      <c r="L411" s="358"/>
      <c r="M411" s="358"/>
      <c r="N411" s="358"/>
      <c r="O411" s="358"/>
      <c r="P411" s="358"/>
      <c r="Q411" s="358"/>
    </row>
    <row r="412">
      <c r="A412" s="358"/>
      <c r="B412" s="358"/>
      <c r="C412" s="358"/>
      <c r="D412" s="358"/>
      <c r="E412" s="358"/>
      <c r="F412" s="358"/>
      <c r="G412" s="358"/>
      <c r="H412" s="358"/>
      <c r="I412" s="358"/>
      <c r="J412" s="358"/>
      <c r="K412" s="358"/>
      <c r="L412" s="358"/>
      <c r="M412" s="358"/>
      <c r="N412" s="358"/>
      <c r="O412" s="358"/>
      <c r="P412" s="358"/>
      <c r="Q412" s="358"/>
    </row>
    <row r="413">
      <c r="A413" s="358"/>
      <c r="B413" s="358"/>
      <c r="C413" s="358"/>
      <c r="D413" s="358"/>
      <c r="E413" s="358"/>
      <c r="F413" s="358"/>
      <c r="G413" s="358"/>
      <c r="H413" s="358"/>
      <c r="I413" s="358"/>
      <c r="J413" s="358"/>
      <c r="K413" s="358"/>
      <c r="L413" s="358"/>
      <c r="M413" s="358"/>
      <c r="N413" s="358"/>
      <c r="O413" s="358"/>
      <c r="P413" s="358"/>
      <c r="Q413" s="358"/>
    </row>
    <row r="414">
      <c r="A414" s="358"/>
      <c r="B414" s="358"/>
      <c r="C414" s="358"/>
      <c r="D414" s="358"/>
      <c r="E414" s="358"/>
      <c r="F414" s="358"/>
      <c r="G414" s="358"/>
      <c r="H414" s="358"/>
      <c r="I414" s="358"/>
      <c r="J414" s="358"/>
      <c r="K414" s="358"/>
      <c r="L414" s="358"/>
      <c r="M414" s="358"/>
      <c r="N414" s="358"/>
      <c r="O414" s="358"/>
      <c r="P414" s="358"/>
      <c r="Q414" s="358"/>
    </row>
    <row r="415">
      <c r="A415" s="358"/>
      <c r="B415" s="358"/>
      <c r="C415" s="358"/>
      <c r="D415" s="358"/>
      <c r="E415" s="358"/>
      <c r="F415" s="358"/>
      <c r="G415" s="358"/>
      <c r="H415" s="358"/>
      <c r="I415" s="358"/>
      <c r="J415" s="358"/>
      <c r="K415" s="358"/>
      <c r="L415" s="358"/>
      <c r="M415" s="358"/>
      <c r="N415" s="358"/>
      <c r="O415" s="358"/>
      <c r="P415" s="358"/>
      <c r="Q415" s="358"/>
    </row>
    <row r="416">
      <c r="A416" s="358"/>
      <c r="B416" s="358"/>
      <c r="C416" s="358"/>
      <c r="D416" s="358"/>
      <c r="E416" s="358"/>
      <c r="F416" s="358"/>
      <c r="G416" s="358"/>
      <c r="H416" s="358"/>
      <c r="I416" s="358"/>
      <c r="J416" s="358"/>
      <c r="K416" s="358"/>
      <c r="L416" s="358"/>
      <c r="M416" s="358"/>
      <c r="N416" s="358"/>
      <c r="O416" s="358"/>
      <c r="P416" s="358"/>
      <c r="Q416" s="358"/>
    </row>
    <row r="417">
      <c r="A417" s="358"/>
      <c r="B417" s="358"/>
      <c r="C417" s="358"/>
      <c r="D417" s="358"/>
      <c r="E417" s="358"/>
      <c r="F417" s="358"/>
      <c r="G417" s="358"/>
      <c r="H417" s="358"/>
      <c r="I417" s="358"/>
      <c r="J417" s="358"/>
      <c r="K417" s="358"/>
      <c r="L417" s="358"/>
      <c r="M417" s="358"/>
      <c r="N417" s="358"/>
      <c r="O417" s="358"/>
      <c r="P417" s="358"/>
      <c r="Q417" s="358"/>
    </row>
    <row r="418">
      <c r="A418" s="358"/>
      <c r="B418" s="358"/>
      <c r="C418" s="358"/>
      <c r="D418" s="358"/>
      <c r="E418" s="358"/>
      <c r="F418" s="358"/>
      <c r="G418" s="358"/>
      <c r="H418" s="358"/>
      <c r="I418" s="358"/>
      <c r="J418" s="358"/>
      <c r="K418" s="358"/>
      <c r="L418" s="358"/>
      <c r="M418" s="358"/>
      <c r="N418" s="358"/>
      <c r="O418" s="358"/>
      <c r="P418" s="358"/>
      <c r="Q418" s="358"/>
    </row>
    <row r="419">
      <c r="A419" s="358"/>
      <c r="B419" s="358"/>
      <c r="C419" s="358"/>
      <c r="D419" s="358"/>
      <c r="E419" s="358"/>
      <c r="F419" s="358"/>
      <c r="G419" s="358"/>
      <c r="H419" s="358"/>
      <c r="I419" s="358"/>
      <c r="J419" s="358"/>
      <c r="K419" s="358"/>
      <c r="L419" s="358"/>
      <c r="M419" s="358"/>
      <c r="N419" s="358"/>
      <c r="O419" s="358"/>
      <c r="P419" s="358"/>
      <c r="Q419" s="358"/>
    </row>
    <row r="420">
      <c r="A420" s="358"/>
      <c r="B420" s="358"/>
      <c r="C420" s="358"/>
      <c r="D420" s="358"/>
      <c r="E420" s="358"/>
      <c r="F420" s="358"/>
      <c r="G420" s="358"/>
      <c r="H420" s="358"/>
      <c r="I420" s="358"/>
      <c r="J420" s="358"/>
      <c r="K420" s="358"/>
      <c r="L420" s="358"/>
      <c r="M420" s="358"/>
      <c r="N420" s="358"/>
      <c r="O420" s="358"/>
      <c r="P420" s="358"/>
      <c r="Q420" s="358"/>
    </row>
    <row r="421">
      <c r="A421" s="358"/>
      <c r="B421" s="358"/>
      <c r="C421" s="358"/>
      <c r="D421" s="358"/>
      <c r="E421" s="358"/>
      <c r="F421" s="358"/>
      <c r="G421" s="358"/>
      <c r="H421" s="358"/>
      <c r="I421" s="358"/>
      <c r="J421" s="358"/>
      <c r="K421" s="358"/>
      <c r="L421" s="358"/>
      <c r="M421" s="358"/>
      <c r="N421" s="358"/>
      <c r="O421" s="358"/>
      <c r="P421" s="358"/>
      <c r="Q421" s="358"/>
    </row>
    <row r="422">
      <c r="A422" s="358"/>
      <c r="B422" s="358"/>
      <c r="C422" s="358"/>
      <c r="D422" s="358"/>
      <c r="E422" s="358"/>
      <c r="F422" s="358"/>
      <c r="G422" s="358"/>
      <c r="H422" s="358"/>
      <c r="I422" s="358"/>
      <c r="J422" s="358"/>
      <c r="K422" s="358"/>
      <c r="L422" s="358"/>
      <c r="M422" s="358"/>
      <c r="N422" s="358"/>
      <c r="O422" s="358"/>
      <c r="P422" s="358"/>
      <c r="Q422" s="358"/>
    </row>
    <row r="423">
      <c r="A423" s="358"/>
      <c r="B423" s="358"/>
      <c r="C423" s="358"/>
      <c r="D423" s="358"/>
      <c r="E423" s="358"/>
      <c r="F423" s="358"/>
      <c r="G423" s="358"/>
      <c r="H423" s="358"/>
      <c r="I423" s="358"/>
      <c r="J423" s="358"/>
      <c r="K423" s="358"/>
      <c r="L423" s="358"/>
      <c r="M423" s="358"/>
      <c r="N423" s="358"/>
      <c r="O423" s="358"/>
      <c r="P423" s="358"/>
      <c r="Q423" s="358"/>
    </row>
    <row r="424">
      <c r="A424" s="358"/>
      <c r="B424" s="358"/>
      <c r="C424" s="358"/>
      <c r="D424" s="358"/>
      <c r="E424" s="358"/>
      <c r="F424" s="358"/>
      <c r="G424" s="358"/>
      <c r="H424" s="358"/>
      <c r="I424" s="358"/>
      <c r="J424" s="358"/>
      <c r="K424" s="358"/>
      <c r="L424" s="358"/>
      <c r="M424" s="358"/>
      <c r="N424" s="358"/>
      <c r="O424" s="358"/>
      <c r="P424" s="358"/>
      <c r="Q424" s="358"/>
    </row>
    <row r="425">
      <c r="A425" s="358"/>
      <c r="B425" s="358"/>
      <c r="C425" s="358"/>
      <c r="D425" s="358"/>
      <c r="E425" s="358"/>
      <c r="F425" s="358"/>
      <c r="G425" s="358"/>
      <c r="H425" s="358"/>
      <c r="I425" s="358"/>
      <c r="J425" s="358"/>
      <c r="K425" s="358"/>
      <c r="L425" s="358"/>
      <c r="M425" s="358"/>
      <c r="N425" s="358"/>
      <c r="O425" s="358"/>
      <c r="P425" s="358"/>
      <c r="Q425" s="358"/>
    </row>
    <row r="426">
      <c r="A426" s="358"/>
      <c r="B426" s="358"/>
      <c r="C426" s="358"/>
      <c r="D426" s="358"/>
      <c r="E426" s="358"/>
      <c r="F426" s="358"/>
      <c r="G426" s="358"/>
      <c r="H426" s="358"/>
      <c r="I426" s="358"/>
      <c r="J426" s="358"/>
      <c r="K426" s="358"/>
      <c r="L426" s="358"/>
      <c r="M426" s="358"/>
      <c r="N426" s="358"/>
      <c r="O426" s="358"/>
      <c r="P426" s="358"/>
      <c r="Q426" s="358"/>
    </row>
    <row r="427">
      <c r="A427" s="358"/>
      <c r="B427" s="358"/>
      <c r="C427" s="358"/>
      <c r="D427" s="358"/>
      <c r="E427" s="358"/>
      <c r="F427" s="358"/>
      <c r="G427" s="358"/>
      <c r="H427" s="358"/>
      <c r="I427" s="358"/>
      <c r="J427" s="358"/>
      <c r="K427" s="358"/>
      <c r="L427" s="358"/>
      <c r="M427" s="358"/>
      <c r="N427" s="358"/>
      <c r="O427" s="358"/>
      <c r="P427" s="358"/>
      <c r="Q427" s="358"/>
    </row>
    <row r="428">
      <c r="A428" s="358"/>
      <c r="B428" s="358"/>
      <c r="C428" s="358"/>
      <c r="D428" s="358"/>
      <c r="E428" s="358"/>
      <c r="F428" s="358"/>
      <c r="G428" s="358"/>
      <c r="H428" s="358"/>
      <c r="I428" s="358"/>
      <c r="J428" s="358"/>
      <c r="K428" s="358"/>
      <c r="L428" s="358"/>
      <c r="M428" s="358"/>
      <c r="N428" s="358"/>
      <c r="O428" s="358"/>
      <c r="P428" s="358"/>
      <c r="Q428" s="358"/>
    </row>
    <row r="429">
      <c r="A429" s="358"/>
      <c r="B429" s="358"/>
      <c r="C429" s="358"/>
      <c r="D429" s="358"/>
      <c r="E429" s="358"/>
      <c r="F429" s="358"/>
      <c r="G429" s="358"/>
      <c r="H429" s="358"/>
      <c r="I429" s="358"/>
      <c r="J429" s="358"/>
      <c r="K429" s="358"/>
      <c r="L429" s="358"/>
      <c r="M429" s="358"/>
      <c r="N429" s="358"/>
      <c r="O429" s="358"/>
      <c r="P429" s="358"/>
      <c r="Q429" s="358"/>
    </row>
    <row r="430">
      <c r="A430" s="358"/>
      <c r="B430" s="358"/>
      <c r="C430" s="358"/>
      <c r="D430" s="358"/>
      <c r="E430" s="358"/>
      <c r="F430" s="358"/>
      <c r="G430" s="358"/>
      <c r="H430" s="358"/>
      <c r="I430" s="358"/>
      <c r="J430" s="358"/>
      <c r="K430" s="358"/>
      <c r="L430" s="358"/>
      <c r="M430" s="358"/>
      <c r="N430" s="358"/>
      <c r="O430" s="358"/>
      <c r="P430" s="358"/>
      <c r="Q430" s="358"/>
    </row>
    <row r="431">
      <c r="A431" s="358"/>
      <c r="B431" s="358"/>
      <c r="C431" s="358"/>
      <c r="D431" s="358"/>
      <c r="E431" s="358"/>
      <c r="F431" s="358"/>
      <c r="G431" s="358"/>
      <c r="H431" s="358"/>
      <c r="I431" s="358"/>
      <c r="J431" s="358"/>
      <c r="K431" s="358"/>
      <c r="L431" s="358"/>
      <c r="M431" s="358"/>
      <c r="N431" s="358"/>
      <c r="O431" s="358"/>
      <c r="P431" s="358"/>
      <c r="Q431" s="358"/>
    </row>
    <row r="432">
      <c r="A432" s="358"/>
      <c r="B432" s="358"/>
      <c r="C432" s="358"/>
      <c r="D432" s="358"/>
      <c r="E432" s="358"/>
      <c r="F432" s="358"/>
      <c r="G432" s="358"/>
      <c r="H432" s="358"/>
      <c r="I432" s="358"/>
      <c r="J432" s="358"/>
      <c r="K432" s="358"/>
      <c r="L432" s="358"/>
      <c r="M432" s="358"/>
      <c r="N432" s="358"/>
      <c r="O432" s="358"/>
      <c r="P432" s="358"/>
      <c r="Q432" s="358"/>
    </row>
    <row r="433">
      <c r="A433" s="358"/>
      <c r="B433" s="358"/>
      <c r="C433" s="358"/>
      <c r="D433" s="358"/>
      <c r="E433" s="358"/>
      <c r="F433" s="358"/>
      <c r="G433" s="358"/>
      <c r="H433" s="358"/>
      <c r="I433" s="358"/>
      <c r="J433" s="358"/>
      <c r="K433" s="358"/>
      <c r="L433" s="358"/>
      <c r="M433" s="358"/>
      <c r="N433" s="358"/>
      <c r="O433" s="358"/>
      <c r="P433" s="358"/>
      <c r="Q433" s="358"/>
    </row>
    <row r="434">
      <c r="A434" s="358"/>
      <c r="B434" s="358"/>
      <c r="C434" s="358"/>
      <c r="D434" s="358"/>
      <c r="E434" s="358"/>
      <c r="F434" s="358"/>
      <c r="G434" s="358"/>
      <c r="H434" s="358"/>
      <c r="I434" s="358"/>
      <c r="J434" s="358"/>
      <c r="K434" s="358"/>
      <c r="L434" s="358"/>
      <c r="M434" s="358"/>
      <c r="N434" s="358"/>
      <c r="O434" s="358"/>
      <c r="P434" s="358"/>
      <c r="Q434" s="358"/>
    </row>
    <row r="435">
      <c r="A435" s="358"/>
      <c r="B435" s="358"/>
      <c r="C435" s="358"/>
      <c r="D435" s="358"/>
      <c r="E435" s="358"/>
      <c r="F435" s="358"/>
      <c r="G435" s="358"/>
      <c r="H435" s="358"/>
      <c r="I435" s="358"/>
      <c r="J435" s="358"/>
      <c r="K435" s="358"/>
      <c r="L435" s="358"/>
      <c r="M435" s="358"/>
      <c r="N435" s="358"/>
      <c r="O435" s="358"/>
      <c r="P435" s="358"/>
      <c r="Q435" s="358"/>
    </row>
    <row r="436">
      <c r="A436" s="358"/>
      <c r="B436" s="358"/>
      <c r="C436" s="358"/>
      <c r="D436" s="358"/>
      <c r="E436" s="358"/>
      <c r="F436" s="358"/>
      <c r="G436" s="358"/>
      <c r="H436" s="358"/>
      <c r="I436" s="358"/>
      <c r="J436" s="358"/>
      <c r="K436" s="358"/>
      <c r="L436" s="358"/>
      <c r="M436" s="358"/>
      <c r="N436" s="358"/>
      <c r="O436" s="358"/>
      <c r="P436" s="358"/>
      <c r="Q436" s="358"/>
    </row>
    <row r="437">
      <c r="A437" s="358"/>
      <c r="B437" s="358"/>
      <c r="C437" s="358"/>
      <c r="D437" s="358"/>
      <c r="E437" s="358"/>
      <c r="F437" s="358"/>
      <c r="G437" s="358"/>
      <c r="H437" s="358"/>
      <c r="I437" s="358"/>
      <c r="J437" s="358"/>
      <c r="K437" s="358"/>
      <c r="L437" s="358"/>
      <c r="M437" s="358"/>
      <c r="N437" s="358"/>
      <c r="O437" s="358"/>
      <c r="P437" s="358"/>
      <c r="Q437" s="358"/>
    </row>
    <row r="438">
      <c r="A438" s="358"/>
      <c r="B438" s="358"/>
      <c r="C438" s="358"/>
      <c r="D438" s="358"/>
      <c r="E438" s="358"/>
      <c r="F438" s="358"/>
      <c r="G438" s="358"/>
      <c r="H438" s="358"/>
      <c r="I438" s="358"/>
      <c r="J438" s="358"/>
      <c r="K438" s="358"/>
      <c r="L438" s="358"/>
      <c r="M438" s="358"/>
      <c r="N438" s="358"/>
      <c r="O438" s="358"/>
      <c r="P438" s="358"/>
      <c r="Q438" s="358"/>
    </row>
    <row r="439">
      <c r="A439" s="358"/>
      <c r="B439" s="358"/>
      <c r="C439" s="358"/>
      <c r="D439" s="358"/>
      <c r="E439" s="358"/>
      <c r="F439" s="358"/>
      <c r="G439" s="358"/>
      <c r="H439" s="358"/>
      <c r="I439" s="358"/>
      <c r="J439" s="358"/>
      <c r="K439" s="358"/>
      <c r="L439" s="358"/>
      <c r="M439" s="358"/>
      <c r="N439" s="358"/>
      <c r="O439" s="358"/>
      <c r="P439" s="358"/>
      <c r="Q439" s="358"/>
    </row>
    <row r="440">
      <c r="A440" s="358"/>
      <c r="B440" s="358"/>
      <c r="C440" s="358"/>
      <c r="D440" s="358"/>
      <c r="E440" s="358"/>
      <c r="F440" s="358"/>
      <c r="G440" s="358"/>
      <c r="H440" s="358"/>
      <c r="I440" s="358"/>
      <c r="J440" s="358"/>
      <c r="K440" s="358"/>
      <c r="L440" s="358"/>
      <c r="M440" s="358"/>
      <c r="N440" s="358"/>
      <c r="O440" s="358"/>
      <c r="P440" s="358"/>
      <c r="Q440" s="358"/>
    </row>
    <row r="441">
      <c r="A441" s="358"/>
      <c r="B441" s="358"/>
      <c r="C441" s="358"/>
      <c r="D441" s="358"/>
      <c r="E441" s="358"/>
      <c r="F441" s="358"/>
      <c r="G441" s="358"/>
      <c r="H441" s="358"/>
      <c r="I441" s="358"/>
      <c r="J441" s="358"/>
      <c r="K441" s="358"/>
      <c r="L441" s="358"/>
      <c r="M441" s="358"/>
      <c r="N441" s="358"/>
      <c r="O441" s="358"/>
      <c r="P441" s="358"/>
      <c r="Q441" s="358"/>
    </row>
    <row r="442">
      <c r="A442" s="358"/>
      <c r="B442" s="358"/>
      <c r="C442" s="358"/>
      <c r="D442" s="358"/>
      <c r="E442" s="358"/>
      <c r="F442" s="358"/>
      <c r="G442" s="358"/>
      <c r="H442" s="358"/>
      <c r="I442" s="358"/>
      <c r="J442" s="358"/>
      <c r="K442" s="358"/>
      <c r="L442" s="358"/>
      <c r="M442" s="358"/>
      <c r="N442" s="358"/>
      <c r="O442" s="358"/>
      <c r="P442" s="358"/>
      <c r="Q442" s="358"/>
    </row>
    <row r="443">
      <c r="A443" s="358"/>
      <c r="B443" s="358"/>
      <c r="C443" s="358"/>
      <c r="D443" s="358"/>
      <c r="E443" s="358"/>
      <c r="F443" s="358"/>
      <c r="G443" s="358"/>
      <c r="H443" s="358"/>
      <c r="I443" s="358"/>
      <c r="J443" s="358"/>
      <c r="K443" s="358"/>
      <c r="L443" s="358"/>
      <c r="M443" s="358"/>
      <c r="N443" s="358"/>
      <c r="O443" s="358"/>
      <c r="P443" s="358"/>
      <c r="Q443" s="358"/>
    </row>
    <row r="444">
      <c r="A444" s="358"/>
      <c r="B444" s="358"/>
      <c r="C444" s="358"/>
      <c r="D444" s="358"/>
      <c r="E444" s="358"/>
      <c r="F444" s="358"/>
      <c r="G444" s="358"/>
      <c r="H444" s="358"/>
      <c r="I444" s="358"/>
      <c r="J444" s="358"/>
      <c r="K444" s="358"/>
      <c r="L444" s="358"/>
      <c r="M444" s="358"/>
      <c r="N444" s="358"/>
      <c r="O444" s="358"/>
      <c r="P444" s="358"/>
      <c r="Q444" s="358"/>
    </row>
    <row r="445">
      <c r="A445" s="358"/>
      <c r="B445" s="358"/>
      <c r="C445" s="358"/>
      <c r="D445" s="358"/>
      <c r="E445" s="358"/>
      <c r="F445" s="358"/>
      <c r="G445" s="358"/>
      <c r="H445" s="358"/>
      <c r="I445" s="358"/>
      <c r="J445" s="358"/>
      <c r="K445" s="358"/>
      <c r="L445" s="358"/>
      <c r="M445" s="358"/>
      <c r="N445" s="358"/>
      <c r="O445" s="358"/>
      <c r="P445" s="358"/>
      <c r="Q445" s="358"/>
    </row>
    <row r="446">
      <c r="A446" s="358"/>
      <c r="B446" s="358"/>
      <c r="C446" s="358"/>
      <c r="D446" s="358"/>
      <c r="E446" s="358"/>
      <c r="F446" s="358"/>
      <c r="G446" s="358"/>
      <c r="H446" s="358"/>
      <c r="I446" s="358"/>
      <c r="J446" s="358"/>
      <c r="K446" s="358"/>
      <c r="L446" s="358"/>
      <c r="M446" s="358"/>
      <c r="N446" s="358"/>
      <c r="O446" s="358"/>
      <c r="P446" s="358"/>
      <c r="Q446" s="358"/>
    </row>
    <row r="447">
      <c r="A447" s="358"/>
      <c r="B447" s="358"/>
      <c r="C447" s="358"/>
      <c r="D447" s="358"/>
      <c r="E447" s="358"/>
      <c r="F447" s="358"/>
      <c r="G447" s="358"/>
      <c r="H447" s="358"/>
      <c r="I447" s="358"/>
      <c r="J447" s="358"/>
      <c r="K447" s="358"/>
      <c r="L447" s="358"/>
      <c r="M447" s="358"/>
      <c r="N447" s="358"/>
      <c r="O447" s="358"/>
      <c r="P447" s="358"/>
      <c r="Q447" s="358"/>
    </row>
    <row r="448">
      <c r="A448" s="358"/>
      <c r="B448" s="358"/>
      <c r="C448" s="358"/>
      <c r="D448" s="358"/>
      <c r="E448" s="358"/>
      <c r="F448" s="358"/>
      <c r="G448" s="358"/>
      <c r="H448" s="358"/>
      <c r="I448" s="358"/>
      <c r="J448" s="358"/>
      <c r="K448" s="358"/>
      <c r="L448" s="358"/>
      <c r="M448" s="358"/>
      <c r="N448" s="358"/>
      <c r="O448" s="358"/>
      <c r="P448" s="358"/>
      <c r="Q448" s="358"/>
    </row>
    <row r="449">
      <c r="A449" s="358"/>
      <c r="B449" s="358"/>
      <c r="C449" s="358"/>
      <c r="D449" s="358"/>
      <c r="E449" s="358"/>
      <c r="F449" s="358"/>
      <c r="G449" s="358"/>
      <c r="H449" s="358"/>
      <c r="I449" s="358"/>
      <c r="J449" s="358"/>
      <c r="K449" s="358"/>
      <c r="L449" s="358"/>
      <c r="M449" s="358"/>
      <c r="N449" s="358"/>
      <c r="O449" s="358"/>
      <c r="P449" s="358"/>
      <c r="Q449" s="358"/>
    </row>
    <row r="450">
      <c r="A450" s="358"/>
      <c r="B450" s="358"/>
      <c r="C450" s="358"/>
      <c r="D450" s="358"/>
      <c r="E450" s="358"/>
      <c r="F450" s="358"/>
      <c r="G450" s="358"/>
      <c r="H450" s="358"/>
      <c r="I450" s="358"/>
      <c r="J450" s="358"/>
      <c r="K450" s="358"/>
      <c r="L450" s="358"/>
      <c r="M450" s="358"/>
      <c r="N450" s="358"/>
      <c r="O450" s="358"/>
      <c r="P450" s="358"/>
      <c r="Q450" s="358"/>
    </row>
    <row r="451">
      <c r="A451" s="358"/>
      <c r="B451" s="358"/>
      <c r="C451" s="358"/>
      <c r="D451" s="358"/>
      <c r="E451" s="358"/>
      <c r="F451" s="358"/>
      <c r="G451" s="358"/>
      <c r="H451" s="358"/>
      <c r="I451" s="358"/>
      <c r="J451" s="358"/>
      <c r="K451" s="358"/>
      <c r="L451" s="358"/>
      <c r="M451" s="358"/>
      <c r="N451" s="358"/>
      <c r="O451" s="358"/>
      <c r="P451" s="358"/>
      <c r="Q451" s="358"/>
    </row>
    <row r="452">
      <c r="A452" s="358"/>
      <c r="B452" s="358"/>
      <c r="C452" s="358"/>
      <c r="D452" s="358"/>
      <c r="E452" s="358"/>
      <c r="F452" s="358"/>
      <c r="G452" s="358"/>
      <c r="H452" s="358"/>
      <c r="I452" s="358"/>
      <c r="J452" s="358"/>
      <c r="K452" s="358"/>
      <c r="L452" s="358"/>
      <c r="M452" s="358"/>
      <c r="N452" s="358"/>
      <c r="O452" s="358"/>
      <c r="P452" s="358"/>
      <c r="Q452" s="358"/>
    </row>
    <row r="453">
      <c r="A453" s="358"/>
      <c r="B453" s="358"/>
      <c r="C453" s="358"/>
      <c r="D453" s="358"/>
      <c r="E453" s="358"/>
      <c r="F453" s="358"/>
      <c r="G453" s="358"/>
      <c r="H453" s="358"/>
      <c r="I453" s="358"/>
      <c r="J453" s="358"/>
      <c r="K453" s="358"/>
      <c r="L453" s="358"/>
      <c r="M453" s="358"/>
      <c r="N453" s="358"/>
      <c r="O453" s="358"/>
      <c r="P453" s="358"/>
      <c r="Q453" s="358"/>
    </row>
    <row r="454">
      <c r="A454" s="358"/>
      <c r="B454" s="358"/>
      <c r="C454" s="358"/>
      <c r="D454" s="358"/>
      <c r="E454" s="358"/>
      <c r="F454" s="358"/>
      <c r="G454" s="358"/>
      <c r="H454" s="358"/>
      <c r="I454" s="358"/>
      <c r="J454" s="358"/>
      <c r="K454" s="358"/>
      <c r="L454" s="358"/>
      <c r="M454" s="358"/>
      <c r="N454" s="358"/>
      <c r="O454" s="358"/>
      <c r="P454" s="358"/>
      <c r="Q454" s="358"/>
    </row>
    <row r="455">
      <c r="A455" s="358"/>
      <c r="B455" s="358"/>
      <c r="C455" s="358"/>
      <c r="D455" s="358"/>
      <c r="E455" s="358"/>
      <c r="F455" s="358"/>
      <c r="G455" s="358"/>
      <c r="H455" s="358"/>
      <c r="I455" s="358"/>
      <c r="J455" s="358"/>
      <c r="K455" s="358"/>
      <c r="L455" s="358"/>
      <c r="M455" s="358"/>
      <c r="N455" s="358"/>
      <c r="O455" s="358"/>
      <c r="P455" s="358"/>
      <c r="Q455" s="358"/>
    </row>
    <row r="456">
      <c r="A456" s="358"/>
      <c r="B456" s="358"/>
      <c r="C456" s="358"/>
      <c r="D456" s="358"/>
      <c r="E456" s="358"/>
      <c r="F456" s="358"/>
      <c r="G456" s="358"/>
      <c r="H456" s="358"/>
      <c r="I456" s="358"/>
      <c r="J456" s="358"/>
      <c r="K456" s="358"/>
      <c r="L456" s="358"/>
      <c r="M456" s="358"/>
      <c r="N456" s="358"/>
      <c r="O456" s="358"/>
      <c r="P456" s="358"/>
      <c r="Q456" s="358"/>
    </row>
    <row r="457">
      <c r="A457" s="358"/>
      <c r="B457" s="358"/>
      <c r="C457" s="358"/>
      <c r="D457" s="358"/>
      <c r="E457" s="358"/>
      <c r="F457" s="358"/>
      <c r="G457" s="358"/>
      <c r="H457" s="358"/>
      <c r="I457" s="358"/>
      <c r="J457" s="358"/>
      <c r="K457" s="358"/>
      <c r="L457" s="358"/>
      <c r="M457" s="358"/>
      <c r="N457" s="358"/>
      <c r="O457" s="358"/>
      <c r="P457" s="358"/>
      <c r="Q457" s="358"/>
    </row>
    <row r="458">
      <c r="A458" s="358"/>
      <c r="B458" s="358"/>
      <c r="C458" s="358"/>
      <c r="D458" s="358"/>
      <c r="E458" s="358"/>
      <c r="F458" s="358"/>
      <c r="G458" s="358"/>
      <c r="H458" s="358"/>
      <c r="I458" s="358"/>
      <c r="J458" s="358"/>
      <c r="K458" s="358"/>
      <c r="L458" s="358"/>
      <c r="M458" s="358"/>
      <c r="N458" s="358"/>
      <c r="O458" s="358"/>
      <c r="P458" s="358"/>
      <c r="Q458" s="358"/>
    </row>
    <row r="459">
      <c r="A459" s="358"/>
      <c r="B459" s="358"/>
      <c r="C459" s="358"/>
      <c r="D459" s="358"/>
      <c r="E459" s="358"/>
      <c r="F459" s="358"/>
      <c r="G459" s="358"/>
      <c r="H459" s="358"/>
      <c r="I459" s="358"/>
      <c r="J459" s="358"/>
      <c r="K459" s="358"/>
      <c r="L459" s="358"/>
      <c r="M459" s="358"/>
      <c r="N459" s="358"/>
      <c r="O459" s="358"/>
      <c r="P459" s="358"/>
      <c r="Q459" s="358"/>
    </row>
    <row r="460">
      <c r="A460" s="358"/>
      <c r="B460" s="358"/>
      <c r="C460" s="358"/>
      <c r="D460" s="358"/>
      <c r="E460" s="358"/>
      <c r="F460" s="358"/>
      <c r="G460" s="358"/>
      <c r="H460" s="358"/>
      <c r="I460" s="358"/>
      <c r="J460" s="358"/>
      <c r="K460" s="358"/>
      <c r="L460" s="358"/>
      <c r="M460" s="358"/>
      <c r="N460" s="358"/>
      <c r="O460" s="358"/>
      <c r="P460" s="358"/>
      <c r="Q460" s="358"/>
    </row>
    <row r="461">
      <c r="A461" s="358"/>
      <c r="B461" s="358"/>
      <c r="C461" s="358"/>
      <c r="D461" s="358"/>
      <c r="E461" s="358"/>
      <c r="F461" s="358"/>
      <c r="G461" s="358"/>
      <c r="H461" s="358"/>
      <c r="I461" s="358"/>
      <c r="J461" s="358"/>
      <c r="K461" s="358"/>
      <c r="L461" s="358"/>
      <c r="M461" s="358"/>
      <c r="N461" s="358"/>
      <c r="O461" s="358"/>
      <c r="P461" s="358"/>
      <c r="Q461" s="358"/>
    </row>
    <row r="462">
      <c r="A462" s="358"/>
      <c r="B462" s="358"/>
      <c r="C462" s="358"/>
      <c r="D462" s="358"/>
      <c r="E462" s="358"/>
      <c r="F462" s="358"/>
      <c r="G462" s="358"/>
      <c r="H462" s="358"/>
      <c r="I462" s="358"/>
      <c r="J462" s="358"/>
      <c r="K462" s="358"/>
      <c r="L462" s="358"/>
      <c r="M462" s="358"/>
      <c r="N462" s="358"/>
      <c r="O462" s="358"/>
      <c r="P462" s="358"/>
      <c r="Q462" s="358"/>
    </row>
    <row r="463">
      <c r="A463" s="358"/>
      <c r="B463" s="358"/>
      <c r="C463" s="358"/>
      <c r="D463" s="358"/>
      <c r="E463" s="358"/>
      <c r="F463" s="358"/>
      <c r="G463" s="358"/>
      <c r="H463" s="358"/>
      <c r="I463" s="358"/>
      <c r="J463" s="358"/>
      <c r="K463" s="358"/>
      <c r="L463" s="358"/>
      <c r="M463" s="358"/>
      <c r="N463" s="358"/>
      <c r="O463" s="358"/>
      <c r="P463" s="358"/>
      <c r="Q463" s="358"/>
    </row>
    <row r="464">
      <c r="A464" s="358"/>
      <c r="B464" s="358"/>
      <c r="C464" s="358"/>
      <c r="D464" s="358"/>
      <c r="E464" s="358"/>
      <c r="F464" s="358"/>
      <c r="G464" s="358"/>
      <c r="H464" s="358"/>
      <c r="I464" s="358"/>
      <c r="J464" s="358"/>
      <c r="K464" s="358"/>
      <c r="L464" s="358"/>
      <c r="M464" s="358"/>
      <c r="N464" s="358"/>
      <c r="O464" s="358"/>
      <c r="P464" s="358"/>
      <c r="Q464" s="358"/>
    </row>
    <row r="465">
      <c r="A465" s="358"/>
      <c r="B465" s="358"/>
      <c r="C465" s="358"/>
      <c r="D465" s="358"/>
      <c r="E465" s="358"/>
      <c r="F465" s="358"/>
      <c r="G465" s="358"/>
      <c r="H465" s="358"/>
      <c r="I465" s="358"/>
      <c r="J465" s="358"/>
      <c r="K465" s="358"/>
      <c r="L465" s="358"/>
      <c r="M465" s="358"/>
      <c r="N465" s="358"/>
      <c r="O465" s="358"/>
      <c r="P465" s="358"/>
      <c r="Q465" s="358"/>
    </row>
    <row r="466">
      <c r="A466" s="358"/>
      <c r="B466" s="358"/>
      <c r="C466" s="358"/>
      <c r="D466" s="358"/>
      <c r="E466" s="358"/>
      <c r="F466" s="358"/>
      <c r="G466" s="358"/>
      <c r="H466" s="358"/>
      <c r="I466" s="358"/>
      <c r="J466" s="358"/>
      <c r="K466" s="358"/>
      <c r="L466" s="358"/>
      <c r="M466" s="358"/>
      <c r="N466" s="358"/>
      <c r="O466" s="358"/>
      <c r="P466" s="358"/>
      <c r="Q466" s="358"/>
    </row>
    <row r="467">
      <c r="A467" s="358"/>
      <c r="B467" s="358"/>
      <c r="C467" s="358"/>
      <c r="D467" s="358"/>
      <c r="E467" s="358"/>
      <c r="F467" s="358"/>
      <c r="G467" s="358"/>
      <c r="H467" s="358"/>
      <c r="I467" s="358"/>
      <c r="J467" s="358"/>
      <c r="K467" s="358"/>
      <c r="L467" s="358"/>
      <c r="M467" s="358"/>
      <c r="N467" s="358"/>
      <c r="O467" s="358"/>
      <c r="P467" s="358"/>
      <c r="Q467" s="358"/>
    </row>
    <row r="468">
      <c r="A468" s="358"/>
      <c r="B468" s="358"/>
      <c r="C468" s="358"/>
      <c r="D468" s="358"/>
      <c r="E468" s="358"/>
      <c r="F468" s="358"/>
      <c r="G468" s="358"/>
      <c r="H468" s="358"/>
      <c r="I468" s="358"/>
      <c r="J468" s="358"/>
      <c r="K468" s="358"/>
      <c r="L468" s="358"/>
      <c r="M468" s="358"/>
      <c r="N468" s="358"/>
      <c r="O468" s="358"/>
      <c r="P468" s="358"/>
      <c r="Q468" s="358"/>
    </row>
    <row r="469">
      <c r="A469" s="358"/>
      <c r="B469" s="358"/>
      <c r="C469" s="358"/>
      <c r="D469" s="358"/>
      <c r="E469" s="358"/>
      <c r="F469" s="358"/>
      <c r="G469" s="358"/>
      <c r="H469" s="358"/>
      <c r="I469" s="358"/>
      <c r="J469" s="358"/>
      <c r="K469" s="358"/>
      <c r="L469" s="358"/>
      <c r="M469" s="358"/>
      <c r="N469" s="358"/>
      <c r="O469" s="358"/>
      <c r="P469" s="358"/>
      <c r="Q469" s="358"/>
    </row>
    <row r="470">
      <c r="A470" s="358"/>
      <c r="B470" s="358"/>
      <c r="C470" s="358"/>
      <c r="D470" s="358"/>
      <c r="E470" s="358"/>
      <c r="F470" s="358"/>
      <c r="G470" s="358"/>
      <c r="H470" s="358"/>
      <c r="I470" s="358"/>
      <c r="J470" s="358"/>
      <c r="K470" s="358"/>
      <c r="L470" s="358"/>
      <c r="M470" s="358"/>
      <c r="N470" s="358"/>
      <c r="O470" s="358"/>
      <c r="P470" s="358"/>
      <c r="Q470" s="358"/>
    </row>
    <row r="471">
      <c r="A471" s="358"/>
      <c r="B471" s="358"/>
      <c r="C471" s="358"/>
      <c r="D471" s="358"/>
      <c r="E471" s="358"/>
      <c r="F471" s="358"/>
      <c r="G471" s="358"/>
      <c r="H471" s="358"/>
      <c r="I471" s="358"/>
      <c r="J471" s="358"/>
      <c r="K471" s="358"/>
      <c r="L471" s="358"/>
      <c r="M471" s="358"/>
      <c r="N471" s="358"/>
      <c r="O471" s="358"/>
      <c r="P471" s="358"/>
      <c r="Q471" s="358"/>
    </row>
    <row r="472">
      <c r="A472" s="358"/>
      <c r="B472" s="358"/>
      <c r="C472" s="358"/>
      <c r="D472" s="358"/>
      <c r="E472" s="358"/>
      <c r="F472" s="358"/>
      <c r="G472" s="358"/>
      <c r="H472" s="358"/>
      <c r="I472" s="358"/>
      <c r="J472" s="358"/>
      <c r="K472" s="358"/>
      <c r="L472" s="358"/>
      <c r="M472" s="358"/>
      <c r="N472" s="358"/>
      <c r="O472" s="358"/>
      <c r="P472" s="358"/>
      <c r="Q472" s="358"/>
    </row>
    <row r="473">
      <c r="A473" s="358"/>
      <c r="B473" s="358"/>
      <c r="C473" s="358"/>
      <c r="D473" s="358"/>
      <c r="E473" s="358"/>
      <c r="F473" s="358"/>
      <c r="G473" s="358"/>
      <c r="H473" s="358"/>
      <c r="I473" s="358"/>
      <c r="J473" s="358"/>
      <c r="K473" s="358"/>
      <c r="L473" s="358"/>
      <c r="M473" s="358"/>
      <c r="N473" s="358"/>
      <c r="O473" s="358"/>
      <c r="P473" s="358"/>
      <c r="Q473" s="358"/>
    </row>
    <row r="474">
      <c r="A474" s="358"/>
      <c r="B474" s="358"/>
      <c r="C474" s="358"/>
      <c r="D474" s="358"/>
      <c r="E474" s="358"/>
      <c r="F474" s="358"/>
      <c r="G474" s="358"/>
      <c r="H474" s="358"/>
      <c r="I474" s="358"/>
      <c r="J474" s="358"/>
      <c r="K474" s="358"/>
      <c r="L474" s="358"/>
      <c r="M474" s="358"/>
      <c r="N474" s="358"/>
      <c r="O474" s="358"/>
      <c r="P474" s="358"/>
      <c r="Q474" s="358"/>
    </row>
    <row r="475">
      <c r="A475" s="358"/>
      <c r="B475" s="358"/>
      <c r="C475" s="358"/>
      <c r="D475" s="358"/>
      <c r="E475" s="358"/>
      <c r="F475" s="358"/>
      <c r="G475" s="358"/>
      <c r="H475" s="358"/>
      <c r="I475" s="358"/>
      <c r="J475" s="358"/>
      <c r="K475" s="358"/>
      <c r="L475" s="358"/>
      <c r="M475" s="358"/>
      <c r="N475" s="358"/>
      <c r="O475" s="358"/>
      <c r="P475" s="358"/>
      <c r="Q475" s="358"/>
    </row>
    <row r="476">
      <c r="A476" s="358"/>
      <c r="B476" s="358"/>
      <c r="C476" s="358"/>
      <c r="D476" s="358"/>
      <c r="E476" s="358"/>
      <c r="F476" s="358"/>
      <c r="G476" s="358"/>
      <c r="H476" s="358"/>
      <c r="I476" s="358"/>
      <c r="J476" s="358"/>
      <c r="K476" s="358"/>
      <c r="L476" s="358"/>
      <c r="M476" s="358"/>
      <c r="N476" s="358"/>
      <c r="O476" s="358"/>
      <c r="P476" s="358"/>
      <c r="Q476" s="358"/>
    </row>
    <row r="477">
      <c r="A477" s="358"/>
      <c r="B477" s="358"/>
      <c r="C477" s="358"/>
      <c r="D477" s="358"/>
      <c r="E477" s="358"/>
      <c r="F477" s="358"/>
      <c r="G477" s="358"/>
      <c r="H477" s="358"/>
      <c r="I477" s="358"/>
      <c r="J477" s="358"/>
      <c r="K477" s="358"/>
      <c r="L477" s="358"/>
      <c r="M477" s="358"/>
      <c r="N477" s="358"/>
      <c r="O477" s="358"/>
      <c r="P477" s="358"/>
      <c r="Q477" s="358"/>
    </row>
    <row r="478">
      <c r="A478" s="358"/>
      <c r="B478" s="358"/>
      <c r="C478" s="358"/>
      <c r="D478" s="358"/>
      <c r="E478" s="358"/>
      <c r="F478" s="358"/>
      <c r="G478" s="358"/>
      <c r="H478" s="358"/>
      <c r="I478" s="358"/>
      <c r="J478" s="358"/>
      <c r="K478" s="358"/>
      <c r="L478" s="358"/>
      <c r="M478" s="358"/>
      <c r="N478" s="358"/>
      <c r="O478" s="358"/>
      <c r="P478" s="358"/>
      <c r="Q478" s="358"/>
    </row>
    <row r="479">
      <c r="A479" s="358"/>
      <c r="B479" s="358"/>
      <c r="C479" s="358"/>
      <c r="D479" s="358"/>
      <c r="E479" s="358"/>
      <c r="F479" s="358"/>
      <c r="G479" s="358"/>
      <c r="H479" s="358"/>
      <c r="I479" s="358"/>
      <c r="J479" s="358"/>
      <c r="K479" s="358"/>
      <c r="L479" s="358"/>
      <c r="M479" s="358"/>
      <c r="N479" s="358"/>
      <c r="O479" s="358"/>
      <c r="P479" s="358"/>
      <c r="Q479" s="358"/>
    </row>
    <row r="480">
      <c r="A480" s="358"/>
      <c r="B480" s="358"/>
      <c r="C480" s="358"/>
      <c r="D480" s="358"/>
      <c r="E480" s="358"/>
      <c r="F480" s="358"/>
      <c r="G480" s="358"/>
      <c r="H480" s="358"/>
      <c r="I480" s="358"/>
      <c r="J480" s="358"/>
      <c r="K480" s="358"/>
      <c r="L480" s="358"/>
      <c r="M480" s="358"/>
      <c r="N480" s="358"/>
      <c r="O480" s="358"/>
      <c r="P480" s="358"/>
      <c r="Q480" s="358"/>
    </row>
    <row r="481">
      <c r="A481" s="358"/>
      <c r="B481" s="358"/>
      <c r="C481" s="358"/>
      <c r="D481" s="358"/>
      <c r="E481" s="358"/>
      <c r="F481" s="358"/>
      <c r="G481" s="358"/>
      <c r="H481" s="358"/>
      <c r="I481" s="358"/>
      <c r="J481" s="358"/>
      <c r="K481" s="358"/>
      <c r="L481" s="358"/>
      <c r="M481" s="358"/>
      <c r="N481" s="358"/>
      <c r="O481" s="358"/>
      <c r="P481" s="358"/>
      <c r="Q481" s="358"/>
    </row>
    <row r="482">
      <c r="A482" s="358"/>
      <c r="B482" s="358"/>
      <c r="C482" s="358"/>
      <c r="D482" s="358"/>
      <c r="E482" s="358"/>
      <c r="F482" s="358"/>
      <c r="G482" s="358"/>
      <c r="H482" s="358"/>
      <c r="I482" s="358"/>
      <c r="J482" s="358"/>
      <c r="K482" s="358"/>
      <c r="L482" s="358"/>
      <c r="M482" s="358"/>
      <c r="N482" s="358"/>
      <c r="O482" s="358"/>
      <c r="P482" s="358"/>
      <c r="Q482" s="358"/>
    </row>
    <row r="483">
      <c r="A483" s="358"/>
      <c r="B483" s="358"/>
      <c r="C483" s="358"/>
      <c r="D483" s="358"/>
      <c r="E483" s="358"/>
      <c r="F483" s="358"/>
      <c r="G483" s="358"/>
      <c r="H483" s="358"/>
      <c r="I483" s="358"/>
      <c r="J483" s="358"/>
      <c r="K483" s="358"/>
      <c r="L483" s="358"/>
      <c r="M483" s="358"/>
      <c r="N483" s="358"/>
      <c r="O483" s="358"/>
      <c r="P483" s="358"/>
      <c r="Q483" s="358"/>
    </row>
    <row r="484">
      <c r="A484" s="358"/>
      <c r="B484" s="358"/>
      <c r="C484" s="358"/>
      <c r="D484" s="358"/>
      <c r="E484" s="358"/>
      <c r="F484" s="358"/>
      <c r="G484" s="358"/>
      <c r="H484" s="358"/>
      <c r="I484" s="358"/>
      <c r="J484" s="358"/>
      <c r="K484" s="358"/>
      <c r="L484" s="358"/>
      <c r="M484" s="358"/>
      <c r="N484" s="358"/>
      <c r="O484" s="358"/>
      <c r="P484" s="358"/>
      <c r="Q484" s="358"/>
    </row>
    <row r="485">
      <c r="A485" s="358"/>
      <c r="B485" s="358"/>
      <c r="C485" s="358"/>
      <c r="D485" s="358"/>
      <c r="E485" s="358"/>
      <c r="F485" s="358"/>
      <c r="G485" s="358"/>
      <c r="H485" s="358"/>
      <c r="I485" s="358"/>
      <c r="J485" s="358"/>
      <c r="K485" s="358"/>
      <c r="L485" s="358"/>
      <c r="M485" s="358"/>
      <c r="N485" s="358"/>
      <c r="O485" s="358"/>
      <c r="P485" s="358"/>
      <c r="Q485" s="358"/>
    </row>
    <row r="486">
      <c r="A486" s="358"/>
      <c r="B486" s="358"/>
      <c r="C486" s="358"/>
      <c r="D486" s="358"/>
      <c r="E486" s="358"/>
      <c r="F486" s="358"/>
      <c r="G486" s="358"/>
      <c r="H486" s="358"/>
      <c r="I486" s="358"/>
      <c r="J486" s="358"/>
      <c r="K486" s="358"/>
      <c r="L486" s="358"/>
      <c r="M486" s="358"/>
      <c r="N486" s="358"/>
      <c r="O486" s="358"/>
      <c r="P486" s="358"/>
      <c r="Q486" s="358"/>
    </row>
    <row r="487">
      <c r="A487" s="358"/>
      <c r="B487" s="358"/>
      <c r="C487" s="358"/>
      <c r="D487" s="358"/>
      <c r="E487" s="358"/>
      <c r="F487" s="358"/>
      <c r="G487" s="358"/>
      <c r="H487" s="358"/>
      <c r="I487" s="358"/>
      <c r="J487" s="358"/>
      <c r="K487" s="358"/>
      <c r="L487" s="358"/>
      <c r="M487" s="358"/>
      <c r="N487" s="358"/>
      <c r="O487" s="358"/>
      <c r="P487" s="358"/>
      <c r="Q487" s="358"/>
    </row>
    <row r="488">
      <c r="A488" s="358"/>
      <c r="B488" s="358"/>
      <c r="C488" s="358"/>
      <c r="D488" s="358"/>
      <c r="E488" s="358"/>
      <c r="F488" s="358"/>
      <c r="G488" s="358"/>
      <c r="H488" s="358"/>
      <c r="I488" s="358"/>
      <c r="J488" s="358"/>
      <c r="K488" s="358"/>
      <c r="L488" s="358"/>
      <c r="M488" s="358"/>
      <c r="N488" s="358"/>
      <c r="O488" s="358"/>
      <c r="P488" s="358"/>
      <c r="Q488" s="358"/>
    </row>
    <row r="489">
      <c r="A489" s="358"/>
      <c r="B489" s="358"/>
      <c r="C489" s="358"/>
      <c r="D489" s="358"/>
      <c r="E489" s="358"/>
      <c r="F489" s="358"/>
      <c r="G489" s="358"/>
      <c r="H489" s="358"/>
      <c r="I489" s="358"/>
      <c r="J489" s="358"/>
      <c r="K489" s="358"/>
      <c r="L489" s="358"/>
      <c r="M489" s="358"/>
      <c r="N489" s="358"/>
      <c r="O489" s="358"/>
      <c r="P489" s="358"/>
      <c r="Q489" s="358"/>
    </row>
    <row r="490">
      <c r="A490" s="358"/>
      <c r="B490" s="358"/>
      <c r="C490" s="358"/>
      <c r="D490" s="358"/>
      <c r="E490" s="358"/>
      <c r="F490" s="358"/>
      <c r="G490" s="358"/>
      <c r="H490" s="358"/>
      <c r="I490" s="358"/>
      <c r="J490" s="358"/>
      <c r="K490" s="358"/>
      <c r="L490" s="358"/>
      <c r="M490" s="358"/>
      <c r="N490" s="358"/>
      <c r="O490" s="358"/>
      <c r="P490" s="358"/>
      <c r="Q490" s="358"/>
    </row>
    <row r="491">
      <c r="A491" s="358"/>
      <c r="B491" s="358"/>
      <c r="C491" s="358"/>
      <c r="D491" s="358"/>
      <c r="E491" s="358"/>
      <c r="F491" s="358"/>
      <c r="G491" s="358"/>
      <c r="H491" s="358"/>
      <c r="I491" s="358"/>
      <c r="J491" s="358"/>
      <c r="K491" s="358"/>
      <c r="L491" s="358"/>
      <c r="M491" s="358"/>
      <c r="N491" s="358"/>
      <c r="O491" s="358"/>
      <c r="P491" s="358"/>
      <c r="Q491" s="358"/>
    </row>
    <row r="492">
      <c r="A492" s="358"/>
      <c r="B492" s="358"/>
      <c r="C492" s="358"/>
      <c r="D492" s="358"/>
      <c r="E492" s="358"/>
      <c r="F492" s="358"/>
      <c r="G492" s="358"/>
      <c r="H492" s="358"/>
      <c r="I492" s="358"/>
      <c r="J492" s="358"/>
      <c r="K492" s="358"/>
      <c r="L492" s="358"/>
      <c r="M492" s="358"/>
      <c r="N492" s="358"/>
      <c r="O492" s="358"/>
      <c r="P492" s="358"/>
      <c r="Q492" s="358"/>
    </row>
    <row r="493">
      <c r="A493" s="358"/>
      <c r="B493" s="358"/>
      <c r="C493" s="358"/>
      <c r="D493" s="358"/>
      <c r="E493" s="358"/>
      <c r="F493" s="358"/>
      <c r="G493" s="358"/>
      <c r="H493" s="358"/>
      <c r="I493" s="358"/>
      <c r="J493" s="358"/>
      <c r="K493" s="358"/>
      <c r="L493" s="358"/>
      <c r="M493" s="358"/>
      <c r="N493" s="358"/>
      <c r="O493" s="358"/>
      <c r="P493" s="358"/>
      <c r="Q493" s="358"/>
    </row>
    <row r="494">
      <c r="A494" s="358"/>
      <c r="B494" s="358"/>
      <c r="C494" s="358"/>
      <c r="D494" s="358"/>
      <c r="E494" s="358"/>
      <c r="F494" s="358"/>
      <c r="G494" s="358"/>
      <c r="H494" s="358"/>
      <c r="I494" s="358"/>
      <c r="J494" s="358"/>
      <c r="K494" s="358"/>
      <c r="L494" s="358"/>
      <c r="M494" s="358"/>
      <c r="N494" s="358"/>
      <c r="O494" s="358"/>
      <c r="P494" s="358"/>
      <c r="Q494" s="358"/>
    </row>
    <row r="495">
      <c r="A495" s="358"/>
      <c r="B495" s="358"/>
      <c r="C495" s="358"/>
      <c r="D495" s="358"/>
      <c r="E495" s="358"/>
      <c r="F495" s="358"/>
      <c r="G495" s="358"/>
      <c r="H495" s="358"/>
      <c r="I495" s="358"/>
      <c r="J495" s="358"/>
      <c r="K495" s="358"/>
      <c r="L495" s="358"/>
      <c r="M495" s="358"/>
      <c r="N495" s="358"/>
      <c r="O495" s="358"/>
      <c r="P495" s="358"/>
      <c r="Q495" s="358"/>
    </row>
    <row r="496">
      <c r="A496" s="358"/>
      <c r="B496" s="358"/>
      <c r="C496" s="358"/>
      <c r="D496" s="358"/>
      <c r="E496" s="358"/>
      <c r="F496" s="358"/>
      <c r="G496" s="358"/>
      <c r="H496" s="358"/>
      <c r="I496" s="358"/>
      <c r="J496" s="358"/>
      <c r="K496" s="358"/>
      <c r="L496" s="358"/>
      <c r="M496" s="358"/>
      <c r="N496" s="358"/>
      <c r="O496" s="358"/>
      <c r="P496" s="358"/>
      <c r="Q496" s="358"/>
    </row>
    <row r="497">
      <c r="A497" s="358"/>
      <c r="B497" s="358"/>
      <c r="C497" s="358"/>
      <c r="D497" s="358"/>
      <c r="E497" s="358"/>
      <c r="F497" s="358"/>
      <c r="G497" s="358"/>
      <c r="H497" s="358"/>
      <c r="I497" s="358"/>
      <c r="J497" s="358"/>
      <c r="K497" s="358"/>
      <c r="L497" s="358"/>
      <c r="M497" s="358"/>
      <c r="N497" s="358"/>
      <c r="O497" s="358"/>
      <c r="P497" s="358"/>
      <c r="Q497" s="358"/>
    </row>
    <row r="498">
      <c r="A498" s="358"/>
      <c r="B498" s="358"/>
      <c r="C498" s="358"/>
      <c r="D498" s="358"/>
      <c r="E498" s="358"/>
      <c r="F498" s="358"/>
      <c r="G498" s="358"/>
      <c r="H498" s="358"/>
      <c r="I498" s="358"/>
      <c r="J498" s="358"/>
      <c r="K498" s="358"/>
      <c r="L498" s="358"/>
      <c r="M498" s="358"/>
      <c r="N498" s="358"/>
      <c r="O498" s="358"/>
      <c r="P498" s="358"/>
      <c r="Q498" s="358"/>
    </row>
    <row r="499">
      <c r="A499" s="358"/>
      <c r="B499" s="358"/>
      <c r="C499" s="358"/>
      <c r="D499" s="358"/>
      <c r="E499" s="358"/>
      <c r="F499" s="358"/>
      <c r="G499" s="358"/>
      <c r="H499" s="358"/>
      <c r="I499" s="358"/>
      <c r="J499" s="358"/>
      <c r="K499" s="358"/>
      <c r="L499" s="358"/>
      <c r="M499" s="358"/>
      <c r="N499" s="358"/>
      <c r="O499" s="358"/>
      <c r="P499" s="358"/>
      <c r="Q499" s="358"/>
    </row>
    <row r="500">
      <c r="A500" s="358"/>
      <c r="B500" s="358"/>
      <c r="C500" s="358"/>
      <c r="D500" s="358"/>
      <c r="E500" s="358"/>
      <c r="F500" s="358"/>
      <c r="G500" s="358"/>
      <c r="H500" s="358"/>
      <c r="I500" s="358"/>
      <c r="J500" s="358"/>
      <c r="K500" s="358"/>
      <c r="L500" s="358"/>
      <c r="M500" s="358"/>
      <c r="N500" s="358"/>
      <c r="O500" s="358"/>
      <c r="P500" s="358"/>
      <c r="Q500" s="358"/>
    </row>
    <row r="501">
      <c r="A501" s="358"/>
      <c r="B501" s="358"/>
      <c r="C501" s="358"/>
      <c r="D501" s="358"/>
      <c r="E501" s="358"/>
      <c r="F501" s="358"/>
      <c r="G501" s="358"/>
      <c r="H501" s="358"/>
      <c r="I501" s="358"/>
      <c r="J501" s="358"/>
      <c r="K501" s="358"/>
      <c r="L501" s="358"/>
      <c r="M501" s="358"/>
      <c r="N501" s="358"/>
      <c r="O501" s="358"/>
      <c r="P501" s="358"/>
      <c r="Q501" s="358"/>
    </row>
    <row r="502">
      <c r="A502" s="358"/>
      <c r="B502" s="358"/>
      <c r="C502" s="358"/>
      <c r="D502" s="358"/>
      <c r="E502" s="358"/>
      <c r="F502" s="358"/>
      <c r="G502" s="358"/>
      <c r="H502" s="358"/>
      <c r="I502" s="358"/>
      <c r="J502" s="358"/>
      <c r="K502" s="358"/>
      <c r="L502" s="358"/>
      <c r="M502" s="358"/>
      <c r="N502" s="358"/>
      <c r="O502" s="358"/>
      <c r="P502" s="358"/>
      <c r="Q502" s="358"/>
    </row>
    <row r="503">
      <c r="A503" s="358"/>
      <c r="B503" s="358"/>
      <c r="C503" s="358"/>
      <c r="D503" s="358"/>
      <c r="E503" s="358"/>
      <c r="F503" s="358"/>
      <c r="G503" s="358"/>
      <c r="H503" s="358"/>
      <c r="I503" s="358"/>
      <c r="J503" s="358"/>
      <c r="K503" s="358"/>
      <c r="L503" s="358"/>
      <c r="M503" s="358"/>
      <c r="N503" s="358"/>
      <c r="O503" s="358"/>
      <c r="P503" s="358"/>
      <c r="Q503" s="358"/>
    </row>
    <row r="504">
      <c r="A504" s="358"/>
      <c r="B504" s="358"/>
      <c r="C504" s="358"/>
      <c r="D504" s="358"/>
      <c r="E504" s="358"/>
      <c r="F504" s="358"/>
      <c r="G504" s="358"/>
      <c r="H504" s="358"/>
      <c r="I504" s="358"/>
      <c r="J504" s="358"/>
      <c r="K504" s="358"/>
      <c r="L504" s="358"/>
      <c r="M504" s="358"/>
      <c r="N504" s="358"/>
      <c r="O504" s="358"/>
      <c r="P504" s="358"/>
      <c r="Q504" s="358"/>
    </row>
    <row r="505">
      <c r="A505" s="358"/>
      <c r="B505" s="358"/>
      <c r="C505" s="358"/>
      <c r="D505" s="358"/>
      <c r="E505" s="358"/>
      <c r="F505" s="358"/>
      <c r="G505" s="358"/>
      <c r="H505" s="358"/>
      <c r="I505" s="358"/>
      <c r="J505" s="358"/>
      <c r="K505" s="358"/>
      <c r="L505" s="358"/>
      <c r="M505" s="358"/>
      <c r="N505" s="358"/>
      <c r="O505" s="358"/>
      <c r="P505" s="358"/>
      <c r="Q505" s="358"/>
    </row>
    <row r="506">
      <c r="A506" s="358"/>
      <c r="B506" s="358"/>
      <c r="C506" s="358"/>
      <c r="D506" s="358"/>
      <c r="E506" s="358"/>
      <c r="F506" s="358"/>
      <c r="G506" s="358"/>
      <c r="H506" s="358"/>
      <c r="I506" s="358"/>
      <c r="J506" s="358"/>
      <c r="K506" s="358"/>
      <c r="L506" s="358"/>
      <c r="M506" s="358"/>
      <c r="N506" s="358"/>
      <c r="O506" s="358"/>
      <c r="P506" s="358"/>
      <c r="Q506" s="358"/>
    </row>
    <row r="507">
      <c r="A507" s="358"/>
      <c r="B507" s="358"/>
      <c r="C507" s="358"/>
      <c r="D507" s="358"/>
      <c r="E507" s="358"/>
      <c r="F507" s="358"/>
      <c r="G507" s="358"/>
      <c r="H507" s="358"/>
      <c r="I507" s="358"/>
      <c r="J507" s="358"/>
      <c r="K507" s="358"/>
      <c r="L507" s="358"/>
      <c r="M507" s="358"/>
      <c r="N507" s="358"/>
      <c r="O507" s="358"/>
      <c r="P507" s="358"/>
      <c r="Q507" s="358"/>
    </row>
    <row r="508">
      <c r="A508" s="358"/>
      <c r="B508" s="358"/>
      <c r="C508" s="358"/>
      <c r="D508" s="358"/>
      <c r="E508" s="358"/>
      <c r="F508" s="358"/>
      <c r="G508" s="358"/>
      <c r="H508" s="358"/>
      <c r="I508" s="358"/>
      <c r="J508" s="358"/>
      <c r="K508" s="358"/>
      <c r="L508" s="358"/>
      <c r="M508" s="358"/>
      <c r="N508" s="358"/>
      <c r="O508" s="358"/>
      <c r="P508" s="358"/>
      <c r="Q508" s="358"/>
    </row>
    <row r="509">
      <c r="A509" s="358"/>
      <c r="B509" s="358"/>
      <c r="C509" s="358"/>
      <c r="D509" s="358"/>
      <c r="E509" s="358"/>
      <c r="F509" s="358"/>
      <c r="G509" s="358"/>
      <c r="H509" s="358"/>
      <c r="I509" s="358"/>
      <c r="J509" s="358"/>
      <c r="K509" s="358"/>
      <c r="L509" s="358"/>
      <c r="M509" s="358"/>
      <c r="N509" s="358"/>
      <c r="O509" s="358"/>
      <c r="P509" s="358"/>
      <c r="Q509" s="358"/>
    </row>
    <row r="510">
      <c r="A510" s="358"/>
      <c r="B510" s="358"/>
      <c r="C510" s="358"/>
      <c r="D510" s="358"/>
      <c r="E510" s="358"/>
      <c r="F510" s="358"/>
      <c r="G510" s="358"/>
      <c r="H510" s="358"/>
      <c r="I510" s="358"/>
      <c r="J510" s="358"/>
      <c r="K510" s="358"/>
      <c r="L510" s="358"/>
      <c r="M510" s="358"/>
      <c r="N510" s="358"/>
      <c r="O510" s="358"/>
      <c r="P510" s="358"/>
      <c r="Q510" s="358"/>
    </row>
    <row r="511">
      <c r="A511" s="358"/>
      <c r="B511" s="358"/>
      <c r="C511" s="358"/>
      <c r="D511" s="358"/>
      <c r="E511" s="358"/>
      <c r="F511" s="358"/>
      <c r="G511" s="358"/>
      <c r="H511" s="358"/>
      <c r="I511" s="358"/>
      <c r="J511" s="358"/>
      <c r="K511" s="358"/>
      <c r="L511" s="358"/>
      <c r="M511" s="358"/>
      <c r="N511" s="358"/>
      <c r="O511" s="358"/>
      <c r="P511" s="358"/>
      <c r="Q511" s="358"/>
    </row>
    <row r="512">
      <c r="A512" s="358"/>
      <c r="B512" s="358"/>
      <c r="C512" s="358"/>
      <c r="D512" s="358"/>
      <c r="E512" s="358"/>
      <c r="F512" s="358"/>
      <c r="G512" s="358"/>
      <c r="H512" s="358"/>
      <c r="I512" s="358"/>
      <c r="J512" s="358"/>
      <c r="K512" s="358"/>
      <c r="L512" s="358"/>
      <c r="M512" s="358"/>
      <c r="N512" s="358"/>
      <c r="O512" s="358"/>
      <c r="P512" s="358"/>
      <c r="Q512" s="358"/>
    </row>
    <row r="513">
      <c r="A513" s="358"/>
      <c r="B513" s="358"/>
      <c r="C513" s="358"/>
      <c r="D513" s="358"/>
      <c r="E513" s="358"/>
      <c r="F513" s="358"/>
      <c r="G513" s="358"/>
      <c r="H513" s="358"/>
      <c r="I513" s="358"/>
      <c r="J513" s="358"/>
      <c r="K513" s="358"/>
      <c r="L513" s="358"/>
      <c r="M513" s="358"/>
      <c r="N513" s="358"/>
      <c r="O513" s="358"/>
      <c r="P513" s="358"/>
      <c r="Q513" s="358"/>
    </row>
    <row r="514">
      <c r="A514" s="358"/>
      <c r="B514" s="358"/>
      <c r="C514" s="358"/>
      <c r="D514" s="358"/>
      <c r="E514" s="358"/>
      <c r="F514" s="358"/>
      <c r="G514" s="358"/>
      <c r="H514" s="358"/>
      <c r="I514" s="358"/>
      <c r="J514" s="358"/>
      <c r="K514" s="358"/>
      <c r="L514" s="358"/>
      <c r="M514" s="358"/>
      <c r="N514" s="358"/>
      <c r="O514" s="358"/>
      <c r="P514" s="358"/>
      <c r="Q514" s="358"/>
    </row>
    <row r="515">
      <c r="A515" s="358"/>
      <c r="B515" s="358"/>
      <c r="C515" s="358"/>
      <c r="D515" s="358"/>
      <c r="E515" s="358"/>
      <c r="F515" s="358"/>
      <c r="G515" s="358"/>
      <c r="H515" s="358"/>
      <c r="I515" s="358"/>
      <c r="J515" s="358"/>
      <c r="K515" s="358"/>
      <c r="L515" s="358"/>
      <c r="M515" s="358"/>
      <c r="N515" s="358"/>
      <c r="O515" s="358"/>
      <c r="P515" s="358"/>
      <c r="Q515" s="358"/>
    </row>
    <row r="516">
      <c r="A516" s="358"/>
      <c r="B516" s="358"/>
      <c r="C516" s="358"/>
      <c r="D516" s="358"/>
      <c r="E516" s="358"/>
      <c r="F516" s="358"/>
      <c r="G516" s="358"/>
      <c r="H516" s="358"/>
      <c r="I516" s="358"/>
      <c r="J516" s="358"/>
      <c r="K516" s="358"/>
      <c r="L516" s="358"/>
      <c r="M516" s="358"/>
      <c r="N516" s="358"/>
      <c r="O516" s="358"/>
      <c r="P516" s="358"/>
      <c r="Q516" s="358"/>
    </row>
    <row r="517">
      <c r="A517" s="358"/>
      <c r="B517" s="358"/>
      <c r="C517" s="358"/>
      <c r="D517" s="358"/>
      <c r="E517" s="358"/>
      <c r="F517" s="358"/>
      <c r="G517" s="358"/>
      <c r="H517" s="358"/>
      <c r="I517" s="358"/>
      <c r="J517" s="358"/>
      <c r="K517" s="358"/>
      <c r="L517" s="358"/>
      <c r="M517" s="358"/>
      <c r="N517" s="358"/>
      <c r="O517" s="358"/>
      <c r="P517" s="358"/>
      <c r="Q517" s="358"/>
    </row>
    <row r="518">
      <c r="A518" s="358"/>
      <c r="B518" s="358"/>
      <c r="C518" s="358"/>
      <c r="D518" s="358"/>
      <c r="E518" s="358"/>
      <c r="F518" s="358"/>
      <c r="G518" s="358"/>
      <c r="H518" s="358"/>
      <c r="I518" s="358"/>
      <c r="J518" s="358"/>
      <c r="K518" s="358"/>
      <c r="L518" s="358"/>
      <c r="M518" s="358"/>
      <c r="N518" s="358"/>
      <c r="O518" s="358"/>
      <c r="P518" s="358"/>
      <c r="Q518" s="358"/>
    </row>
    <row r="519">
      <c r="A519" s="358"/>
      <c r="B519" s="358"/>
      <c r="C519" s="358"/>
      <c r="D519" s="358"/>
      <c r="E519" s="358"/>
      <c r="F519" s="358"/>
      <c r="G519" s="358"/>
      <c r="H519" s="358"/>
      <c r="I519" s="358"/>
      <c r="J519" s="358"/>
      <c r="K519" s="358"/>
      <c r="L519" s="358"/>
      <c r="M519" s="358"/>
      <c r="N519" s="358"/>
      <c r="O519" s="358"/>
      <c r="P519" s="358"/>
      <c r="Q519" s="358"/>
    </row>
    <row r="520">
      <c r="A520" s="358"/>
      <c r="B520" s="358"/>
      <c r="C520" s="358"/>
      <c r="D520" s="358"/>
      <c r="E520" s="358"/>
      <c r="F520" s="358"/>
      <c r="G520" s="358"/>
      <c r="H520" s="358"/>
      <c r="I520" s="358"/>
      <c r="J520" s="358"/>
      <c r="K520" s="358"/>
      <c r="L520" s="358"/>
      <c r="M520" s="358"/>
      <c r="N520" s="358"/>
      <c r="O520" s="358"/>
      <c r="P520" s="358"/>
      <c r="Q520" s="358"/>
    </row>
    <row r="521">
      <c r="A521" s="358"/>
      <c r="B521" s="358"/>
      <c r="C521" s="358"/>
      <c r="D521" s="358"/>
      <c r="E521" s="358"/>
      <c r="F521" s="358"/>
      <c r="G521" s="358"/>
      <c r="H521" s="358"/>
      <c r="I521" s="358"/>
      <c r="J521" s="358"/>
      <c r="K521" s="358"/>
      <c r="L521" s="358"/>
      <c r="M521" s="358"/>
      <c r="N521" s="358"/>
      <c r="O521" s="358"/>
      <c r="P521" s="358"/>
      <c r="Q521" s="358"/>
    </row>
    <row r="522">
      <c r="A522" s="358"/>
      <c r="B522" s="358"/>
      <c r="C522" s="358"/>
      <c r="D522" s="358"/>
      <c r="E522" s="358"/>
      <c r="F522" s="358"/>
      <c r="G522" s="358"/>
      <c r="H522" s="358"/>
      <c r="I522" s="358"/>
      <c r="J522" s="358"/>
      <c r="K522" s="358"/>
      <c r="L522" s="358"/>
      <c r="M522" s="358"/>
      <c r="N522" s="358"/>
      <c r="O522" s="358"/>
      <c r="P522" s="358"/>
      <c r="Q522" s="358"/>
    </row>
    <row r="523">
      <c r="A523" s="358"/>
      <c r="B523" s="358"/>
      <c r="C523" s="358"/>
      <c r="D523" s="358"/>
      <c r="E523" s="358"/>
      <c r="F523" s="358"/>
      <c r="G523" s="358"/>
      <c r="H523" s="358"/>
      <c r="I523" s="358"/>
      <c r="J523" s="358"/>
      <c r="K523" s="358"/>
      <c r="L523" s="358"/>
      <c r="M523" s="358"/>
      <c r="N523" s="358"/>
      <c r="O523" s="358"/>
      <c r="P523" s="358"/>
      <c r="Q523" s="358"/>
    </row>
    <row r="524">
      <c r="A524" s="358"/>
      <c r="B524" s="358"/>
      <c r="C524" s="358"/>
      <c r="D524" s="358"/>
      <c r="E524" s="358"/>
      <c r="F524" s="358"/>
      <c r="G524" s="358"/>
      <c r="H524" s="358"/>
      <c r="I524" s="358"/>
      <c r="J524" s="358"/>
      <c r="K524" s="358"/>
      <c r="L524" s="358"/>
      <c r="M524" s="358"/>
      <c r="N524" s="358"/>
      <c r="O524" s="358"/>
      <c r="P524" s="358"/>
      <c r="Q524" s="358"/>
    </row>
    <row r="525">
      <c r="A525" s="358"/>
      <c r="B525" s="358"/>
      <c r="C525" s="358"/>
      <c r="D525" s="358"/>
      <c r="E525" s="358"/>
      <c r="F525" s="358"/>
      <c r="G525" s="358"/>
      <c r="H525" s="358"/>
      <c r="I525" s="358"/>
      <c r="J525" s="358"/>
      <c r="K525" s="358"/>
      <c r="L525" s="358"/>
      <c r="M525" s="358"/>
      <c r="N525" s="358"/>
      <c r="O525" s="358"/>
      <c r="P525" s="358"/>
      <c r="Q525" s="358"/>
    </row>
    <row r="526">
      <c r="A526" s="358"/>
      <c r="B526" s="358"/>
      <c r="C526" s="358"/>
      <c r="D526" s="358"/>
      <c r="E526" s="358"/>
      <c r="F526" s="358"/>
      <c r="G526" s="358"/>
      <c r="H526" s="358"/>
      <c r="I526" s="358"/>
      <c r="J526" s="358"/>
      <c r="K526" s="358"/>
      <c r="L526" s="358"/>
      <c r="M526" s="358"/>
      <c r="N526" s="358"/>
      <c r="O526" s="358"/>
      <c r="P526" s="358"/>
      <c r="Q526" s="358"/>
    </row>
    <row r="527">
      <c r="A527" s="358"/>
      <c r="B527" s="358"/>
      <c r="C527" s="358"/>
      <c r="D527" s="358"/>
      <c r="E527" s="358"/>
      <c r="F527" s="358"/>
      <c r="G527" s="358"/>
      <c r="H527" s="358"/>
      <c r="I527" s="358"/>
      <c r="J527" s="358"/>
      <c r="K527" s="358"/>
      <c r="L527" s="358"/>
      <c r="M527" s="358"/>
      <c r="N527" s="358"/>
      <c r="O527" s="358"/>
      <c r="P527" s="358"/>
      <c r="Q527" s="358"/>
    </row>
    <row r="528">
      <c r="A528" s="358"/>
      <c r="B528" s="358"/>
      <c r="C528" s="358"/>
      <c r="D528" s="358"/>
      <c r="E528" s="358"/>
      <c r="F528" s="358"/>
      <c r="G528" s="358"/>
      <c r="H528" s="358"/>
      <c r="I528" s="358"/>
      <c r="J528" s="358"/>
      <c r="K528" s="358"/>
      <c r="L528" s="358"/>
      <c r="M528" s="358"/>
      <c r="N528" s="358"/>
      <c r="O528" s="358"/>
      <c r="P528" s="358"/>
      <c r="Q528" s="358"/>
    </row>
    <row r="529">
      <c r="A529" s="358"/>
      <c r="B529" s="358"/>
      <c r="C529" s="358"/>
      <c r="D529" s="358"/>
      <c r="E529" s="358"/>
      <c r="F529" s="358"/>
      <c r="G529" s="358"/>
      <c r="H529" s="358"/>
      <c r="I529" s="358"/>
      <c r="J529" s="358"/>
      <c r="K529" s="358"/>
      <c r="L529" s="358"/>
      <c r="M529" s="358"/>
      <c r="N529" s="358"/>
      <c r="O529" s="358"/>
      <c r="P529" s="358"/>
      <c r="Q529" s="358"/>
    </row>
    <row r="530">
      <c r="A530" s="358"/>
      <c r="B530" s="358"/>
      <c r="C530" s="358"/>
      <c r="D530" s="358"/>
      <c r="E530" s="358"/>
      <c r="F530" s="358"/>
      <c r="G530" s="358"/>
      <c r="H530" s="358"/>
      <c r="I530" s="358"/>
      <c r="J530" s="358"/>
      <c r="K530" s="358"/>
      <c r="L530" s="358"/>
      <c r="M530" s="358"/>
      <c r="N530" s="358"/>
      <c r="O530" s="358"/>
      <c r="P530" s="358"/>
      <c r="Q530" s="358"/>
    </row>
    <row r="531">
      <c r="A531" s="358"/>
      <c r="B531" s="358"/>
      <c r="C531" s="358"/>
      <c r="D531" s="358"/>
      <c r="E531" s="358"/>
      <c r="F531" s="358"/>
      <c r="G531" s="358"/>
      <c r="H531" s="358"/>
      <c r="I531" s="358"/>
      <c r="J531" s="358"/>
      <c r="K531" s="358"/>
      <c r="L531" s="358"/>
      <c r="M531" s="358"/>
      <c r="N531" s="358"/>
      <c r="O531" s="358"/>
      <c r="P531" s="358"/>
      <c r="Q531" s="358"/>
    </row>
    <row r="532">
      <c r="A532" s="358"/>
      <c r="B532" s="358"/>
      <c r="C532" s="358"/>
      <c r="D532" s="358"/>
      <c r="E532" s="358"/>
      <c r="F532" s="358"/>
      <c r="G532" s="358"/>
      <c r="H532" s="358"/>
      <c r="I532" s="358"/>
      <c r="J532" s="358"/>
      <c r="K532" s="358"/>
      <c r="L532" s="358"/>
      <c r="M532" s="358"/>
      <c r="N532" s="358"/>
      <c r="O532" s="358"/>
      <c r="P532" s="358"/>
      <c r="Q532" s="358"/>
    </row>
    <row r="533">
      <c r="A533" s="358"/>
      <c r="B533" s="358"/>
      <c r="C533" s="358"/>
      <c r="D533" s="358"/>
      <c r="E533" s="358"/>
      <c r="F533" s="358"/>
      <c r="G533" s="358"/>
      <c r="H533" s="358"/>
      <c r="I533" s="358"/>
      <c r="J533" s="358"/>
      <c r="K533" s="358"/>
      <c r="L533" s="358"/>
      <c r="M533" s="358"/>
      <c r="N533" s="358"/>
      <c r="O533" s="358"/>
      <c r="P533" s="358"/>
      <c r="Q533" s="358"/>
    </row>
    <row r="534">
      <c r="A534" s="358"/>
      <c r="B534" s="358"/>
      <c r="C534" s="358"/>
      <c r="D534" s="358"/>
      <c r="E534" s="358"/>
      <c r="F534" s="358"/>
      <c r="G534" s="358"/>
      <c r="H534" s="358"/>
      <c r="I534" s="358"/>
      <c r="J534" s="358"/>
      <c r="K534" s="358"/>
      <c r="L534" s="358"/>
      <c r="M534" s="358"/>
      <c r="N534" s="358"/>
      <c r="O534" s="358"/>
      <c r="P534" s="358"/>
      <c r="Q534" s="358"/>
    </row>
    <row r="535">
      <c r="A535" s="358"/>
      <c r="B535" s="358"/>
      <c r="C535" s="358"/>
      <c r="D535" s="358"/>
      <c r="E535" s="358"/>
      <c r="F535" s="358"/>
      <c r="G535" s="358"/>
      <c r="H535" s="358"/>
      <c r="I535" s="358"/>
      <c r="J535" s="358"/>
      <c r="K535" s="358"/>
      <c r="L535" s="358"/>
      <c r="M535" s="358"/>
      <c r="N535" s="358"/>
      <c r="O535" s="358"/>
      <c r="P535" s="358"/>
      <c r="Q535" s="358"/>
    </row>
    <row r="536">
      <c r="A536" s="358"/>
      <c r="B536" s="358"/>
      <c r="C536" s="358"/>
      <c r="D536" s="358"/>
      <c r="E536" s="358"/>
      <c r="F536" s="358"/>
      <c r="G536" s="358"/>
      <c r="H536" s="358"/>
      <c r="I536" s="358"/>
      <c r="J536" s="358"/>
      <c r="K536" s="358"/>
      <c r="L536" s="358"/>
      <c r="M536" s="358"/>
      <c r="N536" s="358"/>
      <c r="O536" s="358"/>
      <c r="P536" s="358"/>
      <c r="Q536" s="358"/>
    </row>
    <row r="537">
      <c r="A537" s="358"/>
      <c r="B537" s="358"/>
      <c r="C537" s="358"/>
      <c r="D537" s="358"/>
      <c r="E537" s="358"/>
      <c r="F537" s="358"/>
      <c r="G537" s="358"/>
      <c r="H537" s="358"/>
      <c r="I537" s="358"/>
      <c r="J537" s="358"/>
      <c r="K537" s="358"/>
      <c r="L537" s="358"/>
      <c r="M537" s="358"/>
      <c r="N537" s="358"/>
      <c r="O537" s="358"/>
      <c r="P537" s="358"/>
      <c r="Q537" s="358"/>
    </row>
    <row r="538">
      <c r="A538" s="358"/>
      <c r="B538" s="358"/>
      <c r="C538" s="358"/>
      <c r="D538" s="358"/>
      <c r="E538" s="358"/>
      <c r="F538" s="358"/>
      <c r="G538" s="358"/>
      <c r="H538" s="358"/>
      <c r="I538" s="358"/>
      <c r="J538" s="358"/>
      <c r="K538" s="358"/>
      <c r="L538" s="358"/>
      <c r="M538" s="358"/>
      <c r="N538" s="358"/>
      <c r="O538" s="358"/>
      <c r="P538" s="358"/>
      <c r="Q538" s="358"/>
    </row>
    <row r="539">
      <c r="A539" s="358"/>
      <c r="B539" s="358"/>
      <c r="C539" s="358"/>
      <c r="D539" s="358"/>
      <c r="E539" s="358"/>
      <c r="F539" s="358"/>
      <c r="G539" s="358"/>
      <c r="H539" s="358"/>
      <c r="I539" s="358"/>
      <c r="J539" s="358"/>
      <c r="K539" s="358"/>
      <c r="L539" s="358"/>
      <c r="M539" s="358"/>
      <c r="N539" s="358"/>
      <c r="O539" s="358"/>
      <c r="P539" s="358"/>
      <c r="Q539" s="358"/>
    </row>
    <row r="540">
      <c r="A540" s="358"/>
      <c r="B540" s="358"/>
      <c r="C540" s="358"/>
      <c r="D540" s="358"/>
      <c r="E540" s="358"/>
      <c r="F540" s="358"/>
      <c r="G540" s="358"/>
      <c r="H540" s="358"/>
      <c r="I540" s="358"/>
      <c r="J540" s="358"/>
      <c r="K540" s="358"/>
      <c r="L540" s="358"/>
      <c r="M540" s="358"/>
      <c r="N540" s="358"/>
      <c r="O540" s="358"/>
      <c r="P540" s="358"/>
      <c r="Q540" s="358"/>
    </row>
    <row r="541">
      <c r="A541" s="358"/>
      <c r="B541" s="358"/>
      <c r="C541" s="358"/>
      <c r="D541" s="358"/>
      <c r="E541" s="358"/>
      <c r="F541" s="358"/>
      <c r="G541" s="358"/>
      <c r="H541" s="358"/>
      <c r="I541" s="358"/>
      <c r="J541" s="358"/>
      <c r="K541" s="358"/>
      <c r="L541" s="358"/>
      <c r="M541" s="358"/>
      <c r="N541" s="358"/>
      <c r="O541" s="358"/>
      <c r="P541" s="358"/>
      <c r="Q541" s="358"/>
    </row>
    <row r="542">
      <c r="A542" s="358"/>
      <c r="B542" s="358"/>
      <c r="C542" s="358"/>
      <c r="D542" s="358"/>
      <c r="E542" s="358"/>
      <c r="F542" s="358"/>
      <c r="G542" s="358"/>
      <c r="H542" s="358"/>
      <c r="I542" s="358"/>
      <c r="J542" s="358"/>
      <c r="K542" s="358"/>
      <c r="L542" s="358"/>
      <c r="M542" s="358"/>
      <c r="N542" s="358"/>
      <c r="O542" s="358"/>
      <c r="P542" s="358"/>
      <c r="Q542" s="358"/>
    </row>
    <row r="543">
      <c r="A543" s="358"/>
      <c r="B543" s="358"/>
      <c r="C543" s="358"/>
      <c r="D543" s="358"/>
      <c r="E543" s="358"/>
      <c r="F543" s="358"/>
      <c r="G543" s="358"/>
      <c r="H543" s="358"/>
      <c r="I543" s="358"/>
      <c r="J543" s="358"/>
      <c r="K543" s="358"/>
      <c r="L543" s="358"/>
      <c r="M543" s="358"/>
      <c r="N543" s="358"/>
      <c r="O543" s="358"/>
      <c r="P543" s="358"/>
      <c r="Q543" s="358"/>
    </row>
    <row r="544">
      <c r="A544" s="358"/>
      <c r="B544" s="358"/>
      <c r="C544" s="358"/>
      <c r="D544" s="358"/>
      <c r="E544" s="358"/>
      <c r="F544" s="358"/>
      <c r="G544" s="358"/>
      <c r="H544" s="358"/>
      <c r="I544" s="358"/>
      <c r="J544" s="358"/>
      <c r="K544" s="358"/>
      <c r="L544" s="358"/>
      <c r="M544" s="358"/>
      <c r="N544" s="358"/>
      <c r="O544" s="358"/>
      <c r="P544" s="358"/>
      <c r="Q544" s="358"/>
    </row>
    <row r="545">
      <c r="A545" s="358"/>
      <c r="B545" s="358"/>
      <c r="C545" s="358"/>
      <c r="D545" s="358"/>
      <c r="E545" s="358"/>
      <c r="F545" s="358"/>
      <c r="G545" s="358"/>
      <c r="H545" s="358"/>
      <c r="I545" s="358"/>
      <c r="J545" s="358"/>
      <c r="K545" s="358"/>
      <c r="L545" s="358"/>
      <c r="M545" s="358"/>
      <c r="N545" s="358"/>
      <c r="O545" s="358"/>
      <c r="P545" s="358"/>
      <c r="Q545" s="358"/>
    </row>
    <row r="546">
      <c r="A546" s="358"/>
      <c r="B546" s="358"/>
      <c r="C546" s="358"/>
      <c r="D546" s="358"/>
      <c r="E546" s="358"/>
      <c r="F546" s="358"/>
      <c r="G546" s="358"/>
      <c r="H546" s="358"/>
      <c r="I546" s="358"/>
      <c r="J546" s="358"/>
      <c r="K546" s="358"/>
      <c r="L546" s="358"/>
      <c r="M546" s="358"/>
      <c r="N546" s="358"/>
      <c r="O546" s="358"/>
      <c r="P546" s="358"/>
      <c r="Q546" s="358"/>
    </row>
    <row r="547">
      <c r="A547" s="358"/>
      <c r="B547" s="358"/>
      <c r="C547" s="358"/>
      <c r="D547" s="358"/>
      <c r="E547" s="358"/>
      <c r="F547" s="358"/>
      <c r="G547" s="358"/>
      <c r="H547" s="358"/>
      <c r="I547" s="358"/>
      <c r="J547" s="358"/>
      <c r="K547" s="358"/>
      <c r="L547" s="358"/>
      <c r="M547" s="358"/>
      <c r="N547" s="358"/>
      <c r="O547" s="358"/>
      <c r="P547" s="358"/>
      <c r="Q547" s="358"/>
    </row>
    <row r="548">
      <c r="A548" s="358"/>
      <c r="B548" s="358"/>
      <c r="C548" s="358"/>
      <c r="D548" s="358"/>
      <c r="E548" s="358"/>
      <c r="F548" s="358"/>
      <c r="G548" s="358"/>
      <c r="H548" s="358"/>
      <c r="I548" s="358"/>
      <c r="J548" s="358"/>
      <c r="K548" s="358"/>
      <c r="L548" s="358"/>
      <c r="M548" s="358"/>
      <c r="N548" s="358"/>
      <c r="O548" s="358"/>
      <c r="P548" s="358"/>
      <c r="Q548" s="358"/>
    </row>
    <row r="549">
      <c r="A549" s="358"/>
      <c r="B549" s="358"/>
      <c r="C549" s="358"/>
      <c r="D549" s="358"/>
      <c r="E549" s="358"/>
      <c r="F549" s="358"/>
      <c r="G549" s="358"/>
      <c r="H549" s="358"/>
      <c r="I549" s="358"/>
      <c r="J549" s="358"/>
      <c r="K549" s="358"/>
      <c r="L549" s="358"/>
      <c r="M549" s="358"/>
      <c r="N549" s="358"/>
      <c r="O549" s="358"/>
      <c r="P549" s="358"/>
      <c r="Q549" s="358"/>
    </row>
    <row r="550">
      <c r="A550" s="358"/>
      <c r="B550" s="358"/>
      <c r="C550" s="358"/>
      <c r="D550" s="358"/>
      <c r="E550" s="358"/>
      <c r="F550" s="358"/>
      <c r="G550" s="358"/>
      <c r="H550" s="358"/>
      <c r="I550" s="358"/>
      <c r="J550" s="358"/>
      <c r="K550" s="358"/>
      <c r="L550" s="358"/>
      <c r="M550" s="358"/>
      <c r="N550" s="358"/>
      <c r="O550" s="358"/>
      <c r="P550" s="358"/>
      <c r="Q550" s="358"/>
    </row>
    <row r="551">
      <c r="A551" s="358"/>
      <c r="B551" s="358"/>
      <c r="C551" s="358"/>
      <c r="D551" s="358"/>
      <c r="E551" s="358"/>
      <c r="F551" s="358"/>
      <c r="G551" s="358"/>
      <c r="H551" s="358"/>
      <c r="I551" s="358"/>
      <c r="J551" s="358"/>
      <c r="K551" s="358"/>
      <c r="L551" s="358"/>
      <c r="M551" s="358"/>
      <c r="N551" s="358"/>
      <c r="O551" s="358"/>
      <c r="P551" s="358"/>
      <c r="Q551" s="358"/>
    </row>
    <row r="552">
      <c r="A552" s="358"/>
      <c r="B552" s="358"/>
      <c r="C552" s="358"/>
      <c r="D552" s="358"/>
      <c r="E552" s="358"/>
      <c r="F552" s="358"/>
      <c r="G552" s="358"/>
      <c r="H552" s="358"/>
      <c r="I552" s="358"/>
      <c r="J552" s="358"/>
      <c r="K552" s="358"/>
      <c r="L552" s="358"/>
      <c r="M552" s="358"/>
      <c r="N552" s="358"/>
      <c r="O552" s="358"/>
      <c r="P552" s="358"/>
      <c r="Q552" s="358"/>
    </row>
    <row r="553">
      <c r="A553" s="358"/>
      <c r="B553" s="358"/>
      <c r="C553" s="358"/>
      <c r="D553" s="358"/>
      <c r="E553" s="358"/>
      <c r="F553" s="358"/>
      <c r="G553" s="358"/>
      <c r="H553" s="358"/>
      <c r="I553" s="358"/>
      <c r="J553" s="358"/>
      <c r="K553" s="358"/>
      <c r="L553" s="358"/>
      <c r="M553" s="358"/>
      <c r="N553" s="358"/>
      <c r="O553" s="358"/>
      <c r="P553" s="358"/>
      <c r="Q553" s="358"/>
    </row>
    <row r="554">
      <c r="A554" s="358"/>
      <c r="B554" s="358"/>
      <c r="C554" s="358"/>
      <c r="D554" s="358"/>
      <c r="E554" s="358"/>
      <c r="F554" s="358"/>
      <c r="G554" s="358"/>
      <c r="H554" s="358"/>
      <c r="I554" s="358"/>
      <c r="J554" s="358"/>
      <c r="K554" s="358"/>
      <c r="L554" s="358"/>
      <c r="M554" s="358"/>
      <c r="N554" s="358"/>
      <c r="O554" s="358"/>
      <c r="P554" s="358"/>
      <c r="Q554" s="358"/>
    </row>
    <row r="555">
      <c r="A555" s="358"/>
      <c r="B555" s="358"/>
      <c r="C555" s="358"/>
      <c r="D555" s="358"/>
      <c r="E555" s="358"/>
      <c r="F555" s="358"/>
      <c r="G555" s="358"/>
      <c r="H555" s="358"/>
      <c r="I555" s="358"/>
      <c r="J555" s="358"/>
      <c r="K555" s="358"/>
      <c r="L555" s="358"/>
      <c r="M555" s="358"/>
      <c r="N555" s="358"/>
      <c r="O555" s="358"/>
      <c r="P555" s="358"/>
      <c r="Q555" s="358"/>
    </row>
    <row r="556">
      <c r="A556" s="358"/>
      <c r="B556" s="358"/>
      <c r="C556" s="358"/>
      <c r="D556" s="358"/>
      <c r="E556" s="358"/>
      <c r="F556" s="358"/>
      <c r="G556" s="358"/>
      <c r="H556" s="358"/>
      <c r="I556" s="358"/>
      <c r="J556" s="358"/>
      <c r="K556" s="358"/>
      <c r="L556" s="358"/>
      <c r="M556" s="358"/>
      <c r="N556" s="358"/>
      <c r="O556" s="358"/>
      <c r="P556" s="358"/>
      <c r="Q556" s="358"/>
    </row>
    <row r="557">
      <c r="A557" s="358"/>
      <c r="B557" s="358"/>
      <c r="C557" s="358"/>
      <c r="D557" s="358"/>
      <c r="E557" s="358"/>
      <c r="F557" s="358"/>
      <c r="G557" s="358"/>
      <c r="H557" s="358"/>
      <c r="I557" s="358"/>
      <c r="J557" s="358"/>
      <c r="K557" s="358"/>
      <c r="L557" s="358"/>
      <c r="M557" s="358"/>
      <c r="N557" s="358"/>
      <c r="O557" s="358"/>
      <c r="P557" s="358"/>
      <c r="Q557" s="358"/>
    </row>
    <row r="558">
      <c r="A558" s="358"/>
      <c r="B558" s="358"/>
      <c r="C558" s="358"/>
      <c r="D558" s="358"/>
      <c r="E558" s="358"/>
      <c r="F558" s="358"/>
      <c r="G558" s="358"/>
      <c r="H558" s="358"/>
      <c r="I558" s="358"/>
      <c r="J558" s="358"/>
      <c r="K558" s="358"/>
      <c r="L558" s="358"/>
      <c r="M558" s="358"/>
      <c r="N558" s="358"/>
      <c r="O558" s="358"/>
      <c r="P558" s="358"/>
      <c r="Q558" s="358"/>
    </row>
    <row r="559">
      <c r="A559" s="358"/>
      <c r="B559" s="358"/>
      <c r="C559" s="358"/>
      <c r="D559" s="358"/>
      <c r="E559" s="358"/>
      <c r="F559" s="358"/>
      <c r="G559" s="358"/>
      <c r="H559" s="358"/>
      <c r="I559" s="358"/>
      <c r="J559" s="358"/>
      <c r="K559" s="358"/>
      <c r="L559" s="358"/>
      <c r="M559" s="358"/>
      <c r="N559" s="358"/>
      <c r="O559" s="358"/>
      <c r="P559" s="358"/>
      <c r="Q559" s="358"/>
    </row>
    <row r="560">
      <c r="A560" s="358"/>
      <c r="B560" s="358"/>
      <c r="C560" s="358"/>
      <c r="D560" s="358"/>
      <c r="E560" s="358"/>
      <c r="F560" s="358"/>
      <c r="G560" s="358"/>
      <c r="H560" s="358"/>
      <c r="I560" s="358"/>
      <c r="J560" s="358"/>
      <c r="K560" s="358"/>
      <c r="L560" s="358"/>
      <c r="M560" s="358"/>
      <c r="N560" s="358"/>
      <c r="O560" s="358"/>
      <c r="P560" s="358"/>
      <c r="Q560" s="358"/>
    </row>
    <row r="561">
      <c r="A561" s="358"/>
      <c r="B561" s="358"/>
      <c r="C561" s="358"/>
      <c r="D561" s="358"/>
      <c r="E561" s="358"/>
      <c r="F561" s="358"/>
      <c r="G561" s="358"/>
      <c r="H561" s="358"/>
      <c r="I561" s="358"/>
      <c r="J561" s="358"/>
      <c r="K561" s="358"/>
      <c r="L561" s="358"/>
      <c r="M561" s="358"/>
      <c r="N561" s="358"/>
      <c r="O561" s="358"/>
      <c r="P561" s="358"/>
      <c r="Q561" s="358"/>
    </row>
    <row r="562">
      <c r="A562" s="358"/>
      <c r="B562" s="358"/>
      <c r="C562" s="358"/>
      <c r="D562" s="358"/>
      <c r="E562" s="358"/>
      <c r="F562" s="358"/>
      <c r="G562" s="358"/>
      <c r="H562" s="358"/>
      <c r="I562" s="358"/>
      <c r="J562" s="358"/>
      <c r="K562" s="358"/>
      <c r="L562" s="358"/>
      <c r="M562" s="358"/>
      <c r="N562" s="358"/>
      <c r="O562" s="358"/>
      <c r="P562" s="358"/>
      <c r="Q562" s="358"/>
    </row>
    <row r="563">
      <c r="A563" s="358"/>
      <c r="B563" s="358"/>
      <c r="C563" s="358"/>
      <c r="D563" s="358"/>
      <c r="E563" s="358"/>
      <c r="F563" s="358"/>
      <c r="G563" s="358"/>
      <c r="H563" s="358"/>
      <c r="I563" s="358"/>
      <c r="J563" s="358"/>
      <c r="K563" s="358"/>
      <c r="L563" s="358"/>
      <c r="M563" s="358"/>
      <c r="N563" s="358"/>
      <c r="O563" s="358"/>
      <c r="P563" s="358"/>
      <c r="Q563" s="358"/>
    </row>
    <row r="564">
      <c r="A564" s="358"/>
      <c r="B564" s="358"/>
      <c r="C564" s="358"/>
      <c r="D564" s="358"/>
      <c r="E564" s="358"/>
      <c r="F564" s="358"/>
      <c r="G564" s="358"/>
      <c r="H564" s="358"/>
      <c r="I564" s="358"/>
      <c r="J564" s="358"/>
      <c r="K564" s="358"/>
      <c r="L564" s="358"/>
      <c r="M564" s="358"/>
      <c r="N564" s="358"/>
      <c r="O564" s="358"/>
      <c r="P564" s="358"/>
      <c r="Q564" s="358"/>
    </row>
    <row r="565">
      <c r="A565" s="358"/>
      <c r="B565" s="358"/>
      <c r="C565" s="358"/>
      <c r="D565" s="358"/>
      <c r="E565" s="358"/>
      <c r="F565" s="358"/>
      <c r="G565" s="358"/>
      <c r="H565" s="358"/>
      <c r="I565" s="358"/>
      <c r="J565" s="358"/>
      <c r="K565" s="358"/>
      <c r="L565" s="358"/>
      <c r="M565" s="358"/>
      <c r="N565" s="358"/>
      <c r="O565" s="358"/>
      <c r="P565" s="358"/>
      <c r="Q565" s="358"/>
    </row>
    <row r="566">
      <c r="A566" s="358"/>
      <c r="B566" s="358"/>
      <c r="C566" s="358"/>
      <c r="D566" s="358"/>
      <c r="E566" s="358"/>
      <c r="F566" s="358"/>
      <c r="G566" s="358"/>
      <c r="H566" s="358"/>
      <c r="I566" s="358"/>
      <c r="J566" s="358"/>
      <c r="K566" s="358"/>
      <c r="L566" s="358"/>
      <c r="M566" s="358"/>
      <c r="N566" s="358"/>
      <c r="O566" s="358"/>
      <c r="P566" s="358"/>
      <c r="Q566" s="358"/>
    </row>
    <row r="567">
      <c r="A567" s="358"/>
      <c r="B567" s="358"/>
      <c r="C567" s="358"/>
      <c r="D567" s="358"/>
      <c r="E567" s="358"/>
      <c r="F567" s="358"/>
      <c r="G567" s="358"/>
      <c r="H567" s="358"/>
      <c r="I567" s="358"/>
      <c r="J567" s="358"/>
      <c r="K567" s="358"/>
      <c r="L567" s="358"/>
      <c r="M567" s="358"/>
      <c r="N567" s="358"/>
      <c r="O567" s="358"/>
      <c r="P567" s="358"/>
      <c r="Q567" s="358"/>
    </row>
    <row r="568">
      <c r="A568" s="358"/>
      <c r="B568" s="358"/>
      <c r="C568" s="358"/>
      <c r="D568" s="358"/>
      <c r="E568" s="358"/>
      <c r="F568" s="358"/>
      <c r="G568" s="358"/>
      <c r="H568" s="358"/>
      <c r="I568" s="358"/>
      <c r="J568" s="358"/>
      <c r="K568" s="358"/>
      <c r="L568" s="358"/>
      <c r="M568" s="358"/>
      <c r="N568" s="358"/>
      <c r="O568" s="358"/>
      <c r="P568" s="358"/>
      <c r="Q568" s="358"/>
    </row>
    <row r="569">
      <c r="A569" s="358"/>
      <c r="B569" s="358"/>
      <c r="C569" s="358"/>
      <c r="D569" s="358"/>
      <c r="E569" s="358"/>
      <c r="F569" s="358"/>
      <c r="G569" s="358"/>
      <c r="H569" s="358"/>
      <c r="I569" s="358"/>
      <c r="J569" s="358"/>
      <c r="K569" s="358"/>
      <c r="L569" s="358"/>
      <c r="M569" s="358"/>
      <c r="N569" s="358"/>
      <c r="O569" s="358"/>
      <c r="P569" s="358"/>
      <c r="Q569" s="358"/>
    </row>
    <row r="570">
      <c r="A570" s="358"/>
      <c r="B570" s="358"/>
      <c r="C570" s="358"/>
      <c r="D570" s="358"/>
      <c r="E570" s="358"/>
      <c r="F570" s="358"/>
      <c r="G570" s="358"/>
      <c r="H570" s="358"/>
      <c r="I570" s="358"/>
      <c r="J570" s="358"/>
      <c r="K570" s="358"/>
      <c r="L570" s="358"/>
      <c r="M570" s="358"/>
      <c r="N570" s="358"/>
      <c r="O570" s="358"/>
      <c r="P570" s="358"/>
      <c r="Q570" s="358"/>
    </row>
    <row r="571">
      <c r="A571" s="358"/>
      <c r="B571" s="358"/>
      <c r="C571" s="358"/>
      <c r="D571" s="358"/>
      <c r="E571" s="358"/>
      <c r="F571" s="358"/>
      <c r="G571" s="358"/>
      <c r="H571" s="358"/>
      <c r="I571" s="358"/>
      <c r="J571" s="358"/>
      <c r="K571" s="358"/>
      <c r="L571" s="358"/>
      <c r="M571" s="358"/>
      <c r="N571" s="358"/>
      <c r="O571" s="358"/>
      <c r="P571" s="358"/>
      <c r="Q571" s="358"/>
    </row>
    <row r="572">
      <c r="A572" s="358"/>
      <c r="B572" s="358"/>
      <c r="C572" s="358"/>
      <c r="D572" s="358"/>
      <c r="E572" s="358"/>
      <c r="F572" s="358"/>
      <c r="G572" s="358"/>
      <c r="H572" s="358"/>
      <c r="I572" s="358"/>
      <c r="J572" s="358"/>
      <c r="K572" s="358"/>
      <c r="L572" s="358"/>
      <c r="M572" s="358"/>
      <c r="N572" s="358"/>
      <c r="O572" s="358"/>
      <c r="P572" s="358"/>
      <c r="Q572" s="358"/>
    </row>
    <row r="573">
      <c r="A573" s="358"/>
      <c r="B573" s="358"/>
      <c r="C573" s="358"/>
      <c r="D573" s="358"/>
      <c r="E573" s="358"/>
      <c r="F573" s="358"/>
      <c r="G573" s="358"/>
      <c r="H573" s="358"/>
      <c r="I573" s="358"/>
      <c r="J573" s="358"/>
      <c r="K573" s="358"/>
      <c r="L573" s="358"/>
      <c r="M573" s="358"/>
      <c r="N573" s="358"/>
      <c r="O573" s="358"/>
      <c r="P573" s="358"/>
      <c r="Q573" s="358"/>
    </row>
    <row r="574">
      <c r="A574" s="358"/>
      <c r="B574" s="358"/>
      <c r="C574" s="358"/>
      <c r="D574" s="358"/>
      <c r="E574" s="358"/>
      <c r="F574" s="358"/>
      <c r="G574" s="358"/>
      <c r="H574" s="358"/>
      <c r="I574" s="358"/>
      <c r="J574" s="358"/>
      <c r="K574" s="358"/>
      <c r="L574" s="358"/>
      <c r="M574" s="358"/>
      <c r="N574" s="358"/>
      <c r="O574" s="358"/>
      <c r="P574" s="358"/>
      <c r="Q574" s="358"/>
    </row>
    <row r="575">
      <c r="A575" s="358"/>
      <c r="B575" s="358"/>
      <c r="C575" s="358"/>
      <c r="D575" s="358"/>
      <c r="E575" s="358"/>
      <c r="F575" s="358"/>
      <c r="G575" s="358"/>
      <c r="H575" s="358"/>
      <c r="I575" s="358"/>
      <c r="J575" s="358"/>
      <c r="K575" s="358"/>
      <c r="L575" s="358"/>
      <c r="M575" s="358"/>
      <c r="N575" s="358"/>
      <c r="O575" s="358"/>
      <c r="P575" s="358"/>
      <c r="Q575" s="358"/>
    </row>
    <row r="576">
      <c r="A576" s="358"/>
      <c r="B576" s="358"/>
      <c r="C576" s="358"/>
      <c r="D576" s="358"/>
      <c r="E576" s="358"/>
      <c r="F576" s="358"/>
      <c r="G576" s="358"/>
      <c r="H576" s="358"/>
      <c r="I576" s="358"/>
      <c r="J576" s="358"/>
      <c r="K576" s="358"/>
      <c r="L576" s="358"/>
      <c r="M576" s="358"/>
      <c r="N576" s="358"/>
      <c r="O576" s="358"/>
      <c r="P576" s="358"/>
      <c r="Q576" s="358"/>
    </row>
    <row r="577">
      <c r="A577" s="358"/>
      <c r="B577" s="358"/>
      <c r="C577" s="358"/>
      <c r="D577" s="358"/>
      <c r="E577" s="358"/>
      <c r="F577" s="358"/>
      <c r="G577" s="358"/>
      <c r="H577" s="358"/>
      <c r="I577" s="358"/>
      <c r="J577" s="358"/>
      <c r="K577" s="358"/>
      <c r="L577" s="358"/>
      <c r="M577" s="358"/>
      <c r="N577" s="358"/>
      <c r="O577" s="358"/>
      <c r="P577" s="358"/>
      <c r="Q577" s="358"/>
    </row>
    <row r="578">
      <c r="A578" s="358"/>
      <c r="B578" s="358"/>
      <c r="C578" s="358"/>
      <c r="D578" s="358"/>
      <c r="E578" s="358"/>
      <c r="F578" s="358"/>
      <c r="G578" s="358"/>
      <c r="H578" s="358"/>
      <c r="I578" s="358"/>
      <c r="J578" s="358"/>
      <c r="K578" s="358"/>
      <c r="L578" s="358"/>
      <c r="M578" s="358"/>
      <c r="N578" s="358"/>
      <c r="O578" s="358"/>
      <c r="P578" s="358"/>
      <c r="Q578" s="358"/>
    </row>
    <row r="579">
      <c r="A579" s="358"/>
      <c r="B579" s="358"/>
      <c r="C579" s="358"/>
      <c r="D579" s="358"/>
      <c r="E579" s="358"/>
      <c r="F579" s="358"/>
      <c r="G579" s="358"/>
      <c r="H579" s="358"/>
      <c r="I579" s="358"/>
      <c r="J579" s="358"/>
      <c r="K579" s="358"/>
      <c r="L579" s="358"/>
      <c r="M579" s="358"/>
      <c r="N579" s="358"/>
      <c r="O579" s="358"/>
      <c r="P579" s="358"/>
      <c r="Q579" s="358"/>
    </row>
    <row r="580">
      <c r="A580" s="358"/>
      <c r="B580" s="358"/>
      <c r="C580" s="358"/>
      <c r="D580" s="358"/>
      <c r="E580" s="358"/>
      <c r="F580" s="358"/>
      <c r="G580" s="358"/>
      <c r="H580" s="358"/>
      <c r="I580" s="358"/>
      <c r="J580" s="358"/>
      <c r="K580" s="358"/>
      <c r="L580" s="358"/>
      <c r="M580" s="358"/>
      <c r="N580" s="358"/>
      <c r="O580" s="358"/>
      <c r="P580" s="358"/>
      <c r="Q580" s="358"/>
    </row>
    <row r="581">
      <c r="A581" s="358"/>
      <c r="B581" s="358"/>
      <c r="C581" s="358"/>
      <c r="D581" s="358"/>
      <c r="E581" s="358"/>
      <c r="F581" s="358"/>
      <c r="G581" s="358"/>
      <c r="H581" s="358"/>
      <c r="I581" s="358"/>
      <c r="J581" s="358"/>
      <c r="K581" s="358"/>
      <c r="L581" s="358"/>
      <c r="M581" s="358"/>
      <c r="N581" s="358"/>
      <c r="O581" s="358"/>
      <c r="P581" s="358"/>
      <c r="Q581" s="358"/>
    </row>
    <row r="582">
      <c r="A582" s="358"/>
      <c r="B582" s="358"/>
      <c r="C582" s="358"/>
      <c r="D582" s="358"/>
      <c r="E582" s="358"/>
      <c r="F582" s="358"/>
      <c r="G582" s="358"/>
      <c r="H582" s="358"/>
      <c r="I582" s="358"/>
      <c r="J582" s="358"/>
      <c r="K582" s="358"/>
      <c r="L582" s="358"/>
      <c r="M582" s="358"/>
      <c r="N582" s="358"/>
      <c r="O582" s="358"/>
      <c r="P582" s="358"/>
      <c r="Q582" s="358"/>
    </row>
    <row r="583">
      <c r="A583" s="358"/>
      <c r="B583" s="358"/>
      <c r="C583" s="358"/>
      <c r="D583" s="358"/>
      <c r="E583" s="358"/>
      <c r="F583" s="358"/>
      <c r="G583" s="358"/>
      <c r="H583" s="358"/>
      <c r="I583" s="358"/>
      <c r="J583" s="358"/>
      <c r="K583" s="358"/>
      <c r="L583" s="358"/>
      <c r="M583" s="358"/>
      <c r="N583" s="358"/>
      <c r="O583" s="358"/>
      <c r="P583" s="358"/>
      <c r="Q583" s="358"/>
    </row>
    <row r="584">
      <c r="A584" s="358"/>
      <c r="B584" s="358"/>
      <c r="C584" s="358"/>
      <c r="D584" s="358"/>
      <c r="E584" s="358"/>
      <c r="F584" s="358"/>
      <c r="G584" s="358"/>
      <c r="H584" s="358"/>
      <c r="I584" s="358"/>
      <c r="J584" s="358"/>
      <c r="K584" s="358"/>
      <c r="L584" s="358"/>
      <c r="M584" s="358"/>
      <c r="N584" s="358"/>
      <c r="O584" s="358"/>
      <c r="P584" s="358"/>
      <c r="Q584" s="358"/>
    </row>
    <row r="585">
      <c r="A585" s="358"/>
      <c r="B585" s="358"/>
      <c r="C585" s="358"/>
      <c r="D585" s="358"/>
      <c r="E585" s="358"/>
      <c r="F585" s="358"/>
      <c r="G585" s="358"/>
      <c r="H585" s="358"/>
      <c r="I585" s="358"/>
      <c r="J585" s="358"/>
      <c r="K585" s="358"/>
      <c r="L585" s="358"/>
      <c r="M585" s="358"/>
      <c r="N585" s="358"/>
      <c r="O585" s="358"/>
      <c r="P585" s="358"/>
      <c r="Q585" s="358"/>
    </row>
    <row r="586">
      <c r="A586" s="358"/>
      <c r="B586" s="358"/>
      <c r="C586" s="358"/>
      <c r="D586" s="358"/>
      <c r="E586" s="358"/>
      <c r="F586" s="358"/>
      <c r="G586" s="358"/>
      <c r="H586" s="358"/>
      <c r="I586" s="358"/>
      <c r="J586" s="358"/>
      <c r="K586" s="358"/>
      <c r="L586" s="358"/>
      <c r="M586" s="358"/>
      <c r="N586" s="358"/>
      <c r="O586" s="358"/>
      <c r="P586" s="358"/>
      <c r="Q586" s="358"/>
    </row>
    <row r="587">
      <c r="A587" s="358"/>
      <c r="B587" s="358"/>
      <c r="C587" s="358"/>
      <c r="D587" s="358"/>
      <c r="E587" s="358"/>
      <c r="F587" s="358"/>
      <c r="G587" s="358"/>
      <c r="H587" s="358"/>
      <c r="I587" s="358"/>
      <c r="J587" s="358"/>
      <c r="K587" s="358"/>
      <c r="L587" s="358"/>
      <c r="M587" s="358"/>
      <c r="N587" s="358"/>
      <c r="O587" s="358"/>
      <c r="P587" s="358"/>
      <c r="Q587" s="358"/>
    </row>
    <row r="588">
      <c r="A588" s="358"/>
      <c r="B588" s="358"/>
      <c r="C588" s="358"/>
      <c r="D588" s="358"/>
      <c r="E588" s="358"/>
      <c r="F588" s="358"/>
      <c r="G588" s="358"/>
      <c r="H588" s="358"/>
      <c r="I588" s="358"/>
      <c r="J588" s="358"/>
      <c r="K588" s="358"/>
      <c r="L588" s="358"/>
      <c r="M588" s="358"/>
      <c r="N588" s="358"/>
      <c r="O588" s="358"/>
      <c r="P588" s="358"/>
      <c r="Q588" s="358"/>
    </row>
    <row r="589">
      <c r="A589" s="358"/>
      <c r="B589" s="358"/>
      <c r="C589" s="358"/>
      <c r="D589" s="358"/>
      <c r="E589" s="358"/>
      <c r="F589" s="358"/>
      <c r="G589" s="358"/>
      <c r="H589" s="358"/>
      <c r="I589" s="358"/>
      <c r="J589" s="358"/>
      <c r="K589" s="358"/>
      <c r="L589" s="358"/>
      <c r="M589" s="358"/>
      <c r="N589" s="358"/>
      <c r="O589" s="358"/>
      <c r="P589" s="358"/>
      <c r="Q589" s="358"/>
    </row>
    <row r="590">
      <c r="A590" s="358"/>
      <c r="B590" s="358"/>
      <c r="C590" s="358"/>
      <c r="D590" s="358"/>
      <c r="E590" s="358"/>
      <c r="F590" s="358"/>
      <c r="G590" s="358"/>
      <c r="H590" s="358"/>
      <c r="I590" s="358"/>
      <c r="J590" s="358"/>
      <c r="K590" s="358"/>
      <c r="L590" s="358"/>
      <c r="M590" s="358"/>
      <c r="N590" s="358"/>
      <c r="O590" s="358"/>
      <c r="P590" s="358"/>
      <c r="Q590" s="358"/>
    </row>
    <row r="591">
      <c r="A591" s="358"/>
      <c r="B591" s="358"/>
      <c r="C591" s="358"/>
      <c r="D591" s="358"/>
      <c r="E591" s="358"/>
      <c r="F591" s="358"/>
      <c r="G591" s="358"/>
      <c r="H591" s="358"/>
      <c r="I591" s="358"/>
      <c r="J591" s="358"/>
      <c r="K591" s="358"/>
      <c r="L591" s="358"/>
      <c r="M591" s="358"/>
      <c r="N591" s="358"/>
      <c r="O591" s="358"/>
      <c r="P591" s="358"/>
      <c r="Q591" s="358"/>
    </row>
    <row r="592">
      <c r="A592" s="358"/>
      <c r="B592" s="358"/>
      <c r="C592" s="358"/>
      <c r="D592" s="358"/>
      <c r="E592" s="358"/>
      <c r="F592" s="358"/>
      <c r="G592" s="358"/>
      <c r="H592" s="358"/>
      <c r="I592" s="358"/>
      <c r="J592" s="358"/>
      <c r="K592" s="358"/>
      <c r="L592" s="358"/>
      <c r="M592" s="358"/>
      <c r="N592" s="358"/>
      <c r="O592" s="358"/>
      <c r="P592" s="358"/>
      <c r="Q592" s="358"/>
    </row>
    <row r="593">
      <c r="A593" s="358"/>
      <c r="B593" s="358"/>
      <c r="C593" s="358"/>
      <c r="D593" s="358"/>
      <c r="E593" s="358"/>
      <c r="F593" s="358"/>
      <c r="G593" s="358"/>
      <c r="H593" s="358"/>
      <c r="I593" s="358"/>
      <c r="J593" s="358"/>
      <c r="K593" s="358"/>
      <c r="L593" s="358"/>
      <c r="M593" s="358"/>
      <c r="N593" s="358"/>
      <c r="O593" s="358"/>
      <c r="P593" s="358"/>
      <c r="Q593" s="358"/>
    </row>
    <row r="594">
      <c r="A594" s="358"/>
      <c r="B594" s="358"/>
      <c r="C594" s="358"/>
      <c r="D594" s="358"/>
      <c r="E594" s="358"/>
      <c r="F594" s="358"/>
      <c r="G594" s="358"/>
      <c r="H594" s="358"/>
      <c r="I594" s="358"/>
      <c r="J594" s="358"/>
      <c r="K594" s="358"/>
      <c r="L594" s="358"/>
      <c r="M594" s="358"/>
      <c r="N594" s="358"/>
      <c r="O594" s="358"/>
      <c r="P594" s="358"/>
      <c r="Q594" s="358"/>
    </row>
    <row r="595">
      <c r="A595" s="358"/>
      <c r="B595" s="358"/>
      <c r="C595" s="358"/>
      <c r="D595" s="358"/>
      <c r="E595" s="358"/>
      <c r="F595" s="358"/>
      <c r="G595" s="358"/>
      <c r="H595" s="358"/>
      <c r="I595" s="358"/>
      <c r="J595" s="358"/>
      <c r="K595" s="358"/>
      <c r="L595" s="358"/>
      <c r="M595" s="358"/>
      <c r="N595" s="358"/>
      <c r="O595" s="358"/>
      <c r="P595" s="358"/>
      <c r="Q595" s="358"/>
    </row>
    <row r="596">
      <c r="A596" s="358"/>
      <c r="B596" s="358"/>
      <c r="C596" s="358"/>
      <c r="D596" s="358"/>
      <c r="E596" s="358"/>
      <c r="F596" s="358"/>
      <c r="G596" s="358"/>
      <c r="H596" s="358"/>
      <c r="I596" s="358"/>
      <c r="J596" s="358"/>
      <c r="K596" s="358"/>
      <c r="L596" s="358"/>
      <c r="M596" s="358"/>
      <c r="N596" s="358"/>
      <c r="O596" s="358"/>
      <c r="P596" s="358"/>
      <c r="Q596" s="358"/>
    </row>
    <row r="597">
      <c r="A597" s="358"/>
      <c r="B597" s="358"/>
      <c r="C597" s="358"/>
      <c r="D597" s="358"/>
      <c r="E597" s="358"/>
      <c r="F597" s="358"/>
      <c r="G597" s="358"/>
      <c r="H597" s="358"/>
      <c r="I597" s="358"/>
      <c r="J597" s="358"/>
      <c r="K597" s="358"/>
      <c r="L597" s="358"/>
      <c r="M597" s="358"/>
      <c r="N597" s="358"/>
      <c r="O597" s="358"/>
      <c r="P597" s="358"/>
      <c r="Q597" s="358"/>
    </row>
    <row r="598">
      <c r="A598" s="358"/>
      <c r="B598" s="358"/>
      <c r="C598" s="358"/>
      <c r="D598" s="358"/>
      <c r="E598" s="358"/>
      <c r="F598" s="358"/>
      <c r="G598" s="358"/>
      <c r="H598" s="358"/>
      <c r="I598" s="358"/>
      <c r="J598" s="358"/>
      <c r="K598" s="358"/>
      <c r="L598" s="358"/>
      <c r="M598" s="358"/>
      <c r="N598" s="358"/>
      <c r="O598" s="358"/>
      <c r="P598" s="358"/>
      <c r="Q598" s="358"/>
    </row>
    <row r="599">
      <c r="A599" s="358"/>
      <c r="B599" s="358"/>
      <c r="C599" s="358"/>
      <c r="D599" s="358"/>
      <c r="E599" s="358"/>
      <c r="F599" s="358"/>
      <c r="G599" s="358"/>
      <c r="H599" s="358"/>
      <c r="I599" s="358"/>
      <c r="J599" s="358"/>
      <c r="K599" s="358"/>
      <c r="L599" s="358"/>
      <c r="M599" s="358"/>
      <c r="N599" s="358"/>
      <c r="O599" s="358"/>
      <c r="P599" s="358"/>
      <c r="Q599" s="358"/>
    </row>
    <row r="600">
      <c r="A600" s="358"/>
      <c r="B600" s="358"/>
      <c r="C600" s="358"/>
      <c r="D600" s="358"/>
      <c r="E600" s="358"/>
      <c r="F600" s="358"/>
      <c r="G600" s="358"/>
      <c r="H600" s="358"/>
      <c r="I600" s="358"/>
      <c r="J600" s="358"/>
      <c r="K600" s="358"/>
      <c r="L600" s="358"/>
      <c r="M600" s="358"/>
      <c r="N600" s="358"/>
      <c r="O600" s="358"/>
      <c r="P600" s="358"/>
      <c r="Q600" s="358"/>
    </row>
    <row r="601">
      <c r="A601" s="358"/>
      <c r="B601" s="358"/>
      <c r="C601" s="358"/>
      <c r="D601" s="358"/>
      <c r="E601" s="358"/>
      <c r="F601" s="358"/>
      <c r="G601" s="358"/>
      <c r="H601" s="358"/>
      <c r="I601" s="358"/>
      <c r="J601" s="358"/>
      <c r="K601" s="358"/>
      <c r="L601" s="358"/>
      <c r="M601" s="358"/>
      <c r="N601" s="358"/>
      <c r="O601" s="358"/>
      <c r="P601" s="358"/>
      <c r="Q601" s="358"/>
    </row>
    <row r="602">
      <c r="A602" s="358"/>
      <c r="B602" s="358"/>
      <c r="C602" s="358"/>
      <c r="D602" s="358"/>
      <c r="E602" s="358"/>
      <c r="F602" s="358"/>
      <c r="G602" s="358"/>
      <c r="H602" s="358"/>
      <c r="I602" s="358"/>
      <c r="J602" s="358"/>
      <c r="K602" s="358"/>
      <c r="L602" s="358"/>
      <c r="M602" s="358"/>
      <c r="N602" s="358"/>
      <c r="O602" s="358"/>
      <c r="P602" s="358"/>
      <c r="Q602" s="358"/>
    </row>
    <row r="603">
      <c r="A603" s="358"/>
      <c r="B603" s="358"/>
      <c r="C603" s="358"/>
      <c r="D603" s="358"/>
      <c r="E603" s="358"/>
      <c r="F603" s="358"/>
      <c r="G603" s="358"/>
      <c r="H603" s="358"/>
      <c r="I603" s="358"/>
      <c r="J603" s="358"/>
      <c r="K603" s="358"/>
      <c r="L603" s="358"/>
      <c r="M603" s="358"/>
      <c r="N603" s="358"/>
      <c r="O603" s="358"/>
      <c r="P603" s="358"/>
      <c r="Q603" s="358"/>
    </row>
    <row r="604">
      <c r="A604" s="358"/>
      <c r="B604" s="358"/>
      <c r="C604" s="358"/>
      <c r="D604" s="358"/>
      <c r="E604" s="358"/>
      <c r="F604" s="358"/>
      <c r="G604" s="358"/>
      <c r="H604" s="358"/>
      <c r="I604" s="358"/>
      <c r="J604" s="358"/>
      <c r="K604" s="358"/>
      <c r="L604" s="358"/>
      <c r="M604" s="358"/>
      <c r="N604" s="358"/>
      <c r="O604" s="358"/>
      <c r="P604" s="358"/>
      <c r="Q604" s="358"/>
    </row>
    <row r="605">
      <c r="A605" s="358"/>
      <c r="B605" s="358"/>
      <c r="C605" s="358"/>
      <c r="D605" s="358"/>
      <c r="E605" s="358"/>
      <c r="F605" s="358"/>
      <c r="G605" s="358"/>
      <c r="H605" s="358"/>
      <c r="I605" s="358"/>
      <c r="J605" s="358"/>
      <c r="K605" s="358"/>
      <c r="L605" s="358"/>
      <c r="M605" s="358"/>
      <c r="N605" s="358"/>
      <c r="O605" s="358"/>
      <c r="P605" s="358"/>
      <c r="Q605" s="358"/>
    </row>
    <row r="606">
      <c r="A606" s="358"/>
      <c r="B606" s="358"/>
      <c r="C606" s="358"/>
      <c r="D606" s="358"/>
      <c r="E606" s="358"/>
      <c r="F606" s="358"/>
      <c r="G606" s="358"/>
      <c r="H606" s="358"/>
      <c r="I606" s="358"/>
      <c r="J606" s="358"/>
      <c r="K606" s="358"/>
      <c r="L606" s="358"/>
      <c r="M606" s="358"/>
      <c r="N606" s="358"/>
      <c r="O606" s="358"/>
      <c r="P606" s="358"/>
      <c r="Q606" s="358"/>
    </row>
    <row r="607">
      <c r="A607" s="358"/>
      <c r="B607" s="358"/>
      <c r="C607" s="358"/>
      <c r="D607" s="358"/>
      <c r="E607" s="358"/>
      <c r="F607" s="358"/>
      <c r="G607" s="358"/>
      <c r="H607" s="358"/>
      <c r="I607" s="358"/>
      <c r="J607" s="358"/>
      <c r="K607" s="358"/>
      <c r="L607" s="358"/>
      <c r="M607" s="358"/>
      <c r="N607" s="358"/>
      <c r="O607" s="358"/>
      <c r="P607" s="358"/>
      <c r="Q607" s="358"/>
    </row>
    <row r="608">
      <c r="A608" s="358"/>
      <c r="B608" s="358"/>
      <c r="C608" s="358"/>
      <c r="D608" s="358"/>
      <c r="E608" s="358"/>
      <c r="F608" s="358"/>
      <c r="G608" s="358"/>
      <c r="H608" s="358"/>
      <c r="I608" s="358"/>
      <c r="J608" s="358"/>
      <c r="K608" s="358"/>
      <c r="L608" s="358"/>
      <c r="M608" s="358"/>
      <c r="N608" s="358"/>
      <c r="O608" s="358"/>
      <c r="P608" s="358"/>
      <c r="Q608" s="358"/>
    </row>
    <row r="609">
      <c r="A609" s="358"/>
      <c r="B609" s="358"/>
      <c r="C609" s="358"/>
      <c r="D609" s="358"/>
      <c r="E609" s="358"/>
      <c r="F609" s="358"/>
      <c r="G609" s="358"/>
      <c r="H609" s="358"/>
      <c r="I609" s="358"/>
      <c r="J609" s="358"/>
      <c r="K609" s="358"/>
      <c r="L609" s="358"/>
      <c r="M609" s="358"/>
      <c r="N609" s="358"/>
      <c r="O609" s="358"/>
      <c r="P609" s="358"/>
      <c r="Q609" s="358"/>
    </row>
    <row r="610">
      <c r="A610" s="358"/>
      <c r="B610" s="358"/>
      <c r="C610" s="358"/>
      <c r="D610" s="358"/>
      <c r="E610" s="358"/>
      <c r="F610" s="358"/>
      <c r="G610" s="358"/>
      <c r="H610" s="358"/>
      <c r="I610" s="358"/>
      <c r="J610" s="358"/>
      <c r="K610" s="358"/>
      <c r="L610" s="358"/>
      <c r="M610" s="358"/>
      <c r="N610" s="358"/>
      <c r="O610" s="358"/>
      <c r="P610" s="358"/>
      <c r="Q610" s="358"/>
    </row>
    <row r="611">
      <c r="A611" s="358"/>
      <c r="B611" s="358"/>
      <c r="C611" s="358"/>
      <c r="D611" s="358"/>
      <c r="E611" s="358"/>
      <c r="F611" s="358"/>
      <c r="G611" s="358"/>
      <c r="H611" s="358"/>
      <c r="I611" s="358"/>
      <c r="J611" s="358"/>
      <c r="K611" s="358"/>
      <c r="L611" s="358"/>
      <c r="M611" s="358"/>
      <c r="N611" s="358"/>
      <c r="O611" s="358"/>
      <c r="P611" s="358"/>
      <c r="Q611" s="358"/>
    </row>
    <row r="612">
      <c r="A612" s="358"/>
      <c r="B612" s="358"/>
      <c r="C612" s="358"/>
      <c r="D612" s="358"/>
      <c r="E612" s="358"/>
      <c r="F612" s="358"/>
      <c r="G612" s="358"/>
      <c r="H612" s="358"/>
      <c r="I612" s="358"/>
      <c r="J612" s="358"/>
      <c r="K612" s="358"/>
      <c r="L612" s="358"/>
      <c r="M612" s="358"/>
      <c r="N612" s="358"/>
      <c r="O612" s="358"/>
      <c r="P612" s="358"/>
      <c r="Q612" s="358"/>
    </row>
    <row r="613">
      <c r="A613" s="358"/>
      <c r="B613" s="358"/>
      <c r="C613" s="358"/>
      <c r="D613" s="358"/>
      <c r="E613" s="358"/>
      <c r="F613" s="358"/>
      <c r="G613" s="358"/>
      <c r="H613" s="358"/>
      <c r="I613" s="358"/>
      <c r="J613" s="358"/>
      <c r="K613" s="358"/>
      <c r="L613" s="358"/>
      <c r="M613" s="358"/>
      <c r="N613" s="358"/>
      <c r="O613" s="358"/>
      <c r="P613" s="358"/>
      <c r="Q613" s="358"/>
    </row>
    <row r="614">
      <c r="A614" s="358"/>
      <c r="B614" s="358"/>
      <c r="C614" s="358"/>
      <c r="D614" s="358"/>
      <c r="E614" s="358"/>
      <c r="F614" s="358"/>
      <c r="G614" s="358"/>
      <c r="H614" s="358"/>
      <c r="I614" s="358"/>
      <c r="J614" s="358"/>
      <c r="K614" s="358"/>
      <c r="L614" s="358"/>
      <c r="M614" s="358"/>
      <c r="N614" s="358"/>
      <c r="O614" s="358"/>
      <c r="P614" s="358"/>
      <c r="Q614" s="358"/>
    </row>
    <row r="615">
      <c r="A615" s="358"/>
      <c r="B615" s="358"/>
      <c r="C615" s="358"/>
      <c r="D615" s="358"/>
      <c r="E615" s="358"/>
      <c r="F615" s="358"/>
      <c r="G615" s="358"/>
      <c r="H615" s="358"/>
      <c r="I615" s="358"/>
      <c r="J615" s="358"/>
      <c r="K615" s="358"/>
      <c r="L615" s="358"/>
      <c r="M615" s="358"/>
      <c r="N615" s="358"/>
      <c r="O615" s="358"/>
      <c r="P615" s="358"/>
      <c r="Q615" s="358"/>
    </row>
    <row r="616">
      <c r="A616" s="358"/>
      <c r="B616" s="358"/>
      <c r="C616" s="358"/>
      <c r="D616" s="358"/>
      <c r="E616" s="358"/>
      <c r="F616" s="358"/>
      <c r="G616" s="358"/>
      <c r="H616" s="358"/>
      <c r="I616" s="358"/>
      <c r="J616" s="358"/>
      <c r="K616" s="358"/>
      <c r="L616" s="358"/>
      <c r="M616" s="358"/>
      <c r="N616" s="358"/>
      <c r="O616" s="358"/>
      <c r="P616" s="358"/>
      <c r="Q616" s="358"/>
    </row>
    <row r="617">
      <c r="A617" s="358"/>
      <c r="B617" s="358"/>
      <c r="C617" s="358"/>
      <c r="D617" s="358"/>
      <c r="E617" s="358"/>
      <c r="F617" s="358"/>
      <c r="G617" s="358"/>
      <c r="H617" s="358"/>
      <c r="I617" s="358"/>
      <c r="J617" s="358"/>
      <c r="K617" s="358"/>
      <c r="L617" s="358"/>
      <c r="M617" s="358"/>
      <c r="N617" s="358"/>
      <c r="O617" s="358"/>
      <c r="P617" s="358"/>
      <c r="Q617" s="358"/>
    </row>
    <row r="618">
      <c r="A618" s="358"/>
      <c r="B618" s="358"/>
      <c r="C618" s="358"/>
      <c r="D618" s="358"/>
      <c r="E618" s="358"/>
      <c r="F618" s="358"/>
      <c r="G618" s="358"/>
      <c r="H618" s="358"/>
      <c r="I618" s="358"/>
      <c r="J618" s="358"/>
      <c r="K618" s="358"/>
      <c r="L618" s="358"/>
      <c r="M618" s="358"/>
      <c r="N618" s="358"/>
      <c r="O618" s="358"/>
      <c r="P618" s="358"/>
      <c r="Q618" s="358"/>
    </row>
    <row r="619">
      <c r="A619" s="358"/>
      <c r="B619" s="358"/>
      <c r="C619" s="358"/>
      <c r="D619" s="358"/>
      <c r="E619" s="358"/>
      <c r="F619" s="358"/>
      <c r="G619" s="358"/>
      <c r="H619" s="358"/>
      <c r="I619" s="358"/>
      <c r="J619" s="358"/>
      <c r="K619" s="358"/>
      <c r="L619" s="358"/>
      <c r="M619" s="358"/>
      <c r="N619" s="358"/>
      <c r="O619" s="358"/>
      <c r="P619" s="358"/>
      <c r="Q619" s="358"/>
    </row>
    <row r="620">
      <c r="A620" s="358"/>
      <c r="B620" s="358"/>
      <c r="C620" s="358"/>
      <c r="D620" s="358"/>
      <c r="E620" s="358"/>
      <c r="F620" s="358"/>
      <c r="G620" s="358"/>
      <c r="H620" s="358"/>
      <c r="I620" s="358"/>
      <c r="J620" s="358"/>
      <c r="K620" s="358"/>
      <c r="L620" s="358"/>
      <c r="M620" s="358"/>
      <c r="N620" s="358"/>
      <c r="O620" s="358"/>
      <c r="P620" s="358"/>
      <c r="Q620" s="358"/>
    </row>
    <row r="621">
      <c r="A621" s="358"/>
      <c r="B621" s="358"/>
      <c r="C621" s="358"/>
      <c r="D621" s="358"/>
      <c r="E621" s="358"/>
      <c r="F621" s="358"/>
      <c r="G621" s="358"/>
      <c r="H621" s="358"/>
      <c r="I621" s="358"/>
      <c r="J621" s="358"/>
      <c r="K621" s="358"/>
      <c r="L621" s="358"/>
      <c r="M621" s="358"/>
      <c r="N621" s="358"/>
      <c r="O621" s="358"/>
      <c r="P621" s="358"/>
      <c r="Q621" s="358"/>
    </row>
    <row r="622">
      <c r="A622" s="358"/>
      <c r="B622" s="358"/>
      <c r="C622" s="358"/>
      <c r="D622" s="358"/>
      <c r="E622" s="358"/>
      <c r="F622" s="358"/>
      <c r="G622" s="358"/>
      <c r="H622" s="358"/>
      <c r="I622" s="358"/>
      <c r="J622" s="358"/>
      <c r="K622" s="358"/>
      <c r="L622" s="358"/>
      <c r="M622" s="358"/>
      <c r="N622" s="358"/>
      <c r="O622" s="358"/>
      <c r="P622" s="358"/>
      <c r="Q622" s="358"/>
    </row>
    <row r="623">
      <c r="A623" s="358"/>
      <c r="B623" s="358"/>
      <c r="C623" s="358"/>
      <c r="D623" s="358"/>
      <c r="E623" s="358"/>
      <c r="F623" s="358"/>
      <c r="G623" s="358"/>
      <c r="H623" s="358"/>
      <c r="I623" s="358"/>
      <c r="J623" s="358"/>
      <c r="K623" s="358"/>
      <c r="L623" s="358"/>
      <c r="M623" s="358"/>
      <c r="N623" s="358"/>
      <c r="O623" s="358"/>
      <c r="P623" s="358"/>
      <c r="Q623" s="358"/>
    </row>
    <row r="624">
      <c r="A624" s="358"/>
      <c r="B624" s="358"/>
      <c r="C624" s="358"/>
      <c r="D624" s="358"/>
      <c r="E624" s="358"/>
      <c r="F624" s="358"/>
      <c r="G624" s="358"/>
      <c r="H624" s="358"/>
      <c r="I624" s="358"/>
      <c r="J624" s="358"/>
      <c r="K624" s="358"/>
      <c r="L624" s="358"/>
      <c r="M624" s="358"/>
      <c r="N624" s="358"/>
      <c r="O624" s="358"/>
      <c r="P624" s="358"/>
      <c r="Q624" s="358"/>
    </row>
    <row r="625">
      <c r="A625" s="358"/>
      <c r="B625" s="358"/>
      <c r="C625" s="358"/>
      <c r="D625" s="358"/>
      <c r="E625" s="358"/>
      <c r="F625" s="358"/>
      <c r="G625" s="358"/>
      <c r="H625" s="358"/>
      <c r="I625" s="358"/>
      <c r="J625" s="358"/>
      <c r="K625" s="358"/>
      <c r="L625" s="358"/>
      <c r="M625" s="358"/>
      <c r="N625" s="358"/>
      <c r="O625" s="358"/>
      <c r="P625" s="358"/>
      <c r="Q625" s="358"/>
    </row>
    <row r="626">
      <c r="A626" s="358"/>
      <c r="B626" s="358"/>
      <c r="C626" s="358"/>
      <c r="D626" s="358"/>
      <c r="E626" s="358"/>
      <c r="F626" s="358"/>
      <c r="G626" s="358"/>
      <c r="H626" s="358"/>
      <c r="I626" s="358"/>
      <c r="J626" s="358"/>
      <c r="K626" s="358"/>
      <c r="L626" s="358"/>
      <c r="M626" s="358"/>
      <c r="N626" s="358"/>
      <c r="O626" s="358"/>
      <c r="P626" s="358"/>
      <c r="Q626" s="358"/>
    </row>
    <row r="627">
      <c r="A627" s="358"/>
      <c r="B627" s="358"/>
      <c r="C627" s="358"/>
      <c r="D627" s="358"/>
      <c r="E627" s="358"/>
      <c r="F627" s="358"/>
      <c r="G627" s="358"/>
      <c r="H627" s="358"/>
      <c r="I627" s="358"/>
      <c r="J627" s="358"/>
      <c r="K627" s="358"/>
      <c r="L627" s="358"/>
      <c r="M627" s="358"/>
      <c r="N627" s="358"/>
      <c r="O627" s="358"/>
      <c r="P627" s="358"/>
      <c r="Q627" s="358"/>
    </row>
    <row r="628">
      <c r="A628" s="358"/>
      <c r="B628" s="358"/>
      <c r="C628" s="358"/>
      <c r="D628" s="358"/>
      <c r="E628" s="358"/>
      <c r="F628" s="358"/>
      <c r="G628" s="358"/>
      <c r="H628" s="358"/>
      <c r="I628" s="358"/>
      <c r="J628" s="358"/>
      <c r="K628" s="358"/>
      <c r="L628" s="358"/>
      <c r="M628" s="358"/>
      <c r="N628" s="358"/>
      <c r="O628" s="358"/>
      <c r="P628" s="358"/>
      <c r="Q628" s="358"/>
    </row>
    <row r="629">
      <c r="A629" s="358"/>
      <c r="B629" s="358"/>
      <c r="C629" s="358"/>
      <c r="D629" s="358"/>
      <c r="E629" s="358"/>
      <c r="F629" s="358"/>
      <c r="G629" s="358"/>
      <c r="H629" s="358"/>
      <c r="I629" s="358"/>
      <c r="J629" s="358"/>
      <c r="K629" s="358"/>
      <c r="L629" s="358"/>
      <c r="M629" s="358"/>
      <c r="N629" s="358"/>
      <c r="O629" s="358"/>
      <c r="P629" s="358"/>
      <c r="Q629" s="358"/>
    </row>
    <row r="630">
      <c r="A630" s="358"/>
      <c r="B630" s="358"/>
      <c r="C630" s="358"/>
      <c r="D630" s="358"/>
      <c r="E630" s="358"/>
      <c r="F630" s="358"/>
      <c r="G630" s="358"/>
      <c r="H630" s="358"/>
      <c r="I630" s="358"/>
      <c r="J630" s="358"/>
      <c r="K630" s="358"/>
      <c r="L630" s="358"/>
      <c r="M630" s="358"/>
      <c r="N630" s="358"/>
      <c r="O630" s="358"/>
      <c r="P630" s="358"/>
      <c r="Q630" s="358"/>
    </row>
    <row r="631">
      <c r="A631" s="358"/>
      <c r="B631" s="358"/>
      <c r="C631" s="358"/>
      <c r="D631" s="358"/>
      <c r="E631" s="358"/>
      <c r="F631" s="358"/>
      <c r="G631" s="358"/>
      <c r="H631" s="358"/>
      <c r="I631" s="358"/>
      <c r="J631" s="358"/>
      <c r="K631" s="358"/>
      <c r="L631" s="358"/>
      <c r="M631" s="358"/>
      <c r="N631" s="358"/>
      <c r="O631" s="358"/>
      <c r="P631" s="358"/>
      <c r="Q631" s="358"/>
    </row>
    <row r="632">
      <c r="A632" s="358"/>
      <c r="B632" s="358"/>
      <c r="C632" s="358"/>
      <c r="D632" s="358"/>
      <c r="E632" s="358"/>
      <c r="F632" s="358"/>
      <c r="G632" s="358"/>
      <c r="H632" s="358"/>
      <c r="I632" s="358"/>
      <c r="J632" s="358"/>
      <c r="K632" s="358"/>
      <c r="L632" s="358"/>
      <c r="M632" s="358"/>
      <c r="N632" s="358"/>
      <c r="O632" s="358"/>
      <c r="P632" s="358"/>
      <c r="Q632" s="358"/>
    </row>
    <row r="633">
      <c r="A633" s="358"/>
      <c r="B633" s="358"/>
      <c r="C633" s="358"/>
      <c r="D633" s="358"/>
      <c r="E633" s="358"/>
      <c r="F633" s="358"/>
      <c r="G633" s="358"/>
      <c r="H633" s="358"/>
      <c r="I633" s="358"/>
      <c r="J633" s="358"/>
      <c r="K633" s="358"/>
      <c r="L633" s="358"/>
      <c r="M633" s="358"/>
      <c r="N633" s="358"/>
      <c r="O633" s="358"/>
      <c r="P633" s="358"/>
      <c r="Q633" s="358"/>
    </row>
    <row r="634">
      <c r="A634" s="358"/>
      <c r="B634" s="358"/>
      <c r="C634" s="358"/>
      <c r="D634" s="358"/>
      <c r="E634" s="358"/>
      <c r="F634" s="358"/>
      <c r="G634" s="358"/>
      <c r="H634" s="358"/>
      <c r="I634" s="358"/>
      <c r="J634" s="358"/>
      <c r="K634" s="358"/>
      <c r="L634" s="358"/>
      <c r="M634" s="358"/>
      <c r="N634" s="358"/>
      <c r="O634" s="358"/>
      <c r="P634" s="358"/>
      <c r="Q634" s="358"/>
    </row>
    <row r="635">
      <c r="A635" s="358"/>
      <c r="B635" s="358"/>
      <c r="C635" s="358"/>
      <c r="D635" s="358"/>
      <c r="E635" s="358"/>
      <c r="F635" s="358"/>
      <c r="G635" s="358"/>
      <c r="H635" s="358"/>
      <c r="I635" s="358"/>
      <c r="J635" s="358"/>
      <c r="K635" s="358"/>
      <c r="L635" s="358"/>
      <c r="M635" s="358"/>
      <c r="N635" s="358"/>
      <c r="O635" s="358"/>
      <c r="P635" s="358"/>
      <c r="Q635" s="358"/>
    </row>
    <row r="636">
      <c r="A636" s="358"/>
      <c r="B636" s="358"/>
      <c r="C636" s="358"/>
      <c r="D636" s="358"/>
      <c r="E636" s="358"/>
      <c r="F636" s="358"/>
      <c r="G636" s="358"/>
      <c r="H636" s="358"/>
      <c r="I636" s="358"/>
      <c r="J636" s="358"/>
      <c r="K636" s="358"/>
      <c r="L636" s="358"/>
      <c r="M636" s="358"/>
      <c r="N636" s="358"/>
      <c r="O636" s="358"/>
      <c r="P636" s="358"/>
      <c r="Q636" s="358"/>
    </row>
    <row r="637">
      <c r="A637" s="358"/>
      <c r="B637" s="358"/>
      <c r="C637" s="358"/>
      <c r="D637" s="358"/>
      <c r="E637" s="358"/>
      <c r="F637" s="358"/>
      <c r="G637" s="358"/>
      <c r="H637" s="358"/>
      <c r="I637" s="358"/>
      <c r="J637" s="358"/>
      <c r="K637" s="358"/>
      <c r="L637" s="358"/>
      <c r="M637" s="358"/>
      <c r="N637" s="358"/>
      <c r="O637" s="358"/>
      <c r="P637" s="358"/>
      <c r="Q637" s="358"/>
    </row>
    <row r="638">
      <c r="A638" s="358"/>
      <c r="B638" s="358"/>
      <c r="C638" s="358"/>
      <c r="D638" s="358"/>
      <c r="E638" s="358"/>
      <c r="F638" s="358"/>
      <c r="G638" s="358"/>
      <c r="H638" s="358"/>
      <c r="I638" s="358"/>
      <c r="J638" s="358"/>
      <c r="K638" s="358"/>
      <c r="L638" s="358"/>
      <c r="M638" s="358"/>
      <c r="N638" s="358"/>
      <c r="O638" s="358"/>
      <c r="P638" s="358"/>
      <c r="Q638" s="358"/>
    </row>
    <row r="639">
      <c r="A639" s="358"/>
      <c r="B639" s="358"/>
      <c r="C639" s="358"/>
      <c r="D639" s="358"/>
      <c r="E639" s="358"/>
      <c r="F639" s="358"/>
      <c r="G639" s="358"/>
      <c r="H639" s="358"/>
      <c r="I639" s="358"/>
      <c r="J639" s="358"/>
      <c r="K639" s="358"/>
      <c r="L639" s="358"/>
      <c r="M639" s="358"/>
      <c r="N639" s="358"/>
      <c r="O639" s="358"/>
      <c r="P639" s="358"/>
      <c r="Q639" s="358"/>
    </row>
    <row r="640">
      <c r="A640" s="358"/>
      <c r="B640" s="358"/>
      <c r="C640" s="358"/>
      <c r="D640" s="358"/>
      <c r="E640" s="358"/>
      <c r="F640" s="358"/>
      <c r="G640" s="358"/>
      <c r="H640" s="358"/>
      <c r="I640" s="358"/>
      <c r="J640" s="358"/>
      <c r="K640" s="358"/>
      <c r="L640" s="358"/>
      <c r="M640" s="358"/>
      <c r="N640" s="358"/>
      <c r="O640" s="358"/>
      <c r="P640" s="358"/>
      <c r="Q640" s="358"/>
    </row>
    <row r="641">
      <c r="A641" s="358"/>
      <c r="B641" s="358"/>
      <c r="C641" s="358"/>
      <c r="D641" s="358"/>
      <c r="E641" s="358"/>
      <c r="F641" s="358"/>
      <c r="G641" s="358"/>
      <c r="H641" s="358"/>
      <c r="I641" s="358"/>
      <c r="J641" s="358"/>
      <c r="K641" s="358"/>
      <c r="L641" s="358"/>
      <c r="M641" s="358"/>
      <c r="N641" s="358"/>
      <c r="O641" s="358"/>
      <c r="P641" s="358"/>
      <c r="Q641" s="358"/>
    </row>
    <row r="642">
      <c r="A642" s="358"/>
      <c r="B642" s="358"/>
      <c r="C642" s="358"/>
      <c r="D642" s="358"/>
      <c r="E642" s="358"/>
      <c r="F642" s="358"/>
      <c r="G642" s="358"/>
      <c r="H642" s="358"/>
      <c r="I642" s="358"/>
      <c r="J642" s="358"/>
      <c r="K642" s="358"/>
      <c r="L642" s="358"/>
      <c r="M642" s="358"/>
      <c r="N642" s="358"/>
      <c r="O642" s="358"/>
      <c r="P642" s="358"/>
      <c r="Q642" s="358"/>
    </row>
    <row r="643">
      <c r="A643" s="358"/>
      <c r="B643" s="358"/>
      <c r="C643" s="358"/>
      <c r="D643" s="358"/>
      <c r="E643" s="358"/>
      <c r="F643" s="358"/>
      <c r="G643" s="358"/>
      <c r="H643" s="358"/>
      <c r="I643" s="358"/>
      <c r="J643" s="358"/>
      <c r="K643" s="358"/>
      <c r="L643" s="358"/>
      <c r="M643" s="358"/>
      <c r="N643" s="358"/>
      <c r="O643" s="358"/>
      <c r="P643" s="358"/>
      <c r="Q643" s="358"/>
    </row>
    <row r="644">
      <c r="A644" s="358"/>
      <c r="B644" s="358"/>
      <c r="C644" s="358"/>
      <c r="D644" s="358"/>
      <c r="E644" s="358"/>
      <c r="F644" s="358"/>
      <c r="G644" s="358"/>
      <c r="H644" s="358"/>
      <c r="I644" s="358"/>
      <c r="J644" s="358"/>
      <c r="K644" s="358"/>
      <c r="L644" s="358"/>
      <c r="M644" s="358"/>
      <c r="N644" s="358"/>
      <c r="O644" s="358"/>
      <c r="P644" s="358"/>
      <c r="Q644" s="358"/>
    </row>
    <row r="645">
      <c r="A645" s="358"/>
      <c r="B645" s="358"/>
      <c r="C645" s="358"/>
      <c r="D645" s="358"/>
      <c r="E645" s="358"/>
      <c r="F645" s="358"/>
      <c r="G645" s="358"/>
      <c r="H645" s="358"/>
      <c r="I645" s="358"/>
      <c r="J645" s="358"/>
      <c r="K645" s="358"/>
      <c r="L645" s="358"/>
      <c r="M645" s="358"/>
      <c r="N645" s="358"/>
      <c r="O645" s="358"/>
      <c r="P645" s="358"/>
      <c r="Q645" s="358"/>
    </row>
    <row r="646">
      <c r="A646" s="358"/>
      <c r="B646" s="358"/>
      <c r="C646" s="358"/>
      <c r="D646" s="358"/>
      <c r="E646" s="358"/>
      <c r="F646" s="358"/>
      <c r="G646" s="358"/>
      <c r="H646" s="358"/>
      <c r="I646" s="358"/>
      <c r="J646" s="358"/>
      <c r="K646" s="358"/>
      <c r="L646" s="358"/>
      <c r="M646" s="358"/>
      <c r="N646" s="358"/>
      <c r="O646" s="358"/>
      <c r="P646" s="358"/>
      <c r="Q646" s="358"/>
    </row>
    <row r="647">
      <c r="A647" s="358"/>
      <c r="B647" s="358"/>
      <c r="C647" s="358"/>
      <c r="D647" s="358"/>
      <c r="E647" s="358"/>
      <c r="F647" s="358"/>
      <c r="G647" s="358"/>
      <c r="H647" s="358"/>
      <c r="I647" s="358"/>
      <c r="J647" s="358"/>
      <c r="K647" s="358"/>
      <c r="L647" s="358"/>
      <c r="M647" s="358"/>
      <c r="N647" s="358"/>
      <c r="O647" s="358"/>
      <c r="P647" s="358"/>
      <c r="Q647" s="358"/>
    </row>
    <row r="648">
      <c r="A648" s="358"/>
      <c r="B648" s="358"/>
      <c r="C648" s="358"/>
      <c r="D648" s="358"/>
      <c r="E648" s="358"/>
      <c r="F648" s="358"/>
      <c r="G648" s="358"/>
      <c r="H648" s="358"/>
      <c r="I648" s="358"/>
      <c r="J648" s="358"/>
      <c r="K648" s="358"/>
      <c r="L648" s="358"/>
      <c r="M648" s="358"/>
      <c r="N648" s="358"/>
      <c r="O648" s="358"/>
      <c r="P648" s="358"/>
      <c r="Q648" s="358"/>
    </row>
    <row r="649">
      <c r="A649" s="358"/>
      <c r="B649" s="358"/>
      <c r="C649" s="358"/>
      <c r="D649" s="358"/>
      <c r="E649" s="358"/>
      <c r="F649" s="358"/>
      <c r="G649" s="358"/>
      <c r="H649" s="358"/>
      <c r="I649" s="358"/>
      <c r="J649" s="358"/>
      <c r="K649" s="358"/>
      <c r="L649" s="358"/>
      <c r="M649" s="358"/>
      <c r="N649" s="358"/>
      <c r="O649" s="358"/>
      <c r="P649" s="358"/>
      <c r="Q649" s="358"/>
    </row>
    <row r="650">
      <c r="A650" s="358"/>
      <c r="B650" s="358"/>
      <c r="C650" s="358"/>
      <c r="D650" s="358"/>
      <c r="E650" s="358"/>
      <c r="F650" s="358"/>
      <c r="G650" s="358"/>
      <c r="H650" s="358"/>
      <c r="I650" s="358"/>
      <c r="J650" s="358"/>
      <c r="K650" s="358"/>
      <c r="L650" s="358"/>
      <c r="M650" s="358"/>
      <c r="N650" s="358"/>
      <c r="O650" s="358"/>
      <c r="P650" s="358"/>
      <c r="Q650" s="358"/>
    </row>
    <row r="651">
      <c r="A651" s="358"/>
      <c r="B651" s="358"/>
      <c r="C651" s="358"/>
      <c r="D651" s="358"/>
      <c r="E651" s="358"/>
      <c r="F651" s="358"/>
      <c r="G651" s="358"/>
      <c r="H651" s="358"/>
      <c r="I651" s="358"/>
      <c r="J651" s="358"/>
      <c r="K651" s="358"/>
      <c r="L651" s="358"/>
      <c r="M651" s="358"/>
      <c r="N651" s="358"/>
      <c r="O651" s="358"/>
      <c r="P651" s="358"/>
      <c r="Q651" s="358"/>
    </row>
    <row r="652">
      <c r="A652" s="358"/>
      <c r="B652" s="358"/>
      <c r="C652" s="358"/>
      <c r="D652" s="358"/>
      <c r="E652" s="358"/>
      <c r="F652" s="358"/>
      <c r="G652" s="358"/>
      <c r="H652" s="358"/>
      <c r="I652" s="358"/>
      <c r="J652" s="358"/>
      <c r="K652" s="358"/>
      <c r="L652" s="358"/>
      <c r="M652" s="358"/>
      <c r="N652" s="358"/>
      <c r="O652" s="358"/>
      <c r="P652" s="358"/>
      <c r="Q652" s="358"/>
    </row>
    <row r="653">
      <c r="A653" s="358"/>
      <c r="B653" s="358"/>
      <c r="C653" s="358"/>
      <c r="D653" s="358"/>
      <c r="E653" s="358"/>
      <c r="F653" s="358"/>
      <c r="G653" s="358"/>
      <c r="H653" s="358"/>
      <c r="I653" s="358"/>
      <c r="J653" s="358"/>
      <c r="K653" s="358"/>
      <c r="L653" s="358"/>
      <c r="M653" s="358"/>
      <c r="N653" s="358"/>
      <c r="O653" s="358"/>
      <c r="P653" s="358"/>
      <c r="Q653" s="358"/>
    </row>
    <row r="654">
      <c r="A654" s="358"/>
      <c r="B654" s="358"/>
      <c r="C654" s="358"/>
      <c r="D654" s="358"/>
      <c r="E654" s="358"/>
      <c r="F654" s="358"/>
      <c r="G654" s="358"/>
      <c r="H654" s="358"/>
      <c r="I654" s="358"/>
      <c r="J654" s="358"/>
      <c r="K654" s="358"/>
      <c r="L654" s="358"/>
      <c r="M654" s="358"/>
      <c r="N654" s="358"/>
      <c r="O654" s="358"/>
      <c r="P654" s="358"/>
      <c r="Q654" s="358"/>
    </row>
    <row r="655">
      <c r="A655" s="358"/>
      <c r="B655" s="358"/>
      <c r="C655" s="358"/>
      <c r="D655" s="358"/>
      <c r="E655" s="358"/>
      <c r="F655" s="358"/>
      <c r="G655" s="358"/>
      <c r="H655" s="358"/>
      <c r="I655" s="358"/>
      <c r="J655" s="358"/>
      <c r="K655" s="358"/>
      <c r="L655" s="358"/>
      <c r="M655" s="358"/>
      <c r="N655" s="358"/>
      <c r="O655" s="358"/>
      <c r="P655" s="358"/>
      <c r="Q655" s="358"/>
    </row>
    <row r="656">
      <c r="A656" s="358"/>
      <c r="B656" s="358"/>
      <c r="C656" s="358"/>
      <c r="D656" s="358"/>
      <c r="E656" s="358"/>
      <c r="F656" s="358"/>
      <c r="G656" s="358"/>
      <c r="H656" s="358"/>
      <c r="I656" s="358"/>
      <c r="J656" s="358"/>
      <c r="K656" s="358"/>
      <c r="L656" s="358"/>
      <c r="M656" s="358"/>
      <c r="N656" s="358"/>
      <c r="O656" s="358"/>
      <c r="P656" s="358"/>
      <c r="Q656" s="358"/>
    </row>
    <row r="657">
      <c r="A657" s="358"/>
      <c r="B657" s="358"/>
      <c r="C657" s="358"/>
      <c r="D657" s="358"/>
      <c r="E657" s="358"/>
      <c r="F657" s="358"/>
      <c r="G657" s="358"/>
      <c r="H657" s="358"/>
      <c r="I657" s="358"/>
      <c r="J657" s="358"/>
      <c r="K657" s="358"/>
      <c r="L657" s="358"/>
      <c r="M657" s="358"/>
      <c r="N657" s="358"/>
      <c r="O657" s="358"/>
      <c r="P657" s="358"/>
      <c r="Q657" s="358"/>
    </row>
    <row r="658">
      <c r="A658" s="358"/>
      <c r="B658" s="358"/>
      <c r="C658" s="358"/>
      <c r="D658" s="358"/>
      <c r="E658" s="358"/>
      <c r="F658" s="358"/>
      <c r="G658" s="358"/>
      <c r="H658" s="358"/>
      <c r="I658" s="358"/>
      <c r="J658" s="358"/>
      <c r="K658" s="358"/>
      <c r="L658" s="358"/>
      <c r="M658" s="358"/>
      <c r="N658" s="358"/>
      <c r="O658" s="358"/>
      <c r="P658" s="358"/>
      <c r="Q658" s="358"/>
    </row>
    <row r="659">
      <c r="A659" s="358"/>
      <c r="B659" s="358"/>
      <c r="C659" s="358"/>
      <c r="D659" s="358"/>
      <c r="E659" s="358"/>
      <c r="F659" s="358"/>
      <c r="G659" s="358"/>
      <c r="H659" s="358"/>
      <c r="I659" s="358"/>
      <c r="J659" s="358"/>
      <c r="K659" s="358"/>
      <c r="L659" s="358"/>
      <c r="M659" s="358"/>
      <c r="N659" s="358"/>
      <c r="O659" s="358"/>
      <c r="P659" s="358"/>
      <c r="Q659" s="358"/>
    </row>
    <row r="660">
      <c r="A660" s="358"/>
      <c r="B660" s="358"/>
      <c r="C660" s="358"/>
      <c r="D660" s="358"/>
      <c r="E660" s="358"/>
      <c r="F660" s="358"/>
      <c r="G660" s="358"/>
      <c r="H660" s="358"/>
      <c r="I660" s="358"/>
      <c r="J660" s="358"/>
      <c r="K660" s="358"/>
      <c r="L660" s="358"/>
      <c r="M660" s="358"/>
      <c r="N660" s="358"/>
      <c r="O660" s="358"/>
      <c r="P660" s="358"/>
      <c r="Q660" s="358"/>
    </row>
    <row r="661">
      <c r="A661" s="358"/>
      <c r="B661" s="358"/>
      <c r="C661" s="358"/>
      <c r="D661" s="358"/>
      <c r="E661" s="358"/>
      <c r="F661" s="358"/>
      <c r="G661" s="358"/>
      <c r="H661" s="358"/>
      <c r="I661" s="358"/>
      <c r="J661" s="358"/>
      <c r="K661" s="358"/>
      <c r="L661" s="358"/>
      <c r="M661" s="358"/>
      <c r="N661" s="358"/>
      <c r="O661" s="358"/>
      <c r="P661" s="358"/>
      <c r="Q661" s="358"/>
    </row>
    <row r="662">
      <c r="A662" s="358"/>
      <c r="B662" s="358"/>
      <c r="C662" s="358"/>
      <c r="D662" s="358"/>
      <c r="E662" s="358"/>
      <c r="F662" s="358"/>
      <c r="G662" s="358"/>
      <c r="H662" s="358"/>
      <c r="I662" s="358"/>
      <c r="J662" s="358"/>
      <c r="K662" s="358"/>
      <c r="L662" s="358"/>
      <c r="M662" s="358"/>
      <c r="N662" s="358"/>
      <c r="O662" s="358"/>
      <c r="P662" s="358"/>
      <c r="Q662" s="358"/>
    </row>
    <row r="663">
      <c r="A663" s="358"/>
      <c r="B663" s="358"/>
      <c r="C663" s="358"/>
      <c r="D663" s="358"/>
      <c r="E663" s="358"/>
      <c r="F663" s="358"/>
      <c r="G663" s="358"/>
      <c r="H663" s="358"/>
      <c r="I663" s="358"/>
      <c r="J663" s="358"/>
      <c r="K663" s="358"/>
      <c r="L663" s="358"/>
      <c r="M663" s="358"/>
      <c r="N663" s="358"/>
      <c r="O663" s="358"/>
      <c r="P663" s="358"/>
      <c r="Q663" s="358"/>
    </row>
    <row r="664">
      <c r="A664" s="358"/>
      <c r="B664" s="358"/>
      <c r="C664" s="358"/>
      <c r="D664" s="358"/>
      <c r="E664" s="358"/>
      <c r="F664" s="358"/>
      <c r="G664" s="358"/>
      <c r="H664" s="358"/>
      <c r="I664" s="358"/>
      <c r="J664" s="358"/>
      <c r="K664" s="358"/>
      <c r="L664" s="358"/>
      <c r="M664" s="358"/>
      <c r="N664" s="358"/>
      <c r="O664" s="358"/>
      <c r="P664" s="358"/>
      <c r="Q664" s="358"/>
    </row>
    <row r="665">
      <c r="A665" s="358"/>
      <c r="B665" s="358"/>
      <c r="C665" s="358"/>
      <c r="D665" s="358"/>
      <c r="E665" s="358"/>
      <c r="F665" s="358"/>
      <c r="G665" s="358"/>
      <c r="H665" s="358"/>
      <c r="I665" s="358"/>
      <c r="J665" s="358"/>
      <c r="K665" s="358"/>
      <c r="L665" s="358"/>
      <c r="M665" s="358"/>
      <c r="N665" s="358"/>
      <c r="O665" s="358"/>
      <c r="P665" s="358"/>
      <c r="Q665" s="358"/>
    </row>
    <row r="666">
      <c r="A666" s="358"/>
      <c r="B666" s="358"/>
      <c r="C666" s="358"/>
      <c r="D666" s="358"/>
      <c r="E666" s="358"/>
      <c r="F666" s="358"/>
      <c r="G666" s="358"/>
      <c r="H666" s="358"/>
      <c r="I666" s="358"/>
      <c r="J666" s="358"/>
      <c r="K666" s="358"/>
      <c r="L666" s="358"/>
      <c r="M666" s="358"/>
      <c r="N666" s="358"/>
      <c r="O666" s="358"/>
      <c r="P666" s="358"/>
      <c r="Q666" s="358"/>
    </row>
    <row r="667">
      <c r="A667" s="358"/>
      <c r="B667" s="358"/>
      <c r="C667" s="358"/>
      <c r="D667" s="358"/>
      <c r="E667" s="358"/>
      <c r="F667" s="358"/>
      <c r="G667" s="358"/>
      <c r="H667" s="358"/>
      <c r="I667" s="358"/>
      <c r="J667" s="358"/>
      <c r="K667" s="358"/>
      <c r="L667" s="358"/>
      <c r="M667" s="358"/>
      <c r="N667" s="358"/>
      <c r="O667" s="358"/>
      <c r="P667" s="358"/>
      <c r="Q667" s="358"/>
    </row>
    <row r="668">
      <c r="A668" s="358"/>
      <c r="B668" s="358"/>
      <c r="C668" s="358"/>
      <c r="D668" s="358"/>
      <c r="E668" s="358"/>
      <c r="F668" s="358"/>
      <c r="G668" s="358"/>
      <c r="H668" s="358"/>
      <c r="I668" s="358"/>
      <c r="J668" s="358"/>
      <c r="K668" s="358"/>
      <c r="L668" s="358"/>
      <c r="M668" s="358"/>
      <c r="N668" s="358"/>
      <c r="O668" s="358"/>
      <c r="P668" s="358"/>
      <c r="Q668" s="358"/>
    </row>
    <row r="669">
      <c r="A669" s="358"/>
      <c r="B669" s="358"/>
      <c r="C669" s="358"/>
      <c r="D669" s="358"/>
      <c r="E669" s="358"/>
      <c r="F669" s="358"/>
      <c r="G669" s="358"/>
      <c r="H669" s="358"/>
      <c r="I669" s="358"/>
      <c r="J669" s="358"/>
      <c r="K669" s="358"/>
      <c r="L669" s="358"/>
      <c r="M669" s="358"/>
      <c r="N669" s="358"/>
      <c r="O669" s="358"/>
      <c r="P669" s="358"/>
      <c r="Q669" s="358"/>
    </row>
    <row r="670">
      <c r="A670" s="358"/>
      <c r="B670" s="358"/>
      <c r="C670" s="358"/>
      <c r="D670" s="358"/>
      <c r="E670" s="358"/>
      <c r="F670" s="358"/>
      <c r="G670" s="358"/>
      <c r="H670" s="358"/>
      <c r="I670" s="358"/>
      <c r="J670" s="358"/>
      <c r="K670" s="358"/>
      <c r="L670" s="358"/>
      <c r="M670" s="358"/>
      <c r="N670" s="358"/>
      <c r="O670" s="358"/>
      <c r="P670" s="358"/>
      <c r="Q670" s="358"/>
    </row>
    <row r="671">
      <c r="A671" s="358"/>
      <c r="B671" s="358"/>
      <c r="C671" s="358"/>
      <c r="D671" s="358"/>
      <c r="E671" s="358"/>
      <c r="F671" s="358"/>
      <c r="G671" s="358"/>
      <c r="H671" s="358"/>
      <c r="I671" s="358"/>
      <c r="J671" s="358"/>
      <c r="K671" s="358"/>
      <c r="L671" s="358"/>
      <c r="M671" s="358"/>
      <c r="N671" s="358"/>
      <c r="O671" s="358"/>
      <c r="P671" s="358"/>
      <c r="Q671" s="358"/>
    </row>
    <row r="672">
      <c r="A672" s="358"/>
      <c r="B672" s="358"/>
      <c r="C672" s="358"/>
      <c r="D672" s="358"/>
      <c r="E672" s="358"/>
      <c r="F672" s="358"/>
      <c r="G672" s="358"/>
      <c r="H672" s="358"/>
      <c r="I672" s="358"/>
      <c r="J672" s="358"/>
      <c r="K672" s="358"/>
      <c r="L672" s="358"/>
      <c r="M672" s="358"/>
      <c r="N672" s="358"/>
      <c r="O672" s="358"/>
      <c r="P672" s="358"/>
      <c r="Q672" s="358"/>
    </row>
    <row r="673">
      <c r="A673" s="358"/>
      <c r="B673" s="358"/>
      <c r="C673" s="358"/>
      <c r="D673" s="358"/>
      <c r="E673" s="358"/>
      <c r="F673" s="358"/>
      <c r="G673" s="358"/>
      <c r="H673" s="358"/>
      <c r="I673" s="358"/>
      <c r="J673" s="358"/>
      <c r="K673" s="358"/>
      <c r="L673" s="358"/>
      <c r="M673" s="358"/>
      <c r="N673" s="358"/>
      <c r="O673" s="358"/>
      <c r="P673" s="358"/>
      <c r="Q673" s="358"/>
    </row>
    <row r="674">
      <c r="A674" s="358"/>
      <c r="B674" s="358"/>
      <c r="C674" s="358"/>
      <c r="D674" s="358"/>
      <c r="E674" s="358"/>
      <c r="F674" s="358"/>
      <c r="G674" s="358"/>
      <c r="H674" s="358"/>
      <c r="I674" s="358"/>
      <c r="J674" s="358"/>
      <c r="K674" s="358"/>
      <c r="L674" s="358"/>
      <c r="M674" s="358"/>
      <c r="N674" s="358"/>
      <c r="O674" s="358"/>
      <c r="P674" s="358"/>
      <c r="Q674" s="358"/>
    </row>
    <row r="675">
      <c r="A675" s="358"/>
      <c r="B675" s="358"/>
      <c r="C675" s="358"/>
      <c r="D675" s="358"/>
      <c r="E675" s="358"/>
      <c r="F675" s="358"/>
      <c r="G675" s="358"/>
      <c r="H675" s="358"/>
      <c r="I675" s="358"/>
      <c r="J675" s="358"/>
      <c r="K675" s="358"/>
      <c r="L675" s="358"/>
      <c r="M675" s="358"/>
      <c r="N675" s="358"/>
      <c r="O675" s="358"/>
      <c r="P675" s="358"/>
      <c r="Q675" s="358"/>
    </row>
    <row r="676">
      <c r="A676" s="358"/>
      <c r="B676" s="358"/>
      <c r="C676" s="358"/>
      <c r="D676" s="358"/>
      <c r="E676" s="358"/>
      <c r="F676" s="358"/>
      <c r="G676" s="358"/>
      <c r="H676" s="358"/>
      <c r="I676" s="358"/>
      <c r="J676" s="358"/>
      <c r="K676" s="358"/>
      <c r="L676" s="358"/>
      <c r="M676" s="358"/>
      <c r="N676" s="358"/>
      <c r="O676" s="358"/>
      <c r="P676" s="358"/>
      <c r="Q676" s="358"/>
    </row>
    <row r="677">
      <c r="A677" s="358"/>
      <c r="B677" s="358"/>
      <c r="C677" s="358"/>
      <c r="D677" s="358"/>
      <c r="E677" s="358"/>
      <c r="F677" s="358"/>
      <c r="G677" s="358"/>
      <c r="H677" s="358"/>
      <c r="I677" s="358"/>
      <c r="J677" s="358"/>
      <c r="K677" s="358"/>
      <c r="L677" s="358"/>
      <c r="M677" s="358"/>
      <c r="N677" s="358"/>
      <c r="O677" s="358"/>
      <c r="P677" s="358"/>
      <c r="Q677" s="358"/>
    </row>
    <row r="678">
      <c r="A678" s="358"/>
      <c r="B678" s="358"/>
      <c r="C678" s="358"/>
      <c r="D678" s="358"/>
      <c r="E678" s="358"/>
      <c r="F678" s="358"/>
      <c r="G678" s="358"/>
      <c r="H678" s="358"/>
      <c r="I678" s="358"/>
      <c r="J678" s="358"/>
      <c r="K678" s="358"/>
      <c r="L678" s="358"/>
      <c r="M678" s="358"/>
      <c r="N678" s="358"/>
      <c r="O678" s="358"/>
      <c r="P678" s="358"/>
      <c r="Q678" s="358"/>
    </row>
    <row r="679">
      <c r="A679" s="358"/>
      <c r="B679" s="358"/>
      <c r="C679" s="358"/>
      <c r="D679" s="358"/>
      <c r="E679" s="358"/>
      <c r="F679" s="358"/>
      <c r="G679" s="358"/>
      <c r="H679" s="358"/>
      <c r="I679" s="358"/>
      <c r="J679" s="358"/>
      <c r="K679" s="358"/>
      <c r="L679" s="358"/>
      <c r="M679" s="358"/>
      <c r="N679" s="358"/>
      <c r="O679" s="358"/>
      <c r="P679" s="358"/>
      <c r="Q679" s="358"/>
    </row>
    <row r="680">
      <c r="A680" s="358"/>
      <c r="B680" s="358"/>
      <c r="C680" s="358"/>
      <c r="D680" s="358"/>
      <c r="E680" s="358"/>
      <c r="F680" s="358"/>
      <c r="G680" s="358"/>
      <c r="H680" s="358"/>
      <c r="I680" s="358"/>
      <c r="J680" s="358"/>
      <c r="K680" s="358"/>
      <c r="L680" s="358"/>
      <c r="M680" s="358"/>
      <c r="N680" s="358"/>
      <c r="O680" s="358"/>
      <c r="P680" s="358"/>
      <c r="Q680" s="358"/>
    </row>
    <row r="681">
      <c r="A681" s="358"/>
      <c r="B681" s="358"/>
      <c r="C681" s="358"/>
      <c r="D681" s="358"/>
      <c r="E681" s="358"/>
      <c r="F681" s="358"/>
      <c r="G681" s="358"/>
      <c r="H681" s="358"/>
      <c r="I681" s="358"/>
      <c r="J681" s="358"/>
      <c r="K681" s="358"/>
      <c r="L681" s="358"/>
      <c r="M681" s="358"/>
      <c r="N681" s="358"/>
      <c r="O681" s="358"/>
      <c r="P681" s="358"/>
      <c r="Q681" s="358"/>
    </row>
    <row r="682">
      <c r="A682" s="358"/>
      <c r="B682" s="358"/>
      <c r="C682" s="358"/>
      <c r="D682" s="358"/>
      <c r="E682" s="358"/>
      <c r="F682" s="358"/>
      <c r="G682" s="358"/>
      <c r="H682" s="358"/>
      <c r="I682" s="358"/>
      <c r="J682" s="358"/>
      <c r="K682" s="358"/>
      <c r="L682" s="358"/>
      <c r="M682" s="358"/>
      <c r="N682" s="358"/>
      <c r="O682" s="358"/>
      <c r="P682" s="358"/>
      <c r="Q682" s="358"/>
    </row>
    <row r="683">
      <c r="A683" s="358"/>
      <c r="B683" s="358"/>
      <c r="C683" s="358"/>
      <c r="D683" s="358"/>
      <c r="E683" s="358"/>
      <c r="F683" s="358"/>
      <c r="G683" s="358"/>
      <c r="H683" s="358"/>
      <c r="I683" s="358"/>
      <c r="J683" s="358"/>
      <c r="K683" s="358"/>
      <c r="L683" s="358"/>
      <c r="M683" s="358"/>
      <c r="N683" s="358"/>
      <c r="O683" s="358"/>
      <c r="P683" s="358"/>
      <c r="Q683" s="358"/>
    </row>
    <row r="684">
      <c r="A684" s="358"/>
      <c r="B684" s="358"/>
      <c r="C684" s="358"/>
      <c r="D684" s="358"/>
      <c r="E684" s="358"/>
      <c r="F684" s="358"/>
      <c r="G684" s="358"/>
      <c r="H684" s="358"/>
      <c r="I684" s="358"/>
      <c r="J684" s="358"/>
      <c r="K684" s="358"/>
      <c r="L684" s="358"/>
      <c r="M684" s="358"/>
      <c r="N684" s="358"/>
      <c r="O684" s="358"/>
      <c r="P684" s="358"/>
      <c r="Q684" s="358"/>
    </row>
    <row r="685">
      <c r="A685" s="358"/>
      <c r="B685" s="358"/>
      <c r="C685" s="358"/>
      <c r="D685" s="358"/>
      <c r="E685" s="358"/>
      <c r="F685" s="358"/>
      <c r="G685" s="358"/>
      <c r="H685" s="358"/>
      <c r="I685" s="358"/>
      <c r="J685" s="358"/>
      <c r="K685" s="358"/>
      <c r="L685" s="358"/>
      <c r="M685" s="358"/>
      <c r="N685" s="358"/>
      <c r="O685" s="358"/>
      <c r="P685" s="358"/>
      <c r="Q685" s="358"/>
    </row>
    <row r="686">
      <c r="A686" s="358"/>
      <c r="B686" s="358"/>
      <c r="C686" s="358"/>
      <c r="D686" s="358"/>
      <c r="E686" s="358"/>
      <c r="F686" s="358"/>
      <c r="G686" s="358"/>
      <c r="H686" s="358"/>
      <c r="I686" s="358"/>
      <c r="J686" s="358"/>
      <c r="K686" s="358"/>
      <c r="L686" s="358"/>
      <c r="M686" s="358"/>
      <c r="N686" s="358"/>
      <c r="O686" s="358"/>
      <c r="P686" s="358"/>
      <c r="Q686" s="358"/>
    </row>
    <row r="687">
      <c r="A687" s="358"/>
      <c r="B687" s="358"/>
      <c r="C687" s="358"/>
      <c r="D687" s="358"/>
      <c r="E687" s="358"/>
      <c r="F687" s="358"/>
      <c r="G687" s="358"/>
      <c r="H687" s="358"/>
      <c r="I687" s="358"/>
      <c r="J687" s="358"/>
      <c r="K687" s="358"/>
      <c r="L687" s="358"/>
      <c r="M687" s="358"/>
      <c r="N687" s="358"/>
      <c r="O687" s="358"/>
      <c r="P687" s="358"/>
      <c r="Q687" s="358"/>
    </row>
    <row r="688">
      <c r="A688" s="358"/>
      <c r="B688" s="358"/>
      <c r="C688" s="358"/>
      <c r="D688" s="358"/>
      <c r="E688" s="358"/>
      <c r="F688" s="358"/>
      <c r="G688" s="358"/>
      <c r="H688" s="358"/>
      <c r="I688" s="358"/>
      <c r="J688" s="358"/>
      <c r="K688" s="358"/>
      <c r="L688" s="358"/>
      <c r="M688" s="358"/>
      <c r="N688" s="358"/>
      <c r="O688" s="358"/>
      <c r="P688" s="358"/>
      <c r="Q688" s="358"/>
    </row>
    <row r="689">
      <c r="A689" s="358"/>
      <c r="B689" s="358"/>
      <c r="C689" s="358"/>
      <c r="D689" s="358"/>
      <c r="E689" s="358"/>
      <c r="F689" s="358"/>
      <c r="G689" s="358"/>
      <c r="H689" s="358"/>
      <c r="I689" s="358"/>
      <c r="J689" s="358"/>
      <c r="K689" s="358"/>
      <c r="L689" s="358"/>
      <c r="M689" s="358"/>
      <c r="N689" s="358"/>
      <c r="O689" s="358"/>
      <c r="P689" s="358"/>
      <c r="Q689" s="358"/>
    </row>
    <row r="690">
      <c r="A690" s="358"/>
      <c r="B690" s="358"/>
      <c r="C690" s="358"/>
      <c r="D690" s="358"/>
      <c r="E690" s="358"/>
      <c r="F690" s="358"/>
      <c r="G690" s="358"/>
      <c r="H690" s="358"/>
      <c r="I690" s="358"/>
      <c r="J690" s="358"/>
      <c r="K690" s="358"/>
      <c r="L690" s="358"/>
      <c r="M690" s="358"/>
      <c r="N690" s="358"/>
      <c r="O690" s="358"/>
      <c r="P690" s="358"/>
      <c r="Q690" s="358"/>
    </row>
    <row r="691">
      <c r="A691" s="358"/>
      <c r="B691" s="358"/>
      <c r="C691" s="358"/>
      <c r="D691" s="358"/>
      <c r="E691" s="358"/>
      <c r="F691" s="358"/>
      <c r="G691" s="358"/>
      <c r="H691" s="358"/>
      <c r="I691" s="358"/>
      <c r="J691" s="358"/>
      <c r="K691" s="358"/>
      <c r="L691" s="358"/>
      <c r="M691" s="358"/>
      <c r="N691" s="358"/>
      <c r="O691" s="358"/>
      <c r="P691" s="358"/>
      <c r="Q691" s="358"/>
    </row>
    <row r="692">
      <c r="A692" s="358"/>
      <c r="B692" s="358"/>
      <c r="C692" s="358"/>
      <c r="D692" s="358"/>
      <c r="E692" s="358"/>
      <c r="F692" s="358"/>
      <c r="G692" s="358"/>
      <c r="H692" s="358"/>
      <c r="I692" s="358"/>
      <c r="J692" s="358"/>
      <c r="K692" s="358"/>
      <c r="L692" s="358"/>
      <c r="M692" s="358"/>
      <c r="N692" s="358"/>
      <c r="O692" s="358"/>
      <c r="P692" s="358"/>
      <c r="Q692" s="358"/>
    </row>
    <row r="693">
      <c r="A693" s="358"/>
      <c r="B693" s="358"/>
      <c r="C693" s="358"/>
      <c r="D693" s="358"/>
      <c r="E693" s="358"/>
      <c r="F693" s="358"/>
      <c r="G693" s="358"/>
      <c r="H693" s="358"/>
      <c r="I693" s="358"/>
      <c r="J693" s="358"/>
      <c r="K693" s="358"/>
      <c r="L693" s="358"/>
      <c r="M693" s="358"/>
      <c r="N693" s="358"/>
      <c r="O693" s="358"/>
      <c r="P693" s="358"/>
      <c r="Q693" s="358"/>
    </row>
    <row r="694">
      <c r="A694" s="358"/>
      <c r="B694" s="358"/>
      <c r="C694" s="358"/>
      <c r="D694" s="358"/>
      <c r="E694" s="358"/>
      <c r="F694" s="358"/>
      <c r="G694" s="358"/>
      <c r="H694" s="358"/>
      <c r="I694" s="358"/>
      <c r="J694" s="358"/>
      <c r="K694" s="358"/>
      <c r="L694" s="358"/>
      <c r="M694" s="358"/>
      <c r="N694" s="358"/>
      <c r="O694" s="358"/>
      <c r="P694" s="358"/>
      <c r="Q694" s="358"/>
    </row>
    <row r="695">
      <c r="A695" s="358"/>
      <c r="B695" s="358"/>
      <c r="C695" s="358"/>
      <c r="D695" s="358"/>
      <c r="E695" s="358"/>
      <c r="F695" s="358"/>
      <c r="G695" s="358"/>
      <c r="H695" s="358"/>
      <c r="I695" s="358"/>
      <c r="J695" s="358"/>
      <c r="K695" s="358"/>
      <c r="L695" s="358"/>
      <c r="M695" s="358"/>
      <c r="N695" s="358"/>
      <c r="O695" s="358"/>
      <c r="P695" s="358"/>
      <c r="Q695" s="358"/>
    </row>
    <row r="696">
      <c r="A696" s="358"/>
      <c r="B696" s="358"/>
      <c r="C696" s="358"/>
      <c r="D696" s="358"/>
      <c r="E696" s="358"/>
      <c r="F696" s="358"/>
      <c r="G696" s="358"/>
      <c r="H696" s="358"/>
      <c r="I696" s="358"/>
      <c r="J696" s="358"/>
      <c r="K696" s="358"/>
      <c r="L696" s="358"/>
      <c r="M696" s="358"/>
      <c r="N696" s="358"/>
      <c r="O696" s="358"/>
      <c r="P696" s="358"/>
      <c r="Q696" s="358"/>
    </row>
    <row r="697">
      <c r="A697" s="358"/>
      <c r="B697" s="358"/>
      <c r="C697" s="358"/>
      <c r="D697" s="358"/>
      <c r="E697" s="358"/>
      <c r="F697" s="358"/>
      <c r="G697" s="358"/>
      <c r="H697" s="358"/>
      <c r="I697" s="358"/>
      <c r="J697" s="358"/>
      <c r="K697" s="358"/>
      <c r="L697" s="358"/>
      <c r="M697" s="358"/>
      <c r="N697" s="358"/>
      <c r="O697" s="358"/>
      <c r="P697" s="358"/>
      <c r="Q697" s="358"/>
    </row>
    <row r="698">
      <c r="A698" s="358"/>
      <c r="B698" s="358"/>
      <c r="C698" s="358"/>
      <c r="D698" s="358"/>
      <c r="E698" s="358"/>
      <c r="F698" s="358"/>
      <c r="G698" s="358"/>
      <c r="H698" s="358"/>
      <c r="I698" s="358"/>
      <c r="J698" s="358"/>
      <c r="K698" s="358"/>
      <c r="L698" s="358"/>
      <c r="M698" s="358"/>
      <c r="N698" s="358"/>
      <c r="O698" s="358"/>
      <c r="P698" s="358"/>
      <c r="Q698" s="358"/>
    </row>
    <row r="699">
      <c r="A699" s="358"/>
      <c r="B699" s="358"/>
      <c r="C699" s="358"/>
      <c r="D699" s="358"/>
      <c r="E699" s="358"/>
      <c r="F699" s="358"/>
      <c r="G699" s="358"/>
      <c r="H699" s="358"/>
      <c r="I699" s="358"/>
      <c r="J699" s="358"/>
      <c r="K699" s="358"/>
      <c r="L699" s="358"/>
      <c r="M699" s="358"/>
      <c r="N699" s="358"/>
      <c r="O699" s="358"/>
      <c r="P699" s="358"/>
      <c r="Q699" s="358"/>
    </row>
    <row r="700">
      <c r="A700" s="358"/>
      <c r="B700" s="358"/>
      <c r="C700" s="358"/>
      <c r="D700" s="358"/>
      <c r="E700" s="358"/>
      <c r="F700" s="358"/>
      <c r="G700" s="358"/>
      <c r="H700" s="358"/>
      <c r="I700" s="358"/>
      <c r="J700" s="358"/>
      <c r="K700" s="358"/>
      <c r="L700" s="358"/>
      <c r="M700" s="358"/>
      <c r="N700" s="358"/>
      <c r="O700" s="358"/>
      <c r="P700" s="358"/>
      <c r="Q700" s="358"/>
    </row>
    <row r="701">
      <c r="A701" s="358"/>
      <c r="B701" s="358"/>
      <c r="C701" s="358"/>
      <c r="D701" s="358"/>
      <c r="E701" s="358"/>
      <c r="F701" s="358"/>
      <c r="G701" s="358"/>
      <c r="H701" s="358"/>
      <c r="I701" s="358"/>
      <c r="J701" s="358"/>
      <c r="K701" s="358"/>
      <c r="L701" s="358"/>
      <c r="M701" s="358"/>
      <c r="N701" s="358"/>
      <c r="O701" s="358"/>
      <c r="P701" s="358"/>
      <c r="Q701" s="358"/>
    </row>
    <row r="702">
      <c r="A702" s="358"/>
      <c r="B702" s="358"/>
      <c r="C702" s="358"/>
      <c r="D702" s="358"/>
      <c r="E702" s="358"/>
      <c r="F702" s="358"/>
      <c r="G702" s="358"/>
      <c r="H702" s="358"/>
      <c r="I702" s="358"/>
      <c r="J702" s="358"/>
      <c r="K702" s="358"/>
      <c r="L702" s="358"/>
      <c r="M702" s="358"/>
      <c r="N702" s="358"/>
      <c r="O702" s="358"/>
      <c r="P702" s="358"/>
      <c r="Q702" s="358"/>
    </row>
    <row r="703">
      <c r="A703" s="358"/>
      <c r="B703" s="358"/>
      <c r="C703" s="358"/>
      <c r="D703" s="358"/>
      <c r="E703" s="358"/>
      <c r="F703" s="358"/>
      <c r="G703" s="358"/>
      <c r="H703" s="358"/>
      <c r="I703" s="358"/>
      <c r="J703" s="358"/>
      <c r="K703" s="358"/>
      <c r="L703" s="358"/>
      <c r="M703" s="358"/>
      <c r="N703" s="358"/>
      <c r="O703" s="358"/>
      <c r="P703" s="358"/>
      <c r="Q703" s="358"/>
    </row>
    <row r="704">
      <c r="A704" s="358"/>
      <c r="B704" s="358"/>
      <c r="C704" s="358"/>
      <c r="D704" s="358"/>
      <c r="E704" s="358"/>
      <c r="F704" s="358"/>
      <c r="G704" s="358"/>
      <c r="H704" s="358"/>
      <c r="I704" s="358"/>
      <c r="J704" s="358"/>
      <c r="K704" s="358"/>
      <c r="L704" s="358"/>
      <c r="M704" s="358"/>
      <c r="N704" s="358"/>
      <c r="O704" s="358"/>
      <c r="P704" s="358"/>
      <c r="Q704" s="358"/>
    </row>
    <row r="705">
      <c r="A705" s="358"/>
      <c r="B705" s="358"/>
      <c r="C705" s="358"/>
      <c r="D705" s="358"/>
      <c r="E705" s="358"/>
      <c r="F705" s="358"/>
      <c r="G705" s="358"/>
      <c r="H705" s="358"/>
      <c r="I705" s="358"/>
      <c r="J705" s="358"/>
      <c r="K705" s="358"/>
      <c r="L705" s="358"/>
      <c r="M705" s="358"/>
      <c r="N705" s="358"/>
      <c r="O705" s="358"/>
      <c r="P705" s="358"/>
      <c r="Q705" s="358"/>
    </row>
    <row r="706">
      <c r="A706" s="358"/>
      <c r="B706" s="358"/>
      <c r="C706" s="358"/>
      <c r="D706" s="358"/>
      <c r="E706" s="358"/>
      <c r="F706" s="358"/>
      <c r="G706" s="358"/>
      <c r="H706" s="358"/>
      <c r="I706" s="358"/>
      <c r="J706" s="358"/>
      <c r="K706" s="358"/>
      <c r="L706" s="358"/>
      <c r="M706" s="358"/>
      <c r="N706" s="358"/>
      <c r="O706" s="358"/>
      <c r="P706" s="358"/>
      <c r="Q706" s="358"/>
    </row>
    <row r="707">
      <c r="A707" s="358"/>
      <c r="B707" s="358"/>
      <c r="C707" s="358"/>
      <c r="D707" s="358"/>
      <c r="E707" s="358"/>
      <c r="F707" s="358"/>
      <c r="G707" s="358"/>
      <c r="H707" s="358"/>
      <c r="I707" s="358"/>
      <c r="J707" s="358"/>
      <c r="K707" s="358"/>
      <c r="L707" s="358"/>
      <c r="M707" s="358"/>
      <c r="N707" s="358"/>
      <c r="O707" s="358"/>
      <c r="P707" s="358"/>
      <c r="Q707" s="358"/>
    </row>
    <row r="708">
      <c r="A708" s="358"/>
      <c r="B708" s="358"/>
      <c r="C708" s="358"/>
      <c r="D708" s="358"/>
      <c r="E708" s="358"/>
      <c r="F708" s="358"/>
      <c r="G708" s="358"/>
      <c r="H708" s="358"/>
      <c r="I708" s="358"/>
      <c r="J708" s="358"/>
      <c r="K708" s="358"/>
      <c r="L708" s="358"/>
      <c r="M708" s="358"/>
      <c r="N708" s="358"/>
      <c r="O708" s="358"/>
      <c r="P708" s="358"/>
      <c r="Q708" s="358"/>
    </row>
    <row r="709">
      <c r="A709" s="358"/>
      <c r="B709" s="358"/>
      <c r="C709" s="358"/>
      <c r="D709" s="358"/>
      <c r="E709" s="358"/>
      <c r="F709" s="358"/>
      <c r="G709" s="358"/>
      <c r="H709" s="358"/>
      <c r="I709" s="358"/>
      <c r="J709" s="358"/>
      <c r="K709" s="358"/>
      <c r="L709" s="358"/>
      <c r="M709" s="358"/>
      <c r="N709" s="358"/>
      <c r="O709" s="358"/>
      <c r="P709" s="358"/>
      <c r="Q709" s="358"/>
    </row>
    <row r="710">
      <c r="A710" s="358"/>
      <c r="B710" s="358"/>
      <c r="C710" s="358"/>
      <c r="D710" s="358"/>
      <c r="E710" s="358"/>
      <c r="F710" s="358"/>
      <c r="G710" s="358"/>
      <c r="H710" s="358"/>
      <c r="I710" s="358"/>
      <c r="J710" s="358"/>
      <c r="K710" s="358"/>
      <c r="L710" s="358"/>
      <c r="M710" s="358"/>
      <c r="N710" s="358"/>
      <c r="O710" s="358"/>
      <c r="P710" s="358"/>
      <c r="Q710" s="358"/>
    </row>
    <row r="711">
      <c r="A711" s="358"/>
      <c r="B711" s="358"/>
      <c r="C711" s="358"/>
      <c r="D711" s="358"/>
      <c r="E711" s="358"/>
      <c r="F711" s="358"/>
      <c r="G711" s="358"/>
      <c r="H711" s="358"/>
      <c r="I711" s="358"/>
      <c r="J711" s="358"/>
      <c r="K711" s="358"/>
      <c r="L711" s="358"/>
      <c r="M711" s="358"/>
      <c r="N711" s="358"/>
      <c r="O711" s="358"/>
      <c r="P711" s="358"/>
      <c r="Q711" s="358"/>
    </row>
    <row r="712">
      <c r="A712" s="358"/>
      <c r="B712" s="358"/>
      <c r="C712" s="358"/>
      <c r="D712" s="358"/>
      <c r="E712" s="358"/>
      <c r="F712" s="358"/>
      <c r="G712" s="358"/>
      <c r="H712" s="358"/>
      <c r="I712" s="358"/>
      <c r="J712" s="358"/>
      <c r="K712" s="358"/>
      <c r="L712" s="358"/>
      <c r="M712" s="358"/>
      <c r="N712" s="358"/>
      <c r="O712" s="358"/>
      <c r="P712" s="358"/>
      <c r="Q712" s="358"/>
    </row>
    <row r="713">
      <c r="A713" s="358"/>
      <c r="B713" s="358"/>
      <c r="C713" s="358"/>
      <c r="D713" s="358"/>
      <c r="E713" s="358"/>
      <c r="F713" s="358"/>
      <c r="G713" s="358"/>
      <c r="H713" s="358"/>
      <c r="I713" s="358"/>
      <c r="J713" s="358"/>
      <c r="K713" s="358"/>
      <c r="L713" s="358"/>
      <c r="M713" s="358"/>
      <c r="N713" s="358"/>
      <c r="O713" s="358"/>
      <c r="P713" s="358"/>
      <c r="Q713" s="358"/>
    </row>
    <row r="714">
      <c r="A714" s="358"/>
      <c r="B714" s="358"/>
      <c r="C714" s="358"/>
      <c r="D714" s="358"/>
      <c r="E714" s="358"/>
      <c r="F714" s="358"/>
      <c r="G714" s="358"/>
      <c r="H714" s="358"/>
      <c r="I714" s="358"/>
      <c r="J714" s="358"/>
      <c r="K714" s="358"/>
      <c r="L714" s="358"/>
      <c r="M714" s="358"/>
      <c r="N714" s="358"/>
      <c r="O714" s="358"/>
      <c r="P714" s="358"/>
      <c r="Q714" s="358"/>
    </row>
    <row r="715">
      <c r="A715" s="358"/>
      <c r="B715" s="358"/>
      <c r="C715" s="358"/>
      <c r="D715" s="358"/>
      <c r="E715" s="358"/>
      <c r="F715" s="358"/>
      <c r="G715" s="358"/>
      <c r="H715" s="358"/>
      <c r="I715" s="358"/>
      <c r="J715" s="358"/>
      <c r="K715" s="358"/>
      <c r="L715" s="358"/>
      <c r="M715" s="358"/>
      <c r="N715" s="358"/>
      <c r="O715" s="358"/>
      <c r="P715" s="358"/>
      <c r="Q715" s="358"/>
    </row>
    <row r="716">
      <c r="A716" s="358"/>
      <c r="B716" s="358"/>
      <c r="C716" s="358"/>
      <c r="D716" s="358"/>
      <c r="E716" s="358"/>
      <c r="F716" s="358"/>
      <c r="G716" s="358"/>
      <c r="H716" s="358"/>
      <c r="I716" s="358"/>
      <c r="J716" s="358"/>
      <c r="K716" s="358"/>
      <c r="L716" s="358"/>
      <c r="M716" s="358"/>
      <c r="N716" s="358"/>
      <c r="O716" s="358"/>
      <c r="P716" s="358"/>
      <c r="Q716" s="358"/>
    </row>
    <row r="717">
      <c r="A717" s="358"/>
      <c r="B717" s="358"/>
      <c r="C717" s="358"/>
      <c r="D717" s="358"/>
      <c r="E717" s="358"/>
      <c r="F717" s="358"/>
      <c r="G717" s="358"/>
      <c r="H717" s="358"/>
      <c r="I717" s="358"/>
      <c r="J717" s="358"/>
      <c r="K717" s="358"/>
      <c r="L717" s="358"/>
      <c r="M717" s="358"/>
      <c r="N717" s="358"/>
      <c r="O717" s="358"/>
      <c r="P717" s="358"/>
      <c r="Q717" s="358"/>
    </row>
    <row r="718">
      <c r="A718" s="358"/>
      <c r="B718" s="358"/>
      <c r="C718" s="358"/>
      <c r="D718" s="358"/>
      <c r="E718" s="358"/>
      <c r="F718" s="358"/>
      <c r="G718" s="358"/>
      <c r="H718" s="358"/>
      <c r="I718" s="358"/>
      <c r="J718" s="358"/>
      <c r="K718" s="358"/>
      <c r="L718" s="358"/>
      <c r="M718" s="358"/>
      <c r="N718" s="358"/>
      <c r="O718" s="358"/>
      <c r="P718" s="358"/>
      <c r="Q718" s="358"/>
    </row>
    <row r="719">
      <c r="A719" s="358"/>
      <c r="B719" s="358"/>
      <c r="C719" s="358"/>
      <c r="D719" s="358"/>
      <c r="E719" s="358"/>
      <c r="F719" s="358"/>
      <c r="G719" s="358"/>
      <c r="H719" s="358"/>
      <c r="I719" s="358"/>
      <c r="J719" s="358"/>
      <c r="K719" s="358"/>
      <c r="L719" s="358"/>
      <c r="M719" s="358"/>
      <c r="N719" s="358"/>
      <c r="O719" s="358"/>
      <c r="P719" s="358"/>
      <c r="Q719" s="358"/>
    </row>
    <row r="720">
      <c r="A720" s="358"/>
      <c r="B720" s="358"/>
      <c r="C720" s="358"/>
      <c r="D720" s="358"/>
      <c r="E720" s="358"/>
      <c r="F720" s="358"/>
      <c r="G720" s="358"/>
      <c r="H720" s="358"/>
      <c r="I720" s="358"/>
      <c r="J720" s="358"/>
      <c r="K720" s="358"/>
      <c r="L720" s="358"/>
      <c r="M720" s="358"/>
      <c r="N720" s="358"/>
      <c r="O720" s="358"/>
      <c r="P720" s="358"/>
      <c r="Q720" s="358"/>
    </row>
    <row r="721">
      <c r="A721" s="358"/>
      <c r="B721" s="358"/>
      <c r="C721" s="358"/>
      <c r="D721" s="358"/>
      <c r="E721" s="358"/>
      <c r="F721" s="358"/>
      <c r="G721" s="358"/>
      <c r="H721" s="358"/>
      <c r="I721" s="358"/>
      <c r="J721" s="358"/>
      <c r="K721" s="358"/>
      <c r="L721" s="358"/>
      <c r="M721" s="358"/>
      <c r="N721" s="358"/>
      <c r="O721" s="358"/>
      <c r="P721" s="358"/>
      <c r="Q721" s="358"/>
    </row>
    <row r="722">
      <c r="A722" s="358"/>
      <c r="B722" s="358"/>
      <c r="C722" s="358"/>
      <c r="D722" s="358"/>
      <c r="E722" s="358"/>
      <c r="F722" s="358"/>
      <c r="G722" s="358"/>
      <c r="H722" s="358"/>
      <c r="I722" s="358"/>
      <c r="J722" s="358"/>
      <c r="K722" s="358"/>
      <c r="L722" s="358"/>
      <c r="M722" s="358"/>
      <c r="N722" s="358"/>
      <c r="O722" s="358"/>
      <c r="P722" s="358"/>
      <c r="Q722" s="358"/>
    </row>
    <row r="723">
      <c r="A723" s="358"/>
      <c r="B723" s="358"/>
      <c r="C723" s="358"/>
      <c r="D723" s="358"/>
      <c r="E723" s="358"/>
      <c r="F723" s="358"/>
      <c r="G723" s="358"/>
      <c r="H723" s="358"/>
      <c r="I723" s="358"/>
      <c r="J723" s="358"/>
      <c r="K723" s="358"/>
      <c r="L723" s="358"/>
      <c r="M723" s="358"/>
      <c r="N723" s="358"/>
      <c r="O723" s="358"/>
      <c r="P723" s="358"/>
      <c r="Q723" s="358"/>
    </row>
    <row r="724">
      <c r="A724" s="358"/>
      <c r="B724" s="358"/>
      <c r="C724" s="358"/>
      <c r="D724" s="358"/>
      <c r="E724" s="358"/>
      <c r="F724" s="358"/>
      <c r="G724" s="358"/>
      <c r="H724" s="358"/>
      <c r="I724" s="358"/>
      <c r="J724" s="358"/>
      <c r="K724" s="358"/>
      <c r="L724" s="358"/>
      <c r="M724" s="358"/>
      <c r="N724" s="358"/>
      <c r="O724" s="358"/>
      <c r="P724" s="358"/>
      <c r="Q724" s="358"/>
    </row>
    <row r="725">
      <c r="A725" s="358"/>
      <c r="B725" s="358"/>
      <c r="C725" s="358"/>
      <c r="D725" s="358"/>
      <c r="E725" s="358"/>
      <c r="F725" s="358"/>
      <c r="G725" s="358"/>
      <c r="H725" s="358"/>
      <c r="I725" s="358"/>
      <c r="J725" s="358"/>
      <c r="K725" s="358"/>
      <c r="L725" s="358"/>
      <c r="M725" s="358"/>
      <c r="N725" s="358"/>
      <c r="O725" s="358"/>
      <c r="P725" s="358"/>
      <c r="Q725" s="358"/>
    </row>
    <row r="726">
      <c r="A726" s="358"/>
      <c r="B726" s="358"/>
      <c r="C726" s="358"/>
      <c r="D726" s="358"/>
      <c r="E726" s="358"/>
      <c r="F726" s="358"/>
      <c r="G726" s="358"/>
      <c r="H726" s="358"/>
      <c r="I726" s="358"/>
      <c r="J726" s="358"/>
      <c r="K726" s="358"/>
      <c r="L726" s="358"/>
      <c r="M726" s="358"/>
      <c r="N726" s="358"/>
      <c r="O726" s="358"/>
      <c r="P726" s="358"/>
      <c r="Q726" s="358"/>
    </row>
    <row r="727">
      <c r="A727" s="358"/>
      <c r="B727" s="358"/>
      <c r="C727" s="358"/>
      <c r="D727" s="358"/>
      <c r="E727" s="358"/>
      <c r="F727" s="358"/>
      <c r="G727" s="358"/>
      <c r="H727" s="358"/>
      <c r="I727" s="358"/>
      <c r="J727" s="358"/>
      <c r="K727" s="358"/>
      <c r="L727" s="358"/>
      <c r="M727" s="358"/>
      <c r="N727" s="358"/>
      <c r="O727" s="358"/>
      <c r="P727" s="358"/>
      <c r="Q727" s="358"/>
    </row>
    <row r="728">
      <c r="A728" s="358"/>
      <c r="B728" s="358"/>
      <c r="C728" s="358"/>
      <c r="D728" s="358"/>
      <c r="E728" s="358"/>
      <c r="F728" s="358"/>
      <c r="G728" s="358"/>
      <c r="H728" s="358"/>
      <c r="I728" s="358"/>
      <c r="J728" s="358"/>
      <c r="K728" s="358"/>
      <c r="L728" s="358"/>
      <c r="M728" s="358"/>
      <c r="N728" s="358"/>
      <c r="O728" s="358"/>
      <c r="P728" s="358"/>
      <c r="Q728" s="358"/>
    </row>
    <row r="729">
      <c r="A729" s="358"/>
      <c r="B729" s="358"/>
      <c r="C729" s="358"/>
      <c r="D729" s="358"/>
      <c r="E729" s="358"/>
      <c r="F729" s="358"/>
      <c r="G729" s="358"/>
      <c r="H729" s="358"/>
      <c r="I729" s="358"/>
      <c r="J729" s="358"/>
      <c r="K729" s="358"/>
      <c r="L729" s="358"/>
      <c r="M729" s="358"/>
      <c r="N729" s="358"/>
      <c r="O729" s="358"/>
      <c r="P729" s="358"/>
      <c r="Q729" s="358"/>
    </row>
    <row r="730">
      <c r="A730" s="358"/>
      <c r="B730" s="358"/>
      <c r="C730" s="358"/>
      <c r="D730" s="358"/>
      <c r="E730" s="358"/>
      <c r="F730" s="358"/>
      <c r="G730" s="358"/>
      <c r="H730" s="358"/>
      <c r="I730" s="358"/>
      <c r="J730" s="358"/>
      <c r="K730" s="358"/>
      <c r="L730" s="358"/>
      <c r="M730" s="358"/>
      <c r="N730" s="358"/>
      <c r="O730" s="358"/>
      <c r="P730" s="358"/>
      <c r="Q730" s="358"/>
    </row>
    <row r="731">
      <c r="A731" s="358"/>
      <c r="B731" s="358"/>
      <c r="C731" s="358"/>
      <c r="D731" s="358"/>
      <c r="E731" s="358"/>
      <c r="F731" s="358"/>
      <c r="G731" s="358"/>
      <c r="H731" s="358"/>
      <c r="I731" s="358"/>
      <c r="J731" s="358"/>
      <c r="K731" s="358"/>
      <c r="L731" s="358"/>
      <c r="M731" s="358"/>
      <c r="N731" s="358"/>
      <c r="O731" s="358"/>
      <c r="P731" s="358"/>
      <c r="Q731" s="358"/>
    </row>
    <row r="732">
      <c r="A732" s="358"/>
      <c r="B732" s="358"/>
      <c r="C732" s="358"/>
      <c r="D732" s="358"/>
      <c r="E732" s="358"/>
      <c r="F732" s="358"/>
      <c r="G732" s="358"/>
      <c r="H732" s="358"/>
      <c r="I732" s="358"/>
      <c r="J732" s="358"/>
      <c r="K732" s="358"/>
      <c r="L732" s="358"/>
      <c r="M732" s="358"/>
      <c r="N732" s="358"/>
      <c r="O732" s="358"/>
      <c r="P732" s="358"/>
      <c r="Q732" s="358"/>
    </row>
    <row r="733">
      <c r="A733" s="358"/>
      <c r="B733" s="358"/>
      <c r="C733" s="358"/>
      <c r="D733" s="358"/>
      <c r="E733" s="358"/>
      <c r="F733" s="358"/>
      <c r="G733" s="358"/>
      <c r="H733" s="358"/>
      <c r="I733" s="358"/>
      <c r="J733" s="358"/>
      <c r="K733" s="358"/>
      <c r="L733" s="358"/>
      <c r="M733" s="358"/>
      <c r="N733" s="358"/>
      <c r="O733" s="358"/>
      <c r="P733" s="358"/>
      <c r="Q733" s="358"/>
    </row>
    <row r="734">
      <c r="A734" s="358"/>
      <c r="B734" s="358"/>
      <c r="C734" s="358"/>
      <c r="D734" s="358"/>
      <c r="E734" s="358"/>
      <c r="F734" s="358"/>
      <c r="G734" s="358"/>
      <c r="H734" s="358"/>
      <c r="I734" s="358"/>
      <c r="J734" s="358"/>
      <c r="K734" s="358"/>
      <c r="L734" s="358"/>
      <c r="M734" s="358"/>
      <c r="N734" s="358"/>
      <c r="O734" s="358"/>
      <c r="P734" s="358"/>
      <c r="Q734" s="358"/>
    </row>
    <row r="735">
      <c r="A735" s="358"/>
      <c r="B735" s="358"/>
      <c r="C735" s="358"/>
      <c r="D735" s="358"/>
      <c r="E735" s="358"/>
      <c r="F735" s="358"/>
      <c r="G735" s="358"/>
      <c r="H735" s="358"/>
      <c r="I735" s="358"/>
      <c r="J735" s="358"/>
      <c r="K735" s="358"/>
      <c r="L735" s="358"/>
      <c r="M735" s="358"/>
      <c r="N735" s="358"/>
      <c r="O735" s="358"/>
      <c r="P735" s="358"/>
      <c r="Q735" s="358"/>
    </row>
    <row r="736">
      <c r="A736" s="358"/>
      <c r="B736" s="358"/>
      <c r="C736" s="358"/>
      <c r="D736" s="358"/>
      <c r="E736" s="358"/>
      <c r="F736" s="358"/>
      <c r="G736" s="358"/>
      <c r="H736" s="358"/>
      <c r="I736" s="358"/>
      <c r="J736" s="358"/>
      <c r="K736" s="358"/>
      <c r="L736" s="358"/>
      <c r="M736" s="358"/>
      <c r="N736" s="358"/>
      <c r="O736" s="358"/>
      <c r="P736" s="358"/>
      <c r="Q736" s="358"/>
    </row>
    <row r="737">
      <c r="A737" s="358"/>
      <c r="B737" s="358"/>
      <c r="C737" s="358"/>
      <c r="D737" s="358"/>
      <c r="E737" s="358"/>
      <c r="F737" s="358"/>
      <c r="G737" s="358"/>
      <c r="H737" s="358"/>
      <c r="I737" s="358"/>
      <c r="J737" s="358"/>
      <c r="K737" s="358"/>
      <c r="L737" s="358"/>
      <c r="M737" s="358"/>
      <c r="N737" s="358"/>
      <c r="O737" s="358"/>
      <c r="P737" s="358"/>
      <c r="Q737" s="358"/>
    </row>
    <row r="738">
      <c r="A738" s="358"/>
      <c r="B738" s="358"/>
      <c r="C738" s="358"/>
      <c r="D738" s="358"/>
      <c r="E738" s="358"/>
      <c r="F738" s="358"/>
      <c r="G738" s="358"/>
      <c r="H738" s="358"/>
      <c r="I738" s="358"/>
      <c r="J738" s="358"/>
      <c r="K738" s="358"/>
      <c r="L738" s="358"/>
      <c r="M738" s="358"/>
      <c r="N738" s="358"/>
      <c r="O738" s="358"/>
      <c r="P738" s="358"/>
      <c r="Q738" s="358"/>
    </row>
    <row r="739">
      <c r="A739" s="358"/>
      <c r="B739" s="358"/>
      <c r="C739" s="358"/>
      <c r="D739" s="358"/>
      <c r="E739" s="358"/>
      <c r="F739" s="358"/>
      <c r="G739" s="358"/>
      <c r="H739" s="358"/>
      <c r="I739" s="358"/>
      <c r="J739" s="358"/>
      <c r="K739" s="358"/>
      <c r="L739" s="358"/>
      <c r="M739" s="358"/>
      <c r="N739" s="358"/>
      <c r="O739" s="358"/>
      <c r="P739" s="358"/>
      <c r="Q739" s="358"/>
    </row>
    <row r="740">
      <c r="A740" s="358"/>
      <c r="B740" s="358"/>
      <c r="C740" s="358"/>
      <c r="D740" s="358"/>
      <c r="E740" s="358"/>
      <c r="F740" s="358"/>
      <c r="G740" s="358"/>
      <c r="H740" s="358"/>
      <c r="I740" s="358"/>
      <c r="J740" s="358"/>
      <c r="K740" s="358"/>
      <c r="L740" s="358"/>
      <c r="M740" s="358"/>
      <c r="N740" s="358"/>
      <c r="O740" s="358"/>
      <c r="P740" s="358"/>
      <c r="Q740" s="358"/>
    </row>
    <row r="741">
      <c r="A741" s="358"/>
      <c r="B741" s="358"/>
      <c r="C741" s="358"/>
      <c r="D741" s="358"/>
      <c r="E741" s="358"/>
      <c r="F741" s="358"/>
      <c r="G741" s="358"/>
      <c r="H741" s="358"/>
      <c r="I741" s="358"/>
      <c r="J741" s="358"/>
      <c r="K741" s="358"/>
      <c r="L741" s="358"/>
      <c r="M741" s="358"/>
      <c r="N741" s="358"/>
      <c r="O741" s="358"/>
      <c r="P741" s="358"/>
      <c r="Q741" s="358"/>
    </row>
    <row r="742">
      <c r="A742" s="358"/>
      <c r="B742" s="358"/>
      <c r="C742" s="358"/>
      <c r="D742" s="358"/>
      <c r="E742" s="358"/>
      <c r="F742" s="358"/>
      <c r="G742" s="358"/>
      <c r="H742" s="358"/>
      <c r="I742" s="358"/>
      <c r="J742" s="358"/>
      <c r="K742" s="358"/>
      <c r="L742" s="358"/>
      <c r="M742" s="358"/>
      <c r="N742" s="358"/>
      <c r="O742" s="358"/>
      <c r="P742" s="358"/>
      <c r="Q742" s="358"/>
    </row>
    <row r="743">
      <c r="A743" s="358"/>
      <c r="B743" s="358"/>
      <c r="C743" s="358"/>
      <c r="D743" s="358"/>
      <c r="E743" s="358"/>
      <c r="F743" s="358"/>
      <c r="G743" s="358"/>
      <c r="H743" s="358"/>
      <c r="I743" s="358"/>
      <c r="J743" s="358"/>
      <c r="K743" s="358"/>
      <c r="L743" s="358"/>
      <c r="M743" s="358"/>
      <c r="N743" s="358"/>
      <c r="O743" s="358"/>
      <c r="P743" s="358"/>
      <c r="Q743" s="358"/>
    </row>
    <row r="744">
      <c r="A744" s="358"/>
      <c r="B744" s="358"/>
      <c r="C744" s="358"/>
      <c r="D744" s="358"/>
      <c r="E744" s="358"/>
      <c r="F744" s="358"/>
      <c r="G744" s="358"/>
      <c r="H744" s="358"/>
      <c r="I744" s="358"/>
      <c r="J744" s="358"/>
      <c r="K744" s="358"/>
      <c r="L744" s="358"/>
      <c r="M744" s="358"/>
      <c r="N744" s="358"/>
      <c r="O744" s="358"/>
      <c r="P744" s="358"/>
      <c r="Q744" s="358"/>
    </row>
    <row r="745">
      <c r="A745" s="358"/>
      <c r="B745" s="358"/>
      <c r="C745" s="358"/>
      <c r="D745" s="358"/>
      <c r="E745" s="358"/>
      <c r="F745" s="358"/>
      <c r="G745" s="358"/>
      <c r="H745" s="358"/>
      <c r="I745" s="358"/>
      <c r="J745" s="358"/>
      <c r="K745" s="358"/>
      <c r="L745" s="358"/>
      <c r="M745" s="358"/>
      <c r="N745" s="358"/>
      <c r="O745" s="358"/>
      <c r="P745" s="358"/>
      <c r="Q745" s="358"/>
    </row>
    <row r="746">
      <c r="A746" s="358"/>
      <c r="B746" s="358"/>
      <c r="C746" s="358"/>
      <c r="D746" s="358"/>
      <c r="E746" s="358"/>
      <c r="F746" s="358"/>
      <c r="G746" s="358"/>
      <c r="H746" s="358"/>
      <c r="I746" s="358"/>
      <c r="J746" s="358"/>
      <c r="K746" s="358"/>
      <c r="L746" s="358"/>
      <c r="M746" s="358"/>
      <c r="N746" s="358"/>
      <c r="O746" s="358"/>
      <c r="P746" s="358"/>
      <c r="Q746" s="358"/>
    </row>
    <row r="747">
      <c r="A747" s="358"/>
      <c r="B747" s="358"/>
      <c r="C747" s="358"/>
      <c r="D747" s="358"/>
      <c r="E747" s="358"/>
      <c r="F747" s="358"/>
      <c r="G747" s="358"/>
      <c r="H747" s="358"/>
      <c r="I747" s="358"/>
      <c r="J747" s="358"/>
      <c r="K747" s="358"/>
      <c r="L747" s="358"/>
      <c r="M747" s="358"/>
      <c r="N747" s="358"/>
      <c r="O747" s="358"/>
      <c r="P747" s="358"/>
      <c r="Q747" s="358"/>
    </row>
    <row r="748">
      <c r="A748" s="358"/>
      <c r="B748" s="358"/>
      <c r="C748" s="358"/>
      <c r="D748" s="358"/>
      <c r="E748" s="358"/>
      <c r="F748" s="358"/>
      <c r="G748" s="358"/>
      <c r="H748" s="358"/>
      <c r="I748" s="358"/>
      <c r="J748" s="358"/>
      <c r="K748" s="358"/>
      <c r="L748" s="358"/>
      <c r="M748" s="358"/>
      <c r="N748" s="358"/>
      <c r="O748" s="358"/>
      <c r="P748" s="358"/>
      <c r="Q748" s="358"/>
    </row>
    <row r="749">
      <c r="A749" s="358"/>
      <c r="B749" s="358"/>
      <c r="C749" s="358"/>
      <c r="D749" s="358"/>
      <c r="E749" s="358"/>
      <c r="F749" s="358"/>
      <c r="G749" s="358"/>
      <c r="H749" s="358"/>
      <c r="I749" s="358"/>
      <c r="J749" s="358"/>
      <c r="K749" s="358"/>
      <c r="L749" s="358"/>
      <c r="M749" s="358"/>
      <c r="N749" s="358"/>
      <c r="O749" s="358"/>
      <c r="P749" s="358"/>
      <c r="Q749" s="358"/>
    </row>
    <row r="750">
      <c r="A750" s="358"/>
      <c r="B750" s="358"/>
      <c r="C750" s="358"/>
      <c r="D750" s="358"/>
      <c r="E750" s="358"/>
      <c r="F750" s="358"/>
      <c r="G750" s="358"/>
      <c r="H750" s="358"/>
      <c r="I750" s="358"/>
      <c r="J750" s="358"/>
      <c r="K750" s="358"/>
      <c r="L750" s="358"/>
      <c r="M750" s="358"/>
      <c r="N750" s="358"/>
      <c r="O750" s="358"/>
      <c r="P750" s="358"/>
      <c r="Q750" s="358"/>
    </row>
    <row r="751">
      <c r="A751" s="358"/>
      <c r="B751" s="358"/>
      <c r="C751" s="358"/>
      <c r="D751" s="358"/>
      <c r="E751" s="358"/>
      <c r="F751" s="358"/>
      <c r="G751" s="358"/>
      <c r="H751" s="358"/>
      <c r="I751" s="358"/>
      <c r="J751" s="358"/>
      <c r="K751" s="358"/>
      <c r="L751" s="358"/>
      <c r="M751" s="358"/>
      <c r="N751" s="358"/>
      <c r="O751" s="358"/>
      <c r="P751" s="358"/>
      <c r="Q751" s="358"/>
    </row>
    <row r="752">
      <c r="A752" s="358"/>
      <c r="B752" s="358"/>
      <c r="C752" s="358"/>
      <c r="D752" s="358"/>
      <c r="E752" s="358"/>
      <c r="F752" s="358"/>
      <c r="G752" s="358"/>
      <c r="H752" s="358"/>
      <c r="I752" s="358"/>
      <c r="J752" s="358"/>
      <c r="K752" s="358"/>
      <c r="L752" s="358"/>
      <c r="M752" s="358"/>
      <c r="N752" s="358"/>
      <c r="O752" s="358"/>
      <c r="P752" s="358"/>
      <c r="Q752" s="358"/>
    </row>
    <row r="753">
      <c r="A753" s="358"/>
      <c r="B753" s="358"/>
      <c r="C753" s="358"/>
      <c r="D753" s="358"/>
      <c r="E753" s="358"/>
      <c r="F753" s="358"/>
      <c r="G753" s="358"/>
      <c r="H753" s="358"/>
      <c r="I753" s="358"/>
      <c r="J753" s="358"/>
      <c r="K753" s="358"/>
      <c r="L753" s="358"/>
      <c r="M753" s="358"/>
      <c r="N753" s="358"/>
      <c r="O753" s="358"/>
      <c r="P753" s="358"/>
      <c r="Q753" s="358"/>
    </row>
    <row r="754">
      <c r="A754" s="358"/>
      <c r="B754" s="358"/>
      <c r="C754" s="358"/>
      <c r="D754" s="358"/>
      <c r="E754" s="358"/>
      <c r="F754" s="358"/>
      <c r="G754" s="358"/>
      <c r="H754" s="358"/>
      <c r="I754" s="358"/>
      <c r="J754" s="358"/>
      <c r="K754" s="358"/>
      <c r="L754" s="358"/>
      <c r="M754" s="358"/>
      <c r="N754" s="358"/>
      <c r="O754" s="358"/>
      <c r="P754" s="358"/>
      <c r="Q754" s="358"/>
    </row>
    <row r="755">
      <c r="A755" s="358"/>
      <c r="B755" s="358"/>
      <c r="C755" s="358"/>
      <c r="D755" s="358"/>
      <c r="E755" s="358"/>
      <c r="F755" s="358"/>
      <c r="G755" s="358"/>
      <c r="H755" s="358"/>
      <c r="I755" s="358"/>
      <c r="J755" s="358"/>
      <c r="K755" s="358"/>
      <c r="L755" s="358"/>
      <c r="M755" s="358"/>
      <c r="N755" s="358"/>
      <c r="O755" s="358"/>
      <c r="P755" s="358"/>
      <c r="Q755" s="358"/>
    </row>
    <row r="756">
      <c r="A756" s="358"/>
      <c r="B756" s="358"/>
      <c r="C756" s="358"/>
      <c r="D756" s="358"/>
      <c r="E756" s="358"/>
      <c r="F756" s="358"/>
      <c r="G756" s="358"/>
      <c r="H756" s="358"/>
      <c r="I756" s="358"/>
      <c r="J756" s="358"/>
      <c r="K756" s="358"/>
      <c r="L756" s="358"/>
      <c r="M756" s="358"/>
      <c r="N756" s="358"/>
      <c r="O756" s="358"/>
      <c r="P756" s="358"/>
      <c r="Q756" s="358"/>
    </row>
    <row r="757">
      <c r="A757" s="358"/>
      <c r="B757" s="358"/>
      <c r="C757" s="358"/>
      <c r="D757" s="358"/>
      <c r="E757" s="358"/>
      <c r="F757" s="358"/>
      <c r="G757" s="358"/>
      <c r="H757" s="358"/>
      <c r="I757" s="358"/>
      <c r="J757" s="358"/>
      <c r="K757" s="358"/>
      <c r="L757" s="358"/>
      <c r="M757" s="358"/>
      <c r="N757" s="358"/>
      <c r="O757" s="358"/>
      <c r="P757" s="358"/>
      <c r="Q757" s="358"/>
    </row>
    <row r="758">
      <c r="A758" s="358"/>
      <c r="B758" s="358"/>
      <c r="C758" s="358"/>
      <c r="D758" s="358"/>
      <c r="E758" s="358"/>
      <c r="F758" s="358"/>
      <c r="G758" s="358"/>
      <c r="H758" s="358"/>
      <c r="I758" s="358"/>
      <c r="J758" s="358"/>
      <c r="K758" s="358"/>
      <c r="L758" s="358"/>
      <c r="M758" s="358"/>
      <c r="N758" s="358"/>
      <c r="O758" s="358"/>
      <c r="P758" s="358"/>
      <c r="Q758" s="358"/>
    </row>
    <row r="759">
      <c r="A759" s="358"/>
      <c r="B759" s="358"/>
      <c r="C759" s="358"/>
      <c r="D759" s="358"/>
      <c r="E759" s="358"/>
      <c r="F759" s="358"/>
      <c r="G759" s="358"/>
      <c r="H759" s="358"/>
      <c r="I759" s="358"/>
      <c r="J759" s="358"/>
      <c r="K759" s="358"/>
      <c r="L759" s="358"/>
      <c r="M759" s="358"/>
      <c r="N759" s="358"/>
      <c r="O759" s="358"/>
      <c r="P759" s="358"/>
      <c r="Q759" s="358"/>
    </row>
    <row r="760">
      <c r="A760" s="358"/>
      <c r="B760" s="358"/>
      <c r="C760" s="358"/>
      <c r="D760" s="358"/>
      <c r="E760" s="358"/>
      <c r="F760" s="358"/>
      <c r="G760" s="358"/>
      <c r="H760" s="358"/>
      <c r="I760" s="358"/>
      <c r="J760" s="358"/>
      <c r="K760" s="358"/>
      <c r="L760" s="358"/>
      <c r="M760" s="358"/>
      <c r="N760" s="358"/>
      <c r="O760" s="358"/>
      <c r="P760" s="358"/>
      <c r="Q760" s="358"/>
    </row>
    <row r="761">
      <c r="A761" s="358"/>
      <c r="B761" s="358"/>
      <c r="C761" s="358"/>
      <c r="D761" s="358"/>
      <c r="E761" s="358"/>
      <c r="F761" s="358"/>
      <c r="G761" s="358"/>
      <c r="H761" s="358"/>
      <c r="I761" s="358"/>
      <c r="J761" s="358"/>
      <c r="K761" s="358"/>
      <c r="L761" s="358"/>
      <c r="M761" s="358"/>
      <c r="N761" s="358"/>
      <c r="O761" s="358"/>
      <c r="P761" s="358"/>
      <c r="Q761" s="358"/>
    </row>
    <row r="762">
      <c r="A762" s="358"/>
      <c r="B762" s="358"/>
      <c r="C762" s="358"/>
      <c r="D762" s="358"/>
      <c r="E762" s="358"/>
      <c r="F762" s="358"/>
      <c r="G762" s="358"/>
      <c r="H762" s="358"/>
      <c r="I762" s="358"/>
      <c r="J762" s="358"/>
      <c r="K762" s="358"/>
      <c r="L762" s="358"/>
      <c r="M762" s="358"/>
      <c r="N762" s="358"/>
      <c r="O762" s="358"/>
      <c r="P762" s="358"/>
      <c r="Q762" s="358"/>
    </row>
    <row r="763">
      <c r="A763" s="358"/>
      <c r="B763" s="358"/>
      <c r="C763" s="358"/>
      <c r="D763" s="358"/>
      <c r="E763" s="358"/>
      <c r="F763" s="358"/>
      <c r="G763" s="358"/>
      <c r="H763" s="358"/>
      <c r="I763" s="358"/>
      <c r="J763" s="358"/>
      <c r="K763" s="358"/>
      <c r="L763" s="358"/>
      <c r="M763" s="358"/>
      <c r="N763" s="358"/>
      <c r="O763" s="358"/>
      <c r="P763" s="358"/>
      <c r="Q763" s="358"/>
    </row>
    <row r="764">
      <c r="A764" s="358"/>
      <c r="B764" s="358"/>
      <c r="C764" s="358"/>
      <c r="D764" s="358"/>
      <c r="E764" s="358"/>
      <c r="F764" s="358"/>
      <c r="G764" s="358"/>
      <c r="H764" s="358"/>
      <c r="I764" s="358"/>
      <c r="J764" s="358"/>
      <c r="K764" s="358"/>
      <c r="L764" s="358"/>
      <c r="M764" s="358"/>
      <c r="N764" s="358"/>
      <c r="O764" s="358"/>
      <c r="P764" s="358"/>
      <c r="Q764" s="358"/>
    </row>
    <row r="765">
      <c r="A765" s="358"/>
      <c r="B765" s="358"/>
      <c r="C765" s="358"/>
      <c r="D765" s="358"/>
      <c r="E765" s="358"/>
      <c r="F765" s="358"/>
      <c r="G765" s="358"/>
      <c r="H765" s="358"/>
      <c r="I765" s="358"/>
      <c r="J765" s="358"/>
      <c r="K765" s="358"/>
      <c r="L765" s="358"/>
      <c r="M765" s="358"/>
      <c r="N765" s="358"/>
      <c r="O765" s="358"/>
      <c r="P765" s="358"/>
      <c r="Q765" s="358"/>
    </row>
    <row r="766">
      <c r="A766" s="358"/>
      <c r="B766" s="358"/>
      <c r="C766" s="358"/>
      <c r="D766" s="358"/>
      <c r="E766" s="358"/>
      <c r="F766" s="358"/>
      <c r="G766" s="358"/>
      <c r="H766" s="358"/>
      <c r="I766" s="358"/>
      <c r="J766" s="358"/>
      <c r="K766" s="358"/>
      <c r="L766" s="358"/>
      <c r="M766" s="358"/>
      <c r="N766" s="358"/>
      <c r="O766" s="358"/>
      <c r="P766" s="358"/>
      <c r="Q766" s="358"/>
    </row>
    <row r="767">
      <c r="A767" s="358"/>
      <c r="B767" s="358"/>
      <c r="C767" s="358"/>
      <c r="D767" s="358"/>
      <c r="E767" s="358"/>
      <c r="F767" s="358"/>
      <c r="G767" s="358"/>
      <c r="H767" s="358"/>
      <c r="I767" s="358"/>
      <c r="J767" s="358"/>
      <c r="K767" s="358"/>
      <c r="L767" s="358"/>
      <c r="M767" s="358"/>
      <c r="N767" s="358"/>
      <c r="O767" s="358"/>
      <c r="P767" s="358"/>
      <c r="Q767" s="358"/>
    </row>
    <row r="768">
      <c r="A768" s="358"/>
      <c r="B768" s="358"/>
      <c r="C768" s="358"/>
      <c r="D768" s="358"/>
      <c r="E768" s="358"/>
      <c r="F768" s="358"/>
      <c r="G768" s="358"/>
      <c r="H768" s="358"/>
      <c r="I768" s="358"/>
      <c r="J768" s="358"/>
      <c r="K768" s="358"/>
      <c r="L768" s="358"/>
      <c r="M768" s="358"/>
      <c r="N768" s="358"/>
      <c r="O768" s="358"/>
      <c r="P768" s="358"/>
      <c r="Q768" s="358"/>
    </row>
    <row r="769">
      <c r="A769" s="358"/>
      <c r="B769" s="358"/>
      <c r="C769" s="358"/>
      <c r="D769" s="358"/>
      <c r="E769" s="358"/>
      <c r="F769" s="358"/>
      <c r="G769" s="358"/>
      <c r="H769" s="358"/>
      <c r="I769" s="358"/>
      <c r="J769" s="358"/>
      <c r="K769" s="358"/>
      <c r="L769" s="358"/>
      <c r="M769" s="358"/>
      <c r="N769" s="358"/>
      <c r="O769" s="358"/>
      <c r="P769" s="358"/>
      <c r="Q769" s="358"/>
    </row>
    <row r="770">
      <c r="A770" s="358"/>
      <c r="B770" s="358"/>
      <c r="C770" s="358"/>
      <c r="D770" s="358"/>
      <c r="E770" s="358"/>
      <c r="F770" s="358"/>
      <c r="G770" s="358"/>
      <c r="H770" s="358"/>
      <c r="I770" s="358"/>
      <c r="J770" s="358"/>
      <c r="K770" s="358"/>
      <c r="L770" s="358"/>
      <c r="M770" s="358"/>
      <c r="N770" s="358"/>
      <c r="O770" s="358"/>
      <c r="P770" s="358"/>
      <c r="Q770" s="358"/>
    </row>
    <row r="771">
      <c r="A771" s="358"/>
      <c r="B771" s="358"/>
      <c r="C771" s="358"/>
      <c r="D771" s="358"/>
      <c r="E771" s="358"/>
      <c r="F771" s="358"/>
      <c r="G771" s="358"/>
      <c r="H771" s="358"/>
      <c r="I771" s="358"/>
      <c r="J771" s="358"/>
      <c r="K771" s="358"/>
      <c r="L771" s="358"/>
      <c r="M771" s="358"/>
      <c r="N771" s="358"/>
      <c r="O771" s="358"/>
      <c r="P771" s="358"/>
      <c r="Q771" s="358"/>
    </row>
    <row r="772">
      <c r="A772" s="358"/>
      <c r="B772" s="358"/>
      <c r="C772" s="358"/>
      <c r="D772" s="358"/>
      <c r="E772" s="358"/>
      <c r="F772" s="358"/>
      <c r="G772" s="358"/>
      <c r="H772" s="358"/>
      <c r="I772" s="358"/>
      <c r="J772" s="358"/>
      <c r="K772" s="358"/>
      <c r="L772" s="358"/>
      <c r="M772" s="358"/>
      <c r="N772" s="358"/>
      <c r="O772" s="358"/>
      <c r="P772" s="358"/>
      <c r="Q772" s="358"/>
    </row>
    <row r="773">
      <c r="A773" s="358"/>
      <c r="B773" s="358"/>
      <c r="C773" s="358"/>
      <c r="D773" s="358"/>
      <c r="E773" s="358"/>
      <c r="F773" s="358"/>
      <c r="G773" s="358"/>
      <c r="H773" s="358"/>
      <c r="I773" s="358"/>
      <c r="J773" s="358"/>
      <c r="K773" s="358"/>
      <c r="L773" s="358"/>
      <c r="M773" s="358"/>
      <c r="N773" s="358"/>
      <c r="O773" s="358"/>
      <c r="P773" s="358"/>
      <c r="Q773" s="358"/>
    </row>
    <row r="774">
      <c r="A774" s="358"/>
      <c r="B774" s="358"/>
      <c r="C774" s="358"/>
      <c r="D774" s="358"/>
      <c r="E774" s="358"/>
      <c r="F774" s="358"/>
      <c r="G774" s="358"/>
      <c r="H774" s="358"/>
      <c r="I774" s="358"/>
      <c r="J774" s="358"/>
      <c r="K774" s="358"/>
      <c r="L774" s="358"/>
      <c r="M774" s="358"/>
      <c r="N774" s="358"/>
      <c r="O774" s="358"/>
      <c r="P774" s="358"/>
      <c r="Q774" s="358"/>
    </row>
    <row r="775">
      <c r="A775" s="358"/>
      <c r="B775" s="358"/>
      <c r="C775" s="358"/>
      <c r="D775" s="358"/>
      <c r="E775" s="358"/>
      <c r="F775" s="358"/>
      <c r="G775" s="358"/>
      <c r="H775" s="358"/>
      <c r="I775" s="358"/>
      <c r="J775" s="358"/>
      <c r="K775" s="358"/>
      <c r="L775" s="358"/>
      <c r="M775" s="358"/>
      <c r="N775" s="358"/>
      <c r="O775" s="358"/>
      <c r="P775" s="358"/>
      <c r="Q775" s="358"/>
    </row>
    <row r="776">
      <c r="A776" s="358"/>
      <c r="B776" s="358"/>
      <c r="C776" s="358"/>
      <c r="D776" s="358"/>
      <c r="E776" s="358"/>
      <c r="F776" s="358"/>
      <c r="G776" s="358"/>
      <c r="H776" s="358"/>
      <c r="I776" s="358"/>
      <c r="J776" s="358"/>
      <c r="K776" s="358"/>
      <c r="L776" s="358"/>
      <c r="M776" s="358"/>
      <c r="N776" s="358"/>
      <c r="O776" s="358"/>
      <c r="P776" s="358"/>
      <c r="Q776" s="358"/>
    </row>
    <row r="777">
      <c r="A777" s="358"/>
      <c r="B777" s="358"/>
      <c r="C777" s="358"/>
      <c r="D777" s="358"/>
      <c r="E777" s="358"/>
      <c r="F777" s="358"/>
      <c r="G777" s="358"/>
      <c r="H777" s="358"/>
      <c r="I777" s="358"/>
      <c r="J777" s="358"/>
      <c r="K777" s="358"/>
      <c r="L777" s="358"/>
      <c r="M777" s="358"/>
      <c r="N777" s="358"/>
      <c r="O777" s="358"/>
      <c r="P777" s="358"/>
      <c r="Q777" s="358"/>
    </row>
    <row r="778">
      <c r="A778" s="358"/>
      <c r="B778" s="358"/>
      <c r="C778" s="358"/>
      <c r="D778" s="358"/>
      <c r="E778" s="358"/>
      <c r="F778" s="358"/>
      <c r="G778" s="358"/>
      <c r="H778" s="358"/>
      <c r="I778" s="358"/>
      <c r="J778" s="358"/>
      <c r="K778" s="358"/>
      <c r="L778" s="358"/>
      <c r="M778" s="358"/>
      <c r="N778" s="358"/>
      <c r="O778" s="358"/>
      <c r="P778" s="358"/>
      <c r="Q778" s="358"/>
    </row>
    <row r="779">
      <c r="A779" s="358"/>
      <c r="B779" s="358"/>
      <c r="C779" s="358"/>
      <c r="D779" s="358"/>
      <c r="E779" s="358"/>
      <c r="F779" s="358"/>
      <c r="G779" s="358"/>
      <c r="H779" s="358"/>
      <c r="I779" s="358"/>
      <c r="J779" s="358"/>
      <c r="K779" s="358"/>
      <c r="L779" s="358"/>
      <c r="M779" s="358"/>
      <c r="N779" s="358"/>
      <c r="O779" s="358"/>
      <c r="P779" s="358"/>
      <c r="Q779" s="358"/>
    </row>
    <row r="780">
      <c r="A780" s="358"/>
      <c r="B780" s="358"/>
      <c r="C780" s="358"/>
      <c r="D780" s="358"/>
      <c r="E780" s="358"/>
      <c r="F780" s="358"/>
      <c r="G780" s="358"/>
      <c r="H780" s="358"/>
      <c r="I780" s="358"/>
      <c r="J780" s="358"/>
      <c r="K780" s="358"/>
      <c r="L780" s="358"/>
      <c r="M780" s="358"/>
      <c r="N780" s="358"/>
      <c r="O780" s="358"/>
      <c r="P780" s="358"/>
      <c r="Q780" s="358"/>
    </row>
    <row r="781">
      <c r="A781" s="358"/>
      <c r="B781" s="358"/>
      <c r="C781" s="358"/>
      <c r="D781" s="358"/>
      <c r="E781" s="358"/>
      <c r="F781" s="358"/>
      <c r="G781" s="358"/>
      <c r="H781" s="358"/>
      <c r="I781" s="358"/>
      <c r="J781" s="358"/>
      <c r="K781" s="358"/>
      <c r="L781" s="358"/>
      <c r="M781" s="358"/>
      <c r="N781" s="358"/>
      <c r="O781" s="358"/>
      <c r="P781" s="358"/>
      <c r="Q781" s="358"/>
    </row>
    <row r="782">
      <c r="A782" s="358"/>
      <c r="B782" s="358"/>
      <c r="C782" s="358"/>
      <c r="D782" s="358"/>
      <c r="E782" s="358"/>
      <c r="F782" s="358"/>
      <c r="G782" s="358"/>
      <c r="H782" s="358"/>
      <c r="I782" s="358"/>
      <c r="J782" s="358"/>
      <c r="K782" s="358"/>
      <c r="L782" s="358"/>
      <c r="M782" s="358"/>
      <c r="N782" s="358"/>
      <c r="O782" s="358"/>
      <c r="P782" s="358"/>
      <c r="Q782" s="358"/>
    </row>
    <row r="783">
      <c r="A783" s="358"/>
      <c r="B783" s="358"/>
      <c r="C783" s="358"/>
      <c r="D783" s="358"/>
      <c r="E783" s="358"/>
      <c r="F783" s="358"/>
      <c r="G783" s="358"/>
      <c r="H783" s="358"/>
      <c r="I783" s="358"/>
      <c r="J783" s="358"/>
      <c r="K783" s="358"/>
      <c r="L783" s="358"/>
      <c r="M783" s="358"/>
      <c r="N783" s="358"/>
      <c r="O783" s="358"/>
      <c r="P783" s="358"/>
      <c r="Q783" s="358"/>
    </row>
    <row r="784">
      <c r="A784" s="358"/>
      <c r="B784" s="358"/>
      <c r="C784" s="358"/>
      <c r="D784" s="358"/>
      <c r="E784" s="358"/>
      <c r="F784" s="358"/>
      <c r="G784" s="358"/>
      <c r="H784" s="358"/>
      <c r="I784" s="358"/>
      <c r="J784" s="358"/>
      <c r="K784" s="358"/>
      <c r="L784" s="358"/>
      <c r="M784" s="358"/>
      <c r="N784" s="358"/>
      <c r="O784" s="358"/>
      <c r="P784" s="358"/>
      <c r="Q784" s="358"/>
    </row>
    <row r="785">
      <c r="A785" s="358"/>
      <c r="B785" s="358"/>
      <c r="C785" s="358"/>
      <c r="D785" s="358"/>
      <c r="E785" s="358"/>
      <c r="F785" s="358"/>
      <c r="G785" s="358"/>
      <c r="H785" s="358"/>
      <c r="I785" s="358"/>
      <c r="J785" s="358"/>
      <c r="K785" s="358"/>
      <c r="L785" s="358"/>
      <c r="M785" s="358"/>
      <c r="N785" s="358"/>
      <c r="O785" s="358"/>
      <c r="P785" s="358"/>
      <c r="Q785" s="358"/>
    </row>
    <row r="786">
      <c r="A786" s="358"/>
      <c r="B786" s="358"/>
      <c r="C786" s="358"/>
      <c r="D786" s="358"/>
      <c r="E786" s="358"/>
      <c r="F786" s="358"/>
      <c r="G786" s="358"/>
      <c r="H786" s="358"/>
      <c r="I786" s="358"/>
      <c r="J786" s="358"/>
      <c r="K786" s="358"/>
      <c r="L786" s="358"/>
      <c r="M786" s="358"/>
      <c r="N786" s="358"/>
      <c r="O786" s="358"/>
      <c r="P786" s="358"/>
      <c r="Q786" s="358"/>
    </row>
    <row r="787">
      <c r="A787" s="358"/>
      <c r="B787" s="358"/>
      <c r="C787" s="358"/>
      <c r="D787" s="358"/>
      <c r="E787" s="358"/>
      <c r="F787" s="358"/>
      <c r="G787" s="358"/>
      <c r="H787" s="358"/>
      <c r="I787" s="358"/>
      <c r="J787" s="358"/>
      <c r="K787" s="358"/>
      <c r="L787" s="358"/>
      <c r="M787" s="358"/>
      <c r="N787" s="358"/>
      <c r="O787" s="358"/>
      <c r="P787" s="358"/>
      <c r="Q787" s="358"/>
    </row>
    <row r="788">
      <c r="A788" s="358"/>
      <c r="B788" s="358"/>
      <c r="C788" s="358"/>
      <c r="D788" s="358"/>
      <c r="E788" s="358"/>
      <c r="F788" s="358"/>
      <c r="G788" s="358"/>
      <c r="H788" s="358"/>
      <c r="I788" s="358"/>
      <c r="J788" s="358"/>
      <c r="K788" s="358"/>
      <c r="L788" s="358"/>
      <c r="M788" s="358"/>
      <c r="N788" s="358"/>
      <c r="O788" s="358"/>
      <c r="P788" s="358"/>
      <c r="Q788" s="358"/>
    </row>
    <row r="789">
      <c r="A789" s="358"/>
      <c r="B789" s="358"/>
      <c r="C789" s="358"/>
      <c r="D789" s="358"/>
      <c r="E789" s="358"/>
      <c r="F789" s="358"/>
      <c r="G789" s="358"/>
      <c r="H789" s="358"/>
      <c r="I789" s="358"/>
      <c r="J789" s="358"/>
      <c r="K789" s="358"/>
      <c r="L789" s="358"/>
      <c r="M789" s="358"/>
      <c r="N789" s="358"/>
      <c r="O789" s="358"/>
      <c r="P789" s="358"/>
      <c r="Q789" s="358"/>
    </row>
    <row r="790">
      <c r="A790" s="358"/>
      <c r="B790" s="358"/>
      <c r="C790" s="358"/>
      <c r="D790" s="358"/>
      <c r="E790" s="358"/>
      <c r="F790" s="358"/>
      <c r="G790" s="358"/>
      <c r="H790" s="358"/>
      <c r="I790" s="358"/>
      <c r="J790" s="358"/>
      <c r="K790" s="358"/>
      <c r="L790" s="358"/>
      <c r="M790" s="358"/>
      <c r="N790" s="358"/>
      <c r="O790" s="358"/>
      <c r="P790" s="358"/>
      <c r="Q790" s="358"/>
    </row>
    <row r="791">
      <c r="A791" s="358"/>
      <c r="B791" s="358"/>
      <c r="C791" s="358"/>
      <c r="D791" s="358"/>
      <c r="E791" s="358"/>
      <c r="F791" s="358"/>
      <c r="G791" s="358"/>
      <c r="H791" s="358"/>
      <c r="I791" s="358"/>
      <c r="J791" s="358"/>
      <c r="K791" s="358"/>
      <c r="L791" s="358"/>
      <c r="M791" s="358"/>
      <c r="N791" s="358"/>
      <c r="O791" s="358"/>
      <c r="P791" s="358"/>
      <c r="Q791" s="358"/>
    </row>
    <row r="792">
      <c r="A792" s="358"/>
      <c r="B792" s="358"/>
      <c r="C792" s="358"/>
      <c r="D792" s="358"/>
      <c r="E792" s="358"/>
      <c r="F792" s="358"/>
      <c r="G792" s="358"/>
      <c r="H792" s="358"/>
      <c r="I792" s="358"/>
      <c r="J792" s="358"/>
      <c r="K792" s="358"/>
      <c r="L792" s="358"/>
      <c r="M792" s="358"/>
      <c r="N792" s="358"/>
      <c r="O792" s="358"/>
      <c r="P792" s="358"/>
      <c r="Q792" s="358"/>
    </row>
    <row r="793">
      <c r="A793" s="358"/>
      <c r="B793" s="358"/>
      <c r="C793" s="358"/>
      <c r="D793" s="358"/>
      <c r="E793" s="358"/>
      <c r="F793" s="358"/>
      <c r="G793" s="358"/>
      <c r="H793" s="358"/>
      <c r="I793" s="358"/>
      <c r="J793" s="358"/>
      <c r="K793" s="358"/>
      <c r="L793" s="358"/>
      <c r="M793" s="358"/>
      <c r="N793" s="358"/>
      <c r="O793" s="358"/>
      <c r="P793" s="358"/>
      <c r="Q793" s="358"/>
    </row>
    <row r="794">
      <c r="A794" s="358"/>
      <c r="B794" s="358"/>
      <c r="C794" s="358"/>
      <c r="D794" s="358"/>
      <c r="E794" s="358"/>
      <c r="F794" s="358"/>
      <c r="G794" s="358"/>
      <c r="H794" s="358"/>
      <c r="I794" s="358"/>
      <c r="J794" s="358"/>
      <c r="K794" s="358"/>
      <c r="L794" s="358"/>
      <c r="M794" s="358"/>
      <c r="N794" s="358"/>
      <c r="O794" s="358"/>
      <c r="P794" s="358"/>
      <c r="Q794" s="358"/>
    </row>
    <row r="795">
      <c r="A795" s="358"/>
      <c r="B795" s="358"/>
      <c r="C795" s="358"/>
      <c r="D795" s="358"/>
      <c r="E795" s="358"/>
      <c r="F795" s="358"/>
      <c r="G795" s="358"/>
      <c r="H795" s="358"/>
      <c r="I795" s="358"/>
      <c r="J795" s="358"/>
      <c r="K795" s="358"/>
      <c r="L795" s="358"/>
      <c r="M795" s="358"/>
      <c r="N795" s="358"/>
      <c r="O795" s="358"/>
      <c r="P795" s="358"/>
      <c r="Q795" s="358"/>
    </row>
    <row r="796">
      <c r="A796" s="358"/>
      <c r="B796" s="358"/>
      <c r="C796" s="358"/>
      <c r="D796" s="358"/>
      <c r="E796" s="358"/>
      <c r="F796" s="358"/>
      <c r="G796" s="358"/>
      <c r="H796" s="358"/>
      <c r="I796" s="358"/>
      <c r="J796" s="358"/>
      <c r="K796" s="358"/>
      <c r="L796" s="358"/>
      <c r="M796" s="358"/>
      <c r="N796" s="358"/>
      <c r="O796" s="358"/>
      <c r="P796" s="358"/>
      <c r="Q796" s="358"/>
    </row>
    <row r="797">
      <c r="A797" s="358"/>
      <c r="B797" s="358"/>
      <c r="C797" s="358"/>
      <c r="D797" s="358"/>
      <c r="E797" s="358"/>
      <c r="F797" s="358"/>
      <c r="G797" s="358"/>
      <c r="H797" s="358"/>
      <c r="I797" s="358"/>
      <c r="J797" s="358"/>
      <c r="K797" s="358"/>
      <c r="L797" s="358"/>
      <c r="M797" s="358"/>
      <c r="N797" s="358"/>
      <c r="O797" s="358"/>
      <c r="P797" s="358"/>
      <c r="Q797" s="358"/>
    </row>
    <row r="798">
      <c r="A798" s="358"/>
      <c r="B798" s="358"/>
      <c r="C798" s="358"/>
      <c r="D798" s="358"/>
      <c r="E798" s="358"/>
      <c r="F798" s="358"/>
      <c r="G798" s="358"/>
      <c r="H798" s="358"/>
      <c r="I798" s="358"/>
      <c r="J798" s="358"/>
      <c r="K798" s="358"/>
      <c r="L798" s="358"/>
      <c r="M798" s="358"/>
      <c r="N798" s="358"/>
      <c r="O798" s="358"/>
      <c r="P798" s="358"/>
      <c r="Q798" s="358"/>
    </row>
    <row r="799">
      <c r="A799" s="358"/>
      <c r="B799" s="358"/>
      <c r="C799" s="358"/>
      <c r="D799" s="358"/>
      <c r="E799" s="358"/>
      <c r="F799" s="358"/>
      <c r="G799" s="358"/>
      <c r="H799" s="358"/>
      <c r="I799" s="358"/>
      <c r="J799" s="358"/>
      <c r="K799" s="358"/>
      <c r="L799" s="358"/>
      <c r="M799" s="358"/>
      <c r="N799" s="358"/>
      <c r="O799" s="358"/>
      <c r="P799" s="358"/>
      <c r="Q799" s="358"/>
    </row>
    <row r="800">
      <c r="A800" s="358"/>
      <c r="B800" s="358"/>
      <c r="C800" s="358"/>
      <c r="D800" s="358"/>
      <c r="E800" s="358"/>
      <c r="F800" s="358"/>
      <c r="G800" s="358"/>
      <c r="H800" s="358"/>
      <c r="I800" s="358"/>
      <c r="J800" s="358"/>
      <c r="K800" s="358"/>
      <c r="L800" s="358"/>
      <c r="M800" s="358"/>
      <c r="N800" s="358"/>
      <c r="O800" s="358"/>
      <c r="P800" s="358"/>
      <c r="Q800" s="358"/>
    </row>
    <row r="801">
      <c r="A801" s="358"/>
      <c r="B801" s="358"/>
      <c r="C801" s="358"/>
      <c r="D801" s="358"/>
      <c r="E801" s="358"/>
      <c r="F801" s="358"/>
      <c r="G801" s="358"/>
      <c r="H801" s="358"/>
      <c r="I801" s="358"/>
      <c r="J801" s="358"/>
      <c r="K801" s="358"/>
      <c r="L801" s="358"/>
      <c r="M801" s="358"/>
      <c r="N801" s="358"/>
      <c r="O801" s="358"/>
      <c r="P801" s="358"/>
      <c r="Q801" s="358"/>
    </row>
    <row r="802">
      <c r="A802" s="358"/>
      <c r="B802" s="358"/>
      <c r="C802" s="358"/>
      <c r="D802" s="358"/>
      <c r="E802" s="358"/>
      <c r="F802" s="358"/>
      <c r="G802" s="358"/>
      <c r="H802" s="358"/>
      <c r="I802" s="358"/>
      <c r="J802" s="358"/>
      <c r="K802" s="358"/>
      <c r="L802" s="358"/>
      <c r="M802" s="358"/>
      <c r="N802" s="358"/>
      <c r="O802" s="358"/>
      <c r="P802" s="358"/>
      <c r="Q802" s="358"/>
    </row>
    <row r="803">
      <c r="A803" s="358"/>
      <c r="B803" s="358"/>
      <c r="C803" s="358"/>
      <c r="D803" s="358"/>
      <c r="E803" s="358"/>
      <c r="F803" s="358"/>
      <c r="G803" s="358"/>
      <c r="H803" s="358"/>
      <c r="I803" s="358"/>
      <c r="J803" s="358"/>
      <c r="K803" s="358"/>
      <c r="L803" s="358"/>
      <c r="M803" s="358"/>
      <c r="N803" s="358"/>
      <c r="O803" s="358"/>
      <c r="P803" s="358"/>
      <c r="Q803" s="358"/>
    </row>
    <row r="804">
      <c r="A804" s="358"/>
      <c r="B804" s="358"/>
      <c r="C804" s="358"/>
      <c r="D804" s="358"/>
      <c r="E804" s="358"/>
      <c r="F804" s="358"/>
      <c r="G804" s="358"/>
      <c r="H804" s="358"/>
      <c r="I804" s="358"/>
      <c r="J804" s="358"/>
      <c r="K804" s="358"/>
      <c r="L804" s="358"/>
      <c r="M804" s="358"/>
      <c r="N804" s="358"/>
      <c r="O804" s="358"/>
      <c r="P804" s="358"/>
      <c r="Q804" s="358"/>
    </row>
    <row r="805">
      <c r="A805" s="358"/>
      <c r="B805" s="358"/>
      <c r="C805" s="358"/>
      <c r="D805" s="358"/>
      <c r="E805" s="358"/>
      <c r="F805" s="358"/>
      <c r="G805" s="358"/>
      <c r="H805" s="358"/>
      <c r="I805" s="358"/>
      <c r="J805" s="358"/>
      <c r="K805" s="358"/>
      <c r="L805" s="358"/>
      <c r="M805" s="358"/>
      <c r="N805" s="358"/>
      <c r="O805" s="358"/>
      <c r="P805" s="358"/>
      <c r="Q805" s="358"/>
    </row>
    <row r="806">
      <c r="A806" s="358"/>
      <c r="B806" s="358"/>
      <c r="C806" s="358"/>
      <c r="D806" s="358"/>
      <c r="E806" s="358"/>
      <c r="F806" s="358"/>
      <c r="G806" s="358"/>
      <c r="H806" s="358"/>
      <c r="I806" s="358"/>
      <c r="J806" s="358"/>
      <c r="K806" s="358"/>
      <c r="L806" s="358"/>
      <c r="M806" s="358"/>
      <c r="N806" s="358"/>
      <c r="O806" s="358"/>
      <c r="P806" s="358"/>
      <c r="Q806" s="358"/>
    </row>
    <row r="807">
      <c r="A807" s="358"/>
      <c r="B807" s="358"/>
      <c r="C807" s="358"/>
      <c r="D807" s="358"/>
      <c r="E807" s="358"/>
      <c r="F807" s="358"/>
      <c r="G807" s="358"/>
      <c r="H807" s="358"/>
      <c r="I807" s="358"/>
      <c r="J807" s="358"/>
      <c r="K807" s="358"/>
      <c r="L807" s="358"/>
      <c r="M807" s="358"/>
      <c r="N807" s="358"/>
      <c r="O807" s="358"/>
      <c r="P807" s="358"/>
      <c r="Q807" s="358"/>
    </row>
    <row r="808">
      <c r="A808" s="358"/>
      <c r="B808" s="358"/>
      <c r="C808" s="358"/>
      <c r="D808" s="358"/>
      <c r="E808" s="358"/>
      <c r="F808" s="358"/>
      <c r="G808" s="358"/>
      <c r="H808" s="358"/>
      <c r="I808" s="358"/>
      <c r="J808" s="358"/>
      <c r="K808" s="358"/>
      <c r="L808" s="358"/>
      <c r="M808" s="358"/>
      <c r="N808" s="358"/>
      <c r="O808" s="358"/>
      <c r="P808" s="358"/>
      <c r="Q808" s="358"/>
    </row>
    <row r="809">
      <c r="A809" s="358"/>
      <c r="B809" s="358"/>
      <c r="C809" s="358"/>
      <c r="D809" s="358"/>
      <c r="E809" s="358"/>
      <c r="F809" s="358"/>
      <c r="G809" s="358"/>
      <c r="H809" s="358"/>
      <c r="I809" s="358"/>
      <c r="J809" s="358"/>
      <c r="K809" s="358"/>
      <c r="L809" s="358"/>
      <c r="M809" s="358"/>
      <c r="N809" s="358"/>
      <c r="O809" s="358"/>
      <c r="P809" s="358"/>
      <c r="Q809" s="358"/>
    </row>
    <row r="810">
      <c r="A810" s="358"/>
      <c r="B810" s="358"/>
      <c r="C810" s="358"/>
      <c r="D810" s="358"/>
      <c r="E810" s="358"/>
      <c r="F810" s="358"/>
      <c r="G810" s="358"/>
      <c r="H810" s="358"/>
      <c r="I810" s="358"/>
      <c r="J810" s="358"/>
      <c r="K810" s="358"/>
      <c r="L810" s="358"/>
      <c r="M810" s="358"/>
      <c r="N810" s="358"/>
      <c r="O810" s="358"/>
      <c r="P810" s="358"/>
      <c r="Q810" s="358"/>
    </row>
    <row r="811">
      <c r="A811" s="358"/>
      <c r="B811" s="358"/>
      <c r="C811" s="358"/>
      <c r="D811" s="358"/>
      <c r="E811" s="358"/>
      <c r="F811" s="358"/>
      <c r="G811" s="358"/>
      <c r="H811" s="358"/>
      <c r="I811" s="358"/>
      <c r="J811" s="358"/>
      <c r="K811" s="358"/>
      <c r="L811" s="358"/>
      <c r="M811" s="358"/>
      <c r="N811" s="358"/>
      <c r="O811" s="358"/>
      <c r="P811" s="358"/>
      <c r="Q811" s="358"/>
    </row>
    <row r="812">
      <c r="A812" s="358"/>
      <c r="B812" s="358"/>
      <c r="C812" s="358"/>
      <c r="D812" s="358"/>
      <c r="E812" s="358"/>
      <c r="F812" s="358"/>
      <c r="G812" s="358"/>
      <c r="H812" s="358"/>
      <c r="I812" s="358"/>
      <c r="J812" s="358"/>
      <c r="K812" s="358"/>
      <c r="L812" s="358"/>
      <c r="M812" s="358"/>
      <c r="N812" s="358"/>
      <c r="O812" s="358"/>
      <c r="P812" s="358"/>
      <c r="Q812" s="358"/>
    </row>
    <row r="813">
      <c r="A813" s="358"/>
      <c r="B813" s="358"/>
      <c r="C813" s="358"/>
      <c r="D813" s="358"/>
      <c r="E813" s="358"/>
      <c r="F813" s="358"/>
      <c r="G813" s="358"/>
      <c r="H813" s="358"/>
      <c r="I813" s="358"/>
      <c r="J813" s="358"/>
      <c r="K813" s="358"/>
      <c r="L813" s="358"/>
      <c r="M813" s="358"/>
      <c r="N813" s="358"/>
      <c r="O813" s="358"/>
      <c r="P813" s="358"/>
      <c r="Q813" s="358"/>
    </row>
    <row r="814">
      <c r="A814" s="358"/>
      <c r="B814" s="358"/>
      <c r="C814" s="358"/>
      <c r="D814" s="358"/>
      <c r="E814" s="358"/>
      <c r="F814" s="358"/>
      <c r="G814" s="358"/>
      <c r="H814" s="358"/>
      <c r="I814" s="358"/>
      <c r="J814" s="358"/>
      <c r="K814" s="358"/>
      <c r="L814" s="358"/>
      <c r="M814" s="358"/>
      <c r="N814" s="358"/>
      <c r="O814" s="358"/>
      <c r="P814" s="358"/>
      <c r="Q814" s="358"/>
    </row>
    <row r="815">
      <c r="A815" s="358"/>
      <c r="B815" s="358"/>
      <c r="C815" s="358"/>
      <c r="D815" s="358"/>
      <c r="E815" s="358"/>
      <c r="F815" s="358"/>
      <c r="G815" s="358"/>
      <c r="H815" s="358"/>
      <c r="I815" s="358"/>
      <c r="J815" s="358"/>
      <c r="K815" s="358"/>
      <c r="L815" s="358"/>
      <c r="M815" s="358"/>
      <c r="N815" s="358"/>
      <c r="O815" s="358"/>
      <c r="P815" s="358"/>
      <c r="Q815" s="358"/>
    </row>
    <row r="816">
      <c r="A816" s="358"/>
      <c r="B816" s="358"/>
      <c r="C816" s="358"/>
      <c r="D816" s="358"/>
      <c r="E816" s="358"/>
      <c r="F816" s="358"/>
      <c r="G816" s="358"/>
      <c r="H816" s="358"/>
      <c r="I816" s="358"/>
      <c r="J816" s="358"/>
      <c r="K816" s="358"/>
      <c r="L816" s="358"/>
      <c r="M816" s="358"/>
      <c r="N816" s="358"/>
      <c r="O816" s="358"/>
      <c r="P816" s="358"/>
      <c r="Q816" s="358"/>
    </row>
    <row r="817">
      <c r="A817" s="358"/>
      <c r="B817" s="358"/>
      <c r="C817" s="358"/>
      <c r="D817" s="358"/>
      <c r="E817" s="358"/>
      <c r="F817" s="358"/>
      <c r="G817" s="358"/>
      <c r="H817" s="358"/>
      <c r="I817" s="358"/>
      <c r="J817" s="358"/>
      <c r="K817" s="358"/>
      <c r="L817" s="358"/>
      <c r="M817" s="358"/>
      <c r="N817" s="358"/>
      <c r="O817" s="358"/>
      <c r="P817" s="358"/>
      <c r="Q817" s="358"/>
    </row>
    <row r="818">
      <c r="A818" s="358"/>
      <c r="B818" s="358"/>
      <c r="C818" s="358"/>
      <c r="D818" s="358"/>
      <c r="E818" s="358"/>
      <c r="F818" s="358"/>
      <c r="G818" s="358"/>
      <c r="H818" s="358"/>
      <c r="I818" s="358"/>
      <c r="J818" s="358"/>
      <c r="K818" s="358"/>
      <c r="L818" s="358"/>
      <c r="M818" s="358"/>
      <c r="N818" s="358"/>
      <c r="O818" s="358"/>
      <c r="P818" s="358"/>
      <c r="Q818" s="358"/>
    </row>
    <row r="819">
      <c r="A819" s="358"/>
      <c r="B819" s="358"/>
      <c r="C819" s="358"/>
      <c r="D819" s="358"/>
      <c r="E819" s="358"/>
      <c r="F819" s="358"/>
      <c r="G819" s="358"/>
      <c r="H819" s="358"/>
      <c r="I819" s="358"/>
      <c r="J819" s="358"/>
      <c r="K819" s="358"/>
      <c r="L819" s="358"/>
      <c r="M819" s="358"/>
      <c r="N819" s="358"/>
      <c r="O819" s="358"/>
      <c r="P819" s="358"/>
      <c r="Q819" s="358"/>
    </row>
    <row r="820">
      <c r="A820" s="358"/>
      <c r="B820" s="358"/>
      <c r="C820" s="358"/>
      <c r="D820" s="358"/>
      <c r="E820" s="358"/>
      <c r="F820" s="358"/>
      <c r="G820" s="358"/>
      <c r="H820" s="358"/>
      <c r="I820" s="358"/>
      <c r="J820" s="358"/>
      <c r="K820" s="358"/>
      <c r="L820" s="358"/>
      <c r="M820" s="358"/>
      <c r="N820" s="358"/>
      <c r="O820" s="358"/>
      <c r="P820" s="358"/>
      <c r="Q820" s="358"/>
    </row>
    <row r="821">
      <c r="A821" s="358"/>
      <c r="B821" s="358"/>
      <c r="C821" s="358"/>
      <c r="D821" s="358"/>
      <c r="E821" s="358"/>
      <c r="F821" s="358"/>
      <c r="G821" s="358"/>
      <c r="H821" s="358"/>
      <c r="I821" s="358"/>
      <c r="J821" s="358"/>
      <c r="K821" s="358"/>
      <c r="L821" s="358"/>
      <c r="M821" s="358"/>
      <c r="N821" s="358"/>
      <c r="O821" s="358"/>
      <c r="P821" s="358"/>
      <c r="Q821" s="358"/>
    </row>
    <row r="822">
      <c r="A822" s="358"/>
      <c r="B822" s="358"/>
      <c r="C822" s="358"/>
      <c r="D822" s="358"/>
      <c r="E822" s="358"/>
      <c r="F822" s="358"/>
      <c r="G822" s="358"/>
      <c r="H822" s="358"/>
      <c r="I822" s="358"/>
      <c r="J822" s="358"/>
      <c r="K822" s="358"/>
      <c r="L822" s="358"/>
      <c r="M822" s="358"/>
      <c r="N822" s="358"/>
      <c r="O822" s="358"/>
      <c r="P822" s="358"/>
      <c r="Q822" s="358"/>
    </row>
    <row r="823">
      <c r="A823" s="358"/>
      <c r="B823" s="358"/>
      <c r="C823" s="358"/>
      <c r="D823" s="358"/>
      <c r="E823" s="358"/>
      <c r="F823" s="358"/>
      <c r="G823" s="358"/>
      <c r="H823" s="358"/>
      <c r="I823" s="358"/>
      <c r="J823" s="358"/>
      <c r="K823" s="358"/>
      <c r="L823" s="358"/>
      <c r="M823" s="358"/>
      <c r="N823" s="358"/>
      <c r="O823" s="358"/>
      <c r="P823" s="358"/>
      <c r="Q823" s="358"/>
    </row>
    <row r="824">
      <c r="A824" s="358"/>
      <c r="B824" s="358"/>
      <c r="C824" s="358"/>
      <c r="D824" s="358"/>
      <c r="E824" s="358"/>
      <c r="F824" s="358"/>
      <c r="G824" s="358"/>
      <c r="H824" s="358"/>
      <c r="I824" s="358"/>
      <c r="J824" s="358"/>
      <c r="K824" s="358"/>
      <c r="L824" s="358"/>
      <c r="M824" s="358"/>
      <c r="N824" s="358"/>
      <c r="O824" s="358"/>
      <c r="P824" s="358"/>
      <c r="Q824" s="358"/>
    </row>
    <row r="825">
      <c r="A825" s="358"/>
      <c r="B825" s="358"/>
      <c r="C825" s="358"/>
      <c r="D825" s="358"/>
      <c r="E825" s="358"/>
      <c r="F825" s="358"/>
      <c r="G825" s="358"/>
      <c r="H825" s="358"/>
      <c r="I825" s="358"/>
      <c r="J825" s="358"/>
      <c r="K825" s="358"/>
      <c r="L825" s="358"/>
      <c r="M825" s="358"/>
      <c r="N825" s="358"/>
      <c r="O825" s="358"/>
      <c r="P825" s="358"/>
      <c r="Q825" s="358"/>
    </row>
    <row r="826">
      <c r="A826" s="358"/>
      <c r="B826" s="358"/>
      <c r="C826" s="358"/>
      <c r="D826" s="358"/>
      <c r="E826" s="358"/>
      <c r="F826" s="358"/>
      <c r="G826" s="358"/>
      <c r="H826" s="358"/>
      <c r="I826" s="358"/>
      <c r="J826" s="358"/>
      <c r="K826" s="358"/>
      <c r="L826" s="358"/>
      <c r="M826" s="358"/>
      <c r="N826" s="358"/>
      <c r="O826" s="358"/>
      <c r="P826" s="358"/>
      <c r="Q826" s="358"/>
    </row>
    <row r="827">
      <c r="A827" s="358"/>
      <c r="B827" s="358"/>
      <c r="C827" s="358"/>
      <c r="D827" s="358"/>
      <c r="E827" s="358"/>
      <c r="F827" s="358"/>
      <c r="G827" s="358"/>
      <c r="H827" s="358"/>
      <c r="I827" s="358"/>
      <c r="J827" s="358"/>
      <c r="K827" s="358"/>
      <c r="L827" s="358"/>
      <c r="M827" s="358"/>
      <c r="N827" s="358"/>
      <c r="O827" s="358"/>
      <c r="P827" s="358"/>
      <c r="Q827" s="358"/>
    </row>
    <row r="828">
      <c r="A828" s="358"/>
      <c r="B828" s="358"/>
      <c r="C828" s="358"/>
      <c r="D828" s="358"/>
      <c r="E828" s="358"/>
      <c r="F828" s="358"/>
      <c r="G828" s="358"/>
      <c r="H828" s="358"/>
      <c r="I828" s="358"/>
      <c r="J828" s="358"/>
      <c r="K828" s="358"/>
      <c r="L828" s="358"/>
      <c r="M828" s="358"/>
      <c r="N828" s="358"/>
      <c r="O828" s="358"/>
      <c r="P828" s="358"/>
      <c r="Q828" s="358"/>
    </row>
    <row r="829">
      <c r="A829" s="358"/>
      <c r="B829" s="358"/>
      <c r="C829" s="358"/>
      <c r="D829" s="358"/>
      <c r="E829" s="358"/>
      <c r="F829" s="358"/>
      <c r="G829" s="358"/>
      <c r="H829" s="358"/>
      <c r="I829" s="358"/>
      <c r="J829" s="358"/>
      <c r="K829" s="358"/>
      <c r="L829" s="358"/>
      <c r="M829" s="358"/>
      <c r="N829" s="358"/>
      <c r="O829" s="358"/>
      <c r="P829" s="358"/>
      <c r="Q829" s="358"/>
    </row>
    <row r="830">
      <c r="A830" s="358"/>
      <c r="B830" s="358"/>
      <c r="C830" s="358"/>
      <c r="D830" s="358"/>
      <c r="E830" s="358"/>
      <c r="F830" s="358"/>
      <c r="G830" s="358"/>
      <c r="H830" s="358"/>
      <c r="I830" s="358"/>
      <c r="J830" s="358"/>
      <c r="K830" s="358"/>
      <c r="L830" s="358"/>
      <c r="M830" s="358"/>
      <c r="N830" s="358"/>
      <c r="O830" s="358"/>
      <c r="P830" s="358"/>
      <c r="Q830" s="358"/>
    </row>
    <row r="831">
      <c r="A831" s="358"/>
      <c r="B831" s="358"/>
      <c r="C831" s="358"/>
      <c r="D831" s="358"/>
      <c r="E831" s="358"/>
      <c r="F831" s="358"/>
      <c r="G831" s="358"/>
      <c r="H831" s="358"/>
      <c r="I831" s="358"/>
      <c r="J831" s="358"/>
      <c r="K831" s="358"/>
      <c r="L831" s="358"/>
      <c r="M831" s="358"/>
      <c r="N831" s="358"/>
      <c r="O831" s="358"/>
      <c r="P831" s="358"/>
      <c r="Q831" s="358"/>
    </row>
    <row r="832">
      <c r="A832" s="358"/>
      <c r="B832" s="358"/>
      <c r="C832" s="358"/>
      <c r="D832" s="358"/>
      <c r="E832" s="358"/>
      <c r="F832" s="358"/>
      <c r="G832" s="358"/>
      <c r="H832" s="358"/>
      <c r="I832" s="358"/>
      <c r="J832" s="358"/>
      <c r="K832" s="358"/>
      <c r="L832" s="358"/>
      <c r="M832" s="358"/>
      <c r="N832" s="358"/>
      <c r="O832" s="358"/>
      <c r="P832" s="358"/>
      <c r="Q832" s="358"/>
    </row>
    <row r="833">
      <c r="A833" s="358"/>
      <c r="B833" s="358"/>
      <c r="C833" s="358"/>
      <c r="D833" s="358"/>
      <c r="E833" s="358"/>
      <c r="F833" s="358"/>
      <c r="G833" s="358"/>
      <c r="H833" s="358"/>
      <c r="I833" s="358"/>
      <c r="J833" s="358"/>
      <c r="K833" s="358"/>
      <c r="L833" s="358"/>
      <c r="M833" s="358"/>
      <c r="N833" s="358"/>
      <c r="O833" s="358"/>
      <c r="P833" s="358"/>
      <c r="Q833" s="358"/>
    </row>
    <row r="834">
      <c r="A834" s="358"/>
      <c r="B834" s="358"/>
      <c r="C834" s="358"/>
      <c r="D834" s="358"/>
      <c r="E834" s="358"/>
      <c r="F834" s="358"/>
      <c r="G834" s="358"/>
      <c r="H834" s="358"/>
      <c r="I834" s="358"/>
      <c r="J834" s="358"/>
      <c r="K834" s="358"/>
      <c r="L834" s="358"/>
      <c r="M834" s="358"/>
      <c r="N834" s="358"/>
      <c r="O834" s="358"/>
      <c r="P834" s="358"/>
      <c r="Q834" s="358"/>
    </row>
    <row r="835">
      <c r="A835" s="358"/>
      <c r="B835" s="358"/>
      <c r="C835" s="358"/>
      <c r="D835" s="358"/>
      <c r="E835" s="358"/>
      <c r="F835" s="358"/>
      <c r="G835" s="358"/>
      <c r="H835" s="358"/>
      <c r="I835" s="358"/>
      <c r="J835" s="358"/>
      <c r="K835" s="358"/>
      <c r="L835" s="358"/>
      <c r="M835" s="358"/>
      <c r="N835" s="358"/>
      <c r="O835" s="358"/>
      <c r="P835" s="358"/>
      <c r="Q835" s="358"/>
    </row>
    <row r="836">
      <c r="A836" s="358"/>
      <c r="B836" s="358"/>
      <c r="C836" s="358"/>
      <c r="D836" s="358"/>
      <c r="E836" s="358"/>
      <c r="F836" s="358"/>
      <c r="G836" s="358"/>
      <c r="H836" s="358"/>
      <c r="I836" s="358"/>
      <c r="J836" s="358"/>
      <c r="K836" s="358"/>
      <c r="L836" s="358"/>
      <c r="M836" s="358"/>
      <c r="N836" s="358"/>
      <c r="O836" s="358"/>
      <c r="P836" s="358"/>
      <c r="Q836" s="358"/>
    </row>
    <row r="837">
      <c r="A837" s="358"/>
      <c r="B837" s="358"/>
      <c r="C837" s="358"/>
      <c r="D837" s="358"/>
      <c r="E837" s="358"/>
      <c r="F837" s="358"/>
      <c r="G837" s="358"/>
      <c r="H837" s="358"/>
      <c r="I837" s="358"/>
      <c r="J837" s="358"/>
      <c r="K837" s="358"/>
      <c r="L837" s="358"/>
      <c r="M837" s="358"/>
      <c r="N837" s="358"/>
      <c r="O837" s="358"/>
      <c r="P837" s="358"/>
      <c r="Q837" s="358"/>
    </row>
    <row r="838">
      <c r="A838" s="358"/>
      <c r="B838" s="358"/>
      <c r="C838" s="358"/>
      <c r="D838" s="358"/>
      <c r="E838" s="358"/>
      <c r="F838" s="358"/>
      <c r="G838" s="358"/>
      <c r="H838" s="358"/>
      <c r="I838" s="358"/>
      <c r="J838" s="358"/>
      <c r="K838" s="358"/>
      <c r="L838" s="358"/>
      <c r="M838" s="358"/>
      <c r="N838" s="358"/>
      <c r="O838" s="358"/>
      <c r="P838" s="358"/>
      <c r="Q838" s="358"/>
    </row>
    <row r="839">
      <c r="A839" s="358"/>
      <c r="B839" s="358"/>
      <c r="C839" s="358"/>
      <c r="D839" s="358"/>
      <c r="E839" s="358"/>
      <c r="F839" s="358"/>
      <c r="G839" s="358"/>
      <c r="H839" s="358"/>
      <c r="I839" s="358"/>
      <c r="J839" s="358"/>
      <c r="K839" s="358"/>
      <c r="L839" s="358"/>
      <c r="M839" s="358"/>
      <c r="N839" s="358"/>
      <c r="O839" s="358"/>
      <c r="P839" s="358"/>
      <c r="Q839" s="358"/>
    </row>
    <row r="840">
      <c r="A840" s="358"/>
      <c r="B840" s="358"/>
      <c r="C840" s="358"/>
      <c r="D840" s="358"/>
      <c r="E840" s="358"/>
      <c r="F840" s="358"/>
      <c r="G840" s="358"/>
      <c r="H840" s="358"/>
      <c r="I840" s="358"/>
      <c r="J840" s="358"/>
      <c r="K840" s="358"/>
      <c r="L840" s="358"/>
      <c r="M840" s="358"/>
      <c r="N840" s="358"/>
      <c r="O840" s="358"/>
      <c r="P840" s="358"/>
      <c r="Q840" s="358"/>
    </row>
    <row r="841">
      <c r="A841" s="358"/>
      <c r="B841" s="358"/>
      <c r="C841" s="358"/>
      <c r="D841" s="358"/>
      <c r="E841" s="358"/>
      <c r="F841" s="358"/>
      <c r="G841" s="358"/>
      <c r="H841" s="358"/>
      <c r="I841" s="358"/>
      <c r="J841" s="358"/>
      <c r="K841" s="358"/>
      <c r="L841" s="358"/>
      <c r="M841" s="358"/>
      <c r="N841" s="358"/>
      <c r="O841" s="358"/>
      <c r="P841" s="358"/>
      <c r="Q841" s="358"/>
    </row>
    <row r="842">
      <c r="A842" s="358"/>
      <c r="B842" s="358"/>
      <c r="C842" s="358"/>
      <c r="D842" s="358"/>
      <c r="E842" s="358"/>
      <c r="F842" s="358"/>
      <c r="G842" s="358"/>
      <c r="H842" s="358"/>
      <c r="I842" s="358"/>
      <c r="J842" s="358"/>
      <c r="K842" s="358"/>
      <c r="L842" s="358"/>
      <c r="M842" s="358"/>
      <c r="N842" s="358"/>
      <c r="O842" s="358"/>
      <c r="P842" s="358"/>
      <c r="Q842" s="358"/>
    </row>
    <row r="843">
      <c r="A843" s="358"/>
      <c r="B843" s="358"/>
      <c r="C843" s="358"/>
      <c r="D843" s="358"/>
      <c r="E843" s="358"/>
      <c r="F843" s="358"/>
      <c r="G843" s="358"/>
      <c r="H843" s="358"/>
      <c r="I843" s="358"/>
      <c r="J843" s="358"/>
      <c r="K843" s="358"/>
      <c r="L843" s="358"/>
      <c r="M843" s="358"/>
      <c r="N843" s="358"/>
      <c r="O843" s="358"/>
      <c r="P843" s="358"/>
      <c r="Q843" s="358"/>
    </row>
    <row r="844">
      <c r="A844" s="358"/>
      <c r="B844" s="358"/>
      <c r="C844" s="358"/>
      <c r="D844" s="358"/>
      <c r="E844" s="358"/>
      <c r="F844" s="358"/>
      <c r="G844" s="358"/>
      <c r="H844" s="358"/>
      <c r="I844" s="358"/>
      <c r="J844" s="358"/>
      <c r="K844" s="358"/>
      <c r="L844" s="358"/>
      <c r="M844" s="358"/>
      <c r="N844" s="358"/>
      <c r="O844" s="358"/>
      <c r="P844" s="358"/>
      <c r="Q844" s="358"/>
    </row>
    <row r="845">
      <c r="A845" s="358"/>
      <c r="B845" s="358"/>
      <c r="C845" s="358"/>
      <c r="D845" s="358"/>
      <c r="E845" s="358"/>
      <c r="F845" s="358"/>
      <c r="G845" s="358"/>
      <c r="H845" s="358"/>
      <c r="I845" s="358"/>
      <c r="J845" s="358"/>
      <c r="K845" s="358"/>
      <c r="L845" s="358"/>
      <c r="M845" s="358"/>
      <c r="N845" s="358"/>
      <c r="O845" s="358"/>
      <c r="P845" s="358"/>
      <c r="Q845" s="358"/>
    </row>
    <row r="846">
      <c r="A846" s="358"/>
      <c r="B846" s="358"/>
      <c r="C846" s="358"/>
      <c r="D846" s="358"/>
      <c r="E846" s="358"/>
      <c r="F846" s="358"/>
      <c r="G846" s="358"/>
      <c r="H846" s="358"/>
      <c r="I846" s="358"/>
      <c r="J846" s="358"/>
      <c r="K846" s="358"/>
      <c r="L846" s="358"/>
      <c r="M846" s="358"/>
      <c r="N846" s="358"/>
      <c r="O846" s="358"/>
      <c r="P846" s="358"/>
      <c r="Q846" s="358"/>
    </row>
    <row r="847">
      <c r="A847" s="358"/>
      <c r="B847" s="358"/>
      <c r="C847" s="358"/>
      <c r="D847" s="358"/>
      <c r="E847" s="358"/>
      <c r="F847" s="358"/>
      <c r="G847" s="358"/>
      <c r="H847" s="358"/>
      <c r="I847" s="358"/>
      <c r="J847" s="358"/>
      <c r="K847" s="358"/>
      <c r="L847" s="358"/>
      <c r="M847" s="358"/>
      <c r="N847" s="358"/>
      <c r="O847" s="358"/>
      <c r="P847" s="358"/>
      <c r="Q847" s="358"/>
    </row>
    <row r="848">
      <c r="A848" s="358"/>
      <c r="B848" s="358"/>
      <c r="C848" s="358"/>
      <c r="D848" s="358"/>
      <c r="E848" s="358"/>
      <c r="F848" s="358"/>
      <c r="G848" s="358"/>
      <c r="H848" s="358"/>
      <c r="I848" s="358"/>
      <c r="J848" s="358"/>
      <c r="K848" s="358"/>
      <c r="L848" s="358"/>
      <c r="M848" s="358"/>
      <c r="N848" s="358"/>
      <c r="O848" s="358"/>
      <c r="P848" s="358"/>
      <c r="Q848" s="358"/>
    </row>
    <row r="849">
      <c r="A849" s="358"/>
      <c r="B849" s="358"/>
      <c r="C849" s="358"/>
      <c r="D849" s="358"/>
      <c r="E849" s="358"/>
      <c r="F849" s="358"/>
      <c r="G849" s="358"/>
      <c r="H849" s="358"/>
      <c r="I849" s="358"/>
      <c r="J849" s="358"/>
      <c r="K849" s="358"/>
      <c r="L849" s="358"/>
      <c r="M849" s="358"/>
      <c r="N849" s="358"/>
      <c r="O849" s="358"/>
      <c r="P849" s="358"/>
      <c r="Q849" s="358"/>
    </row>
    <row r="850">
      <c r="A850" s="358"/>
      <c r="B850" s="358"/>
      <c r="C850" s="358"/>
      <c r="D850" s="358"/>
      <c r="E850" s="358"/>
      <c r="F850" s="358"/>
      <c r="G850" s="358"/>
      <c r="H850" s="358"/>
      <c r="I850" s="358"/>
      <c r="J850" s="358"/>
      <c r="K850" s="358"/>
      <c r="L850" s="358"/>
      <c r="M850" s="358"/>
      <c r="N850" s="358"/>
      <c r="O850" s="358"/>
      <c r="P850" s="358"/>
      <c r="Q850" s="358"/>
    </row>
    <row r="851">
      <c r="A851" s="358"/>
      <c r="B851" s="358"/>
      <c r="C851" s="358"/>
      <c r="D851" s="358"/>
      <c r="E851" s="358"/>
      <c r="F851" s="358"/>
      <c r="G851" s="358"/>
      <c r="H851" s="358"/>
      <c r="I851" s="358"/>
      <c r="J851" s="358"/>
      <c r="K851" s="358"/>
      <c r="L851" s="358"/>
      <c r="M851" s="358"/>
      <c r="N851" s="358"/>
      <c r="O851" s="358"/>
      <c r="P851" s="358"/>
      <c r="Q851" s="358"/>
    </row>
    <row r="852">
      <c r="A852" s="358"/>
      <c r="B852" s="358"/>
      <c r="C852" s="358"/>
      <c r="D852" s="358"/>
      <c r="E852" s="358"/>
      <c r="F852" s="358"/>
      <c r="G852" s="358"/>
      <c r="H852" s="358"/>
      <c r="I852" s="358"/>
      <c r="J852" s="358"/>
      <c r="K852" s="358"/>
      <c r="L852" s="358"/>
      <c r="M852" s="358"/>
      <c r="N852" s="358"/>
      <c r="O852" s="358"/>
      <c r="P852" s="358"/>
      <c r="Q852" s="358"/>
    </row>
    <row r="853">
      <c r="A853" s="358"/>
      <c r="B853" s="358"/>
      <c r="C853" s="358"/>
      <c r="D853" s="358"/>
      <c r="E853" s="358"/>
      <c r="F853" s="358"/>
      <c r="G853" s="358"/>
      <c r="H853" s="358"/>
      <c r="I853" s="358"/>
      <c r="J853" s="358"/>
      <c r="K853" s="358"/>
      <c r="L853" s="358"/>
      <c r="M853" s="358"/>
      <c r="N853" s="358"/>
      <c r="O853" s="358"/>
      <c r="P853" s="358"/>
      <c r="Q853" s="358"/>
    </row>
    <row r="854">
      <c r="A854" s="358"/>
      <c r="B854" s="358"/>
      <c r="C854" s="358"/>
      <c r="D854" s="358"/>
      <c r="E854" s="358"/>
      <c r="F854" s="358"/>
      <c r="G854" s="358"/>
      <c r="H854" s="358"/>
      <c r="I854" s="358"/>
      <c r="J854" s="358"/>
      <c r="K854" s="358"/>
      <c r="L854" s="358"/>
      <c r="M854" s="358"/>
      <c r="N854" s="358"/>
      <c r="O854" s="358"/>
      <c r="P854" s="358"/>
      <c r="Q854" s="358"/>
    </row>
    <row r="855">
      <c r="A855" s="358"/>
      <c r="B855" s="358"/>
      <c r="C855" s="358"/>
      <c r="D855" s="358"/>
      <c r="E855" s="358"/>
      <c r="F855" s="358"/>
      <c r="G855" s="358"/>
      <c r="H855" s="358"/>
      <c r="I855" s="358"/>
      <c r="J855" s="358"/>
      <c r="K855" s="358"/>
      <c r="L855" s="358"/>
      <c r="M855" s="358"/>
      <c r="N855" s="358"/>
      <c r="O855" s="358"/>
      <c r="P855" s="358"/>
      <c r="Q855" s="358"/>
    </row>
    <row r="856">
      <c r="A856" s="358"/>
      <c r="B856" s="358"/>
      <c r="C856" s="358"/>
      <c r="D856" s="358"/>
      <c r="E856" s="358"/>
      <c r="F856" s="358"/>
      <c r="G856" s="358"/>
      <c r="H856" s="358"/>
      <c r="I856" s="358"/>
      <c r="J856" s="358"/>
      <c r="K856" s="358"/>
      <c r="L856" s="358"/>
      <c r="M856" s="358"/>
      <c r="N856" s="358"/>
      <c r="O856" s="358"/>
      <c r="P856" s="358"/>
      <c r="Q856" s="358"/>
    </row>
    <row r="857">
      <c r="A857" s="358"/>
      <c r="B857" s="358"/>
      <c r="C857" s="358"/>
      <c r="D857" s="358"/>
      <c r="E857" s="358"/>
      <c r="F857" s="358"/>
      <c r="G857" s="358"/>
      <c r="H857" s="358"/>
      <c r="I857" s="358"/>
      <c r="J857" s="358"/>
      <c r="K857" s="358"/>
      <c r="L857" s="358"/>
      <c r="M857" s="358"/>
      <c r="N857" s="358"/>
      <c r="O857" s="358"/>
      <c r="P857" s="358"/>
      <c r="Q857" s="358"/>
    </row>
    <row r="858">
      <c r="A858" s="358"/>
      <c r="B858" s="358"/>
      <c r="C858" s="358"/>
      <c r="D858" s="358"/>
      <c r="E858" s="358"/>
      <c r="F858" s="358"/>
      <c r="G858" s="358"/>
      <c r="H858" s="358"/>
      <c r="I858" s="358"/>
      <c r="J858" s="358"/>
      <c r="K858" s="358"/>
      <c r="L858" s="358"/>
      <c r="M858" s="358"/>
      <c r="N858" s="358"/>
      <c r="O858" s="358"/>
      <c r="P858" s="358"/>
      <c r="Q858" s="358"/>
    </row>
    <row r="859">
      <c r="A859" s="358"/>
      <c r="B859" s="358"/>
      <c r="C859" s="358"/>
      <c r="D859" s="358"/>
      <c r="E859" s="358"/>
      <c r="F859" s="358"/>
      <c r="G859" s="358"/>
      <c r="H859" s="358"/>
      <c r="I859" s="358"/>
      <c r="J859" s="358"/>
      <c r="K859" s="358"/>
      <c r="L859" s="358"/>
      <c r="M859" s="358"/>
      <c r="N859" s="358"/>
      <c r="O859" s="358"/>
      <c r="P859" s="358"/>
      <c r="Q859" s="358"/>
    </row>
    <row r="860">
      <c r="A860" s="358"/>
      <c r="B860" s="358"/>
      <c r="C860" s="358"/>
      <c r="D860" s="358"/>
      <c r="E860" s="358"/>
      <c r="F860" s="358"/>
      <c r="G860" s="358"/>
      <c r="H860" s="358"/>
      <c r="I860" s="358"/>
      <c r="J860" s="358"/>
      <c r="K860" s="358"/>
      <c r="L860" s="358"/>
      <c r="M860" s="358"/>
      <c r="N860" s="358"/>
      <c r="O860" s="358"/>
      <c r="P860" s="358"/>
      <c r="Q860" s="358"/>
    </row>
    <row r="861">
      <c r="A861" s="358"/>
      <c r="B861" s="358"/>
      <c r="C861" s="358"/>
      <c r="D861" s="358"/>
      <c r="E861" s="358"/>
      <c r="F861" s="358"/>
      <c r="G861" s="358"/>
      <c r="H861" s="358"/>
      <c r="I861" s="358"/>
      <c r="J861" s="358"/>
      <c r="K861" s="358"/>
      <c r="L861" s="358"/>
      <c r="M861" s="358"/>
      <c r="N861" s="358"/>
      <c r="O861" s="358"/>
      <c r="P861" s="358"/>
      <c r="Q861" s="358"/>
    </row>
    <row r="862">
      <c r="A862" s="358"/>
      <c r="B862" s="358"/>
      <c r="C862" s="358"/>
      <c r="D862" s="358"/>
      <c r="E862" s="358"/>
      <c r="F862" s="358"/>
      <c r="G862" s="358"/>
      <c r="H862" s="358"/>
      <c r="I862" s="358"/>
      <c r="J862" s="358"/>
      <c r="K862" s="358"/>
      <c r="L862" s="358"/>
      <c r="M862" s="358"/>
      <c r="N862" s="358"/>
      <c r="O862" s="358"/>
      <c r="P862" s="358"/>
      <c r="Q862" s="358"/>
    </row>
    <row r="863">
      <c r="A863" s="358"/>
      <c r="B863" s="358"/>
      <c r="C863" s="358"/>
      <c r="D863" s="358"/>
      <c r="E863" s="358"/>
      <c r="F863" s="358"/>
      <c r="G863" s="358"/>
      <c r="H863" s="358"/>
      <c r="I863" s="358"/>
      <c r="J863" s="358"/>
      <c r="K863" s="358"/>
      <c r="L863" s="358"/>
      <c r="M863" s="358"/>
      <c r="N863" s="358"/>
      <c r="O863" s="358"/>
      <c r="P863" s="358"/>
      <c r="Q863" s="358"/>
    </row>
    <row r="864">
      <c r="A864" s="358"/>
      <c r="B864" s="358"/>
      <c r="C864" s="358"/>
      <c r="D864" s="358"/>
      <c r="E864" s="358"/>
      <c r="F864" s="358"/>
      <c r="G864" s="358"/>
      <c r="H864" s="358"/>
      <c r="I864" s="358"/>
      <c r="J864" s="358"/>
      <c r="K864" s="358"/>
      <c r="L864" s="358"/>
      <c r="M864" s="358"/>
      <c r="N864" s="358"/>
      <c r="O864" s="358"/>
      <c r="P864" s="358"/>
      <c r="Q864" s="358"/>
    </row>
    <row r="865">
      <c r="A865" s="358"/>
      <c r="B865" s="358"/>
      <c r="C865" s="358"/>
      <c r="D865" s="358"/>
      <c r="E865" s="358"/>
      <c r="F865" s="358"/>
      <c r="G865" s="358"/>
      <c r="H865" s="358"/>
      <c r="I865" s="358"/>
      <c r="J865" s="358"/>
      <c r="K865" s="358"/>
      <c r="L865" s="358"/>
      <c r="M865" s="358"/>
      <c r="N865" s="358"/>
      <c r="O865" s="358"/>
      <c r="P865" s="358"/>
      <c r="Q865" s="358"/>
    </row>
    <row r="866">
      <c r="A866" s="358"/>
      <c r="B866" s="358"/>
      <c r="C866" s="358"/>
      <c r="D866" s="358"/>
      <c r="E866" s="358"/>
      <c r="F866" s="358"/>
      <c r="G866" s="358"/>
      <c r="H866" s="358"/>
      <c r="I866" s="358"/>
      <c r="J866" s="358"/>
      <c r="K866" s="358"/>
      <c r="L866" s="358"/>
      <c r="M866" s="358"/>
      <c r="N866" s="358"/>
      <c r="O866" s="358"/>
      <c r="P866" s="358"/>
      <c r="Q866" s="358"/>
    </row>
    <row r="867">
      <c r="A867" s="358"/>
      <c r="B867" s="358"/>
      <c r="C867" s="358"/>
      <c r="D867" s="358"/>
      <c r="E867" s="358"/>
      <c r="F867" s="358"/>
      <c r="G867" s="358"/>
      <c r="H867" s="358"/>
      <c r="I867" s="358"/>
      <c r="J867" s="358"/>
      <c r="K867" s="358"/>
      <c r="L867" s="358"/>
      <c r="M867" s="358"/>
      <c r="N867" s="358"/>
      <c r="O867" s="358"/>
      <c r="P867" s="358"/>
      <c r="Q867" s="358"/>
    </row>
    <row r="868">
      <c r="A868" s="358"/>
      <c r="B868" s="358"/>
      <c r="C868" s="358"/>
      <c r="D868" s="358"/>
      <c r="E868" s="358"/>
      <c r="F868" s="358"/>
      <c r="G868" s="358"/>
      <c r="H868" s="358"/>
      <c r="I868" s="358"/>
      <c r="J868" s="358"/>
      <c r="K868" s="358"/>
      <c r="L868" s="358"/>
      <c r="M868" s="358"/>
      <c r="N868" s="358"/>
      <c r="O868" s="358"/>
      <c r="P868" s="358"/>
      <c r="Q868" s="358"/>
    </row>
    <row r="869">
      <c r="A869" s="358"/>
      <c r="B869" s="358"/>
      <c r="C869" s="358"/>
      <c r="D869" s="358"/>
      <c r="E869" s="358"/>
      <c r="F869" s="358"/>
      <c r="G869" s="358"/>
      <c r="H869" s="358"/>
      <c r="I869" s="358"/>
      <c r="J869" s="358"/>
      <c r="K869" s="358"/>
      <c r="L869" s="358"/>
      <c r="M869" s="358"/>
      <c r="N869" s="358"/>
      <c r="O869" s="358"/>
      <c r="P869" s="358"/>
      <c r="Q869" s="358"/>
    </row>
    <row r="870">
      <c r="A870" s="358"/>
      <c r="B870" s="358"/>
      <c r="C870" s="358"/>
      <c r="D870" s="358"/>
      <c r="E870" s="358"/>
      <c r="F870" s="358"/>
      <c r="G870" s="358"/>
      <c r="H870" s="358"/>
      <c r="I870" s="358"/>
      <c r="J870" s="358"/>
      <c r="K870" s="358"/>
      <c r="L870" s="358"/>
      <c r="M870" s="358"/>
      <c r="N870" s="358"/>
      <c r="O870" s="358"/>
      <c r="P870" s="358"/>
      <c r="Q870" s="358"/>
    </row>
    <row r="871">
      <c r="A871" s="358"/>
      <c r="B871" s="358"/>
      <c r="C871" s="358"/>
      <c r="D871" s="358"/>
      <c r="E871" s="358"/>
      <c r="F871" s="358"/>
      <c r="G871" s="358"/>
      <c r="H871" s="358"/>
      <c r="I871" s="358"/>
      <c r="J871" s="358"/>
      <c r="K871" s="358"/>
      <c r="L871" s="358"/>
      <c r="M871" s="358"/>
      <c r="N871" s="358"/>
      <c r="O871" s="358"/>
      <c r="P871" s="358"/>
      <c r="Q871" s="358"/>
    </row>
    <row r="872">
      <c r="A872" s="358"/>
      <c r="B872" s="358"/>
      <c r="C872" s="358"/>
      <c r="D872" s="358"/>
      <c r="E872" s="358"/>
      <c r="F872" s="358"/>
      <c r="G872" s="358"/>
      <c r="H872" s="358"/>
      <c r="I872" s="358"/>
      <c r="J872" s="358"/>
      <c r="K872" s="358"/>
      <c r="L872" s="358"/>
      <c r="M872" s="358"/>
      <c r="N872" s="358"/>
      <c r="O872" s="358"/>
      <c r="P872" s="358"/>
      <c r="Q872" s="358"/>
    </row>
    <row r="873">
      <c r="A873" s="358"/>
      <c r="B873" s="358"/>
      <c r="C873" s="358"/>
      <c r="D873" s="358"/>
      <c r="E873" s="358"/>
      <c r="F873" s="358"/>
      <c r="G873" s="358"/>
      <c r="H873" s="358"/>
      <c r="I873" s="358"/>
      <c r="J873" s="358"/>
      <c r="K873" s="358"/>
      <c r="L873" s="358"/>
      <c r="M873" s="358"/>
      <c r="N873" s="358"/>
      <c r="O873" s="358"/>
      <c r="P873" s="358"/>
      <c r="Q873" s="358"/>
    </row>
    <row r="874">
      <c r="A874" s="358"/>
      <c r="B874" s="358"/>
      <c r="C874" s="358"/>
      <c r="D874" s="358"/>
      <c r="E874" s="358"/>
      <c r="F874" s="358"/>
      <c r="G874" s="358"/>
      <c r="H874" s="358"/>
      <c r="I874" s="358"/>
      <c r="J874" s="358"/>
      <c r="K874" s="358"/>
      <c r="L874" s="358"/>
      <c r="M874" s="358"/>
      <c r="N874" s="358"/>
      <c r="O874" s="358"/>
      <c r="P874" s="358"/>
      <c r="Q874" s="358"/>
    </row>
    <row r="875">
      <c r="A875" s="358"/>
      <c r="B875" s="358"/>
      <c r="C875" s="358"/>
      <c r="D875" s="358"/>
      <c r="E875" s="358"/>
      <c r="F875" s="358"/>
      <c r="G875" s="358"/>
      <c r="H875" s="358"/>
      <c r="I875" s="358"/>
      <c r="J875" s="358"/>
      <c r="K875" s="358"/>
      <c r="L875" s="358"/>
      <c r="M875" s="358"/>
      <c r="N875" s="358"/>
      <c r="O875" s="358"/>
      <c r="P875" s="358"/>
      <c r="Q875" s="358"/>
    </row>
    <row r="876">
      <c r="A876" s="358"/>
      <c r="B876" s="358"/>
      <c r="C876" s="358"/>
      <c r="D876" s="358"/>
      <c r="E876" s="358"/>
      <c r="F876" s="358"/>
      <c r="G876" s="358"/>
      <c r="H876" s="358"/>
      <c r="I876" s="358"/>
      <c r="J876" s="358"/>
      <c r="K876" s="358"/>
      <c r="L876" s="358"/>
      <c r="M876" s="358"/>
      <c r="N876" s="358"/>
      <c r="O876" s="358"/>
      <c r="P876" s="358"/>
      <c r="Q876" s="358"/>
    </row>
    <row r="877">
      <c r="A877" s="358"/>
      <c r="B877" s="358"/>
      <c r="C877" s="358"/>
      <c r="D877" s="358"/>
      <c r="E877" s="358"/>
      <c r="F877" s="358"/>
      <c r="G877" s="358"/>
      <c r="H877" s="358"/>
      <c r="I877" s="358"/>
      <c r="J877" s="358"/>
      <c r="K877" s="358"/>
      <c r="L877" s="358"/>
      <c r="M877" s="358"/>
      <c r="N877" s="358"/>
      <c r="O877" s="358"/>
      <c r="P877" s="358"/>
      <c r="Q877" s="358"/>
    </row>
    <row r="878">
      <c r="A878" s="358"/>
      <c r="B878" s="358"/>
      <c r="C878" s="358"/>
      <c r="D878" s="358"/>
      <c r="E878" s="358"/>
      <c r="F878" s="358"/>
      <c r="G878" s="358"/>
      <c r="H878" s="358"/>
      <c r="I878" s="358"/>
      <c r="J878" s="358"/>
      <c r="K878" s="358"/>
      <c r="L878" s="358"/>
      <c r="M878" s="358"/>
      <c r="N878" s="358"/>
      <c r="O878" s="358"/>
      <c r="P878" s="358"/>
      <c r="Q878" s="358"/>
    </row>
    <row r="879">
      <c r="A879" s="358"/>
      <c r="B879" s="358"/>
      <c r="C879" s="358"/>
      <c r="D879" s="358"/>
      <c r="E879" s="358"/>
      <c r="F879" s="358"/>
      <c r="G879" s="358"/>
      <c r="H879" s="358"/>
      <c r="I879" s="358"/>
      <c r="J879" s="358"/>
      <c r="K879" s="358"/>
      <c r="L879" s="358"/>
      <c r="M879" s="358"/>
      <c r="N879" s="358"/>
      <c r="O879" s="358"/>
      <c r="P879" s="358"/>
      <c r="Q879" s="358"/>
    </row>
    <row r="880">
      <c r="A880" s="358"/>
      <c r="B880" s="358"/>
      <c r="C880" s="358"/>
      <c r="D880" s="358"/>
      <c r="E880" s="358"/>
      <c r="F880" s="358"/>
      <c r="G880" s="358"/>
      <c r="H880" s="358"/>
      <c r="I880" s="358"/>
      <c r="J880" s="358"/>
      <c r="K880" s="358"/>
      <c r="L880" s="358"/>
      <c r="M880" s="358"/>
      <c r="N880" s="358"/>
      <c r="O880" s="358"/>
      <c r="P880" s="358"/>
      <c r="Q880" s="358"/>
    </row>
    <row r="881">
      <c r="A881" s="358"/>
      <c r="B881" s="358"/>
      <c r="C881" s="358"/>
      <c r="D881" s="358"/>
      <c r="E881" s="358"/>
      <c r="F881" s="358"/>
      <c r="G881" s="358"/>
      <c r="H881" s="358"/>
      <c r="I881" s="358"/>
      <c r="J881" s="358"/>
      <c r="K881" s="358"/>
      <c r="L881" s="358"/>
      <c r="M881" s="358"/>
      <c r="N881" s="358"/>
      <c r="O881" s="358"/>
      <c r="P881" s="358"/>
      <c r="Q881" s="358"/>
    </row>
    <row r="882">
      <c r="A882" s="358"/>
      <c r="B882" s="358"/>
      <c r="C882" s="358"/>
      <c r="D882" s="358"/>
      <c r="E882" s="358"/>
      <c r="F882" s="358"/>
      <c r="G882" s="358"/>
      <c r="H882" s="358"/>
      <c r="I882" s="358"/>
      <c r="J882" s="358"/>
      <c r="K882" s="358"/>
      <c r="L882" s="358"/>
      <c r="M882" s="358"/>
      <c r="N882" s="358"/>
      <c r="O882" s="358"/>
      <c r="P882" s="358"/>
      <c r="Q882" s="358"/>
    </row>
    <row r="883">
      <c r="A883" s="358"/>
      <c r="B883" s="358"/>
      <c r="C883" s="358"/>
      <c r="D883" s="358"/>
      <c r="E883" s="358"/>
      <c r="F883" s="358"/>
      <c r="G883" s="358"/>
      <c r="H883" s="358"/>
      <c r="I883" s="358"/>
      <c r="J883" s="358"/>
      <c r="K883" s="358"/>
      <c r="L883" s="358"/>
      <c r="M883" s="358"/>
      <c r="N883" s="358"/>
      <c r="O883" s="358"/>
      <c r="P883" s="358"/>
      <c r="Q883" s="358"/>
    </row>
    <row r="884">
      <c r="A884" s="358"/>
      <c r="B884" s="358"/>
      <c r="C884" s="358"/>
      <c r="D884" s="358"/>
      <c r="E884" s="358"/>
      <c r="F884" s="358"/>
      <c r="G884" s="358"/>
      <c r="H884" s="358"/>
      <c r="I884" s="358"/>
      <c r="J884" s="358"/>
      <c r="K884" s="358"/>
      <c r="L884" s="358"/>
      <c r="M884" s="358"/>
      <c r="N884" s="358"/>
      <c r="O884" s="358"/>
      <c r="P884" s="358"/>
      <c r="Q884" s="358"/>
    </row>
    <row r="885">
      <c r="A885" s="358"/>
      <c r="B885" s="358"/>
      <c r="C885" s="358"/>
      <c r="D885" s="358"/>
      <c r="E885" s="358"/>
      <c r="F885" s="358"/>
      <c r="G885" s="358"/>
      <c r="H885" s="358"/>
      <c r="I885" s="358"/>
      <c r="J885" s="358"/>
      <c r="K885" s="358"/>
      <c r="L885" s="358"/>
      <c r="M885" s="358"/>
      <c r="N885" s="358"/>
      <c r="O885" s="358"/>
      <c r="P885" s="358"/>
      <c r="Q885" s="358"/>
    </row>
    <row r="886">
      <c r="A886" s="358"/>
      <c r="B886" s="358"/>
      <c r="C886" s="358"/>
      <c r="D886" s="358"/>
      <c r="E886" s="358"/>
      <c r="F886" s="358"/>
      <c r="G886" s="358"/>
      <c r="H886" s="358"/>
      <c r="I886" s="358"/>
      <c r="J886" s="358"/>
      <c r="K886" s="358"/>
      <c r="L886" s="358"/>
      <c r="M886" s="358"/>
      <c r="N886" s="358"/>
      <c r="O886" s="358"/>
      <c r="P886" s="358"/>
      <c r="Q886" s="358"/>
    </row>
    <row r="887">
      <c r="A887" s="358"/>
      <c r="B887" s="358"/>
      <c r="C887" s="358"/>
      <c r="D887" s="358"/>
      <c r="E887" s="358"/>
      <c r="F887" s="358"/>
      <c r="G887" s="358"/>
      <c r="H887" s="358"/>
      <c r="I887" s="358"/>
      <c r="J887" s="358"/>
      <c r="K887" s="358"/>
      <c r="L887" s="358"/>
      <c r="M887" s="358"/>
      <c r="N887" s="358"/>
      <c r="O887" s="358"/>
      <c r="P887" s="358"/>
      <c r="Q887" s="358"/>
    </row>
    <row r="888">
      <c r="A888" s="358"/>
      <c r="B888" s="358"/>
      <c r="C888" s="358"/>
      <c r="D888" s="358"/>
      <c r="E888" s="358"/>
      <c r="F888" s="358"/>
      <c r="G888" s="358"/>
      <c r="H888" s="358"/>
      <c r="I888" s="358"/>
      <c r="J888" s="358"/>
      <c r="K888" s="358"/>
      <c r="L888" s="358"/>
      <c r="M888" s="358"/>
      <c r="N888" s="358"/>
      <c r="O888" s="358"/>
      <c r="P888" s="358"/>
      <c r="Q888" s="358"/>
    </row>
    <row r="889">
      <c r="A889" s="358"/>
      <c r="B889" s="358"/>
      <c r="C889" s="358"/>
      <c r="D889" s="358"/>
      <c r="E889" s="358"/>
      <c r="F889" s="358"/>
      <c r="G889" s="358"/>
      <c r="H889" s="358"/>
      <c r="I889" s="358"/>
      <c r="J889" s="358"/>
      <c r="K889" s="358"/>
      <c r="L889" s="358"/>
      <c r="M889" s="358"/>
      <c r="N889" s="358"/>
      <c r="O889" s="358"/>
      <c r="P889" s="358"/>
      <c r="Q889" s="358"/>
    </row>
    <row r="890">
      <c r="A890" s="358"/>
      <c r="B890" s="358"/>
      <c r="C890" s="358"/>
      <c r="D890" s="358"/>
      <c r="E890" s="358"/>
      <c r="F890" s="358"/>
      <c r="G890" s="358"/>
      <c r="H890" s="358"/>
      <c r="I890" s="358"/>
      <c r="J890" s="358"/>
      <c r="K890" s="358"/>
      <c r="L890" s="358"/>
      <c r="M890" s="358"/>
      <c r="N890" s="358"/>
      <c r="O890" s="358"/>
      <c r="P890" s="358"/>
      <c r="Q890" s="358"/>
    </row>
    <row r="891">
      <c r="A891" s="358"/>
      <c r="B891" s="358"/>
      <c r="C891" s="358"/>
      <c r="D891" s="358"/>
      <c r="E891" s="358"/>
      <c r="F891" s="358"/>
      <c r="G891" s="358"/>
      <c r="H891" s="358"/>
      <c r="I891" s="358"/>
      <c r="J891" s="358"/>
      <c r="K891" s="358"/>
      <c r="L891" s="358"/>
      <c r="M891" s="358"/>
      <c r="N891" s="358"/>
      <c r="O891" s="358"/>
      <c r="P891" s="358"/>
      <c r="Q891" s="358"/>
    </row>
    <row r="892">
      <c r="A892" s="358"/>
      <c r="B892" s="358"/>
      <c r="C892" s="358"/>
      <c r="D892" s="358"/>
      <c r="E892" s="358"/>
      <c r="F892" s="358"/>
      <c r="G892" s="358"/>
      <c r="H892" s="358"/>
      <c r="I892" s="358"/>
      <c r="J892" s="358"/>
      <c r="K892" s="358"/>
      <c r="L892" s="358"/>
      <c r="M892" s="358"/>
      <c r="N892" s="358"/>
      <c r="O892" s="358"/>
      <c r="P892" s="358"/>
      <c r="Q892" s="358"/>
    </row>
    <row r="893">
      <c r="A893" s="358"/>
      <c r="B893" s="358"/>
      <c r="C893" s="358"/>
      <c r="D893" s="358"/>
      <c r="E893" s="358"/>
      <c r="F893" s="358"/>
      <c r="G893" s="358"/>
      <c r="H893" s="358"/>
      <c r="I893" s="358"/>
      <c r="J893" s="358"/>
      <c r="K893" s="358"/>
      <c r="L893" s="358"/>
      <c r="M893" s="358"/>
      <c r="N893" s="358"/>
      <c r="O893" s="358"/>
      <c r="P893" s="358"/>
      <c r="Q893" s="358"/>
    </row>
    <row r="894">
      <c r="A894" s="358"/>
      <c r="B894" s="358"/>
      <c r="C894" s="358"/>
      <c r="D894" s="358"/>
      <c r="E894" s="358"/>
      <c r="F894" s="358"/>
      <c r="G894" s="358"/>
      <c r="H894" s="358"/>
      <c r="I894" s="358"/>
      <c r="J894" s="358"/>
      <c r="K894" s="358"/>
      <c r="L894" s="358"/>
      <c r="M894" s="358"/>
      <c r="N894" s="358"/>
      <c r="O894" s="358"/>
      <c r="P894" s="358"/>
      <c r="Q894" s="358"/>
    </row>
    <row r="895">
      <c r="A895" s="358"/>
      <c r="B895" s="358"/>
      <c r="C895" s="358"/>
      <c r="D895" s="358"/>
      <c r="E895" s="358"/>
      <c r="F895" s="358"/>
      <c r="G895" s="358"/>
      <c r="H895" s="358"/>
      <c r="I895" s="358"/>
      <c r="J895" s="358"/>
      <c r="K895" s="358"/>
      <c r="L895" s="358"/>
      <c r="M895" s="358"/>
      <c r="N895" s="358"/>
      <c r="O895" s="358"/>
      <c r="P895" s="358"/>
      <c r="Q895" s="358"/>
    </row>
    <row r="896">
      <c r="A896" s="358"/>
      <c r="B896" s="358"/>
      <c r="C896" s="358"/>
      <c r="D896" s="358"/>
      <c r="E896" s="358"/>
      <c r="F896" s="358"/>
      <c r="G896" s="358"/>
      <c r="H896" s="358"/>
      <c r="I896" s="358"/>
      <c r="J896" s="358"/>
      <c r="K896" s="358"/>
      <c r="L896" s="358"/>
      <c r="M896" s="358"/>
      <c r="N896" s="358"/>
      <c r="O896" s="358"/>
      <c r="P896" s="358"/>
      <c r="Q896" s="358"/>
    </row>
    <row r="897">
      <c r="A897" s="358"/>
      <c r="B897" s="358"/>
      <c r="C897" s="358"/>
      <c r="D897" s="358"/>
      <c r="E897" s="358"/>
      <c r="F897" s="358"/>
      <c r="G897" s="358"/>
      <c r="H897" s="358"/>
      <c r="I897" s="358"/>
      <c r="J897" s="358"/>
      <c r="K897" s="358"/>
      <c r="L897" s="358"/>
      <c r="M897" s="358"/>
      <c r="N897" s="358"/>
      <c r="O897" s="358"/>
      <c r="P897" s="358"/>
      <c r="Q897" s="358"/>
    </row>
    <row r="898">
      <c r="A898" s="358"/>
      <c r="B898" s="358"/>
      <c r="C898" s="358"/>
      <c r="D898" s="358"/>
      <c r="E898" s="358"/>
      <c r="F898" s="358"/>
      <c r="G898" s="358"/>
      <c r="H898" s="358"/>
      <c r="I898" s="358"/>
      <c r="J898" s="358"/>
      <c r="K898" s="358"/>
      <c r="L898" s="358"/>
      <c r="M898" s="358"/>
      <c r="N898" s="358"/>
      <c r="O898" s="358"/>
      <c r="P898" s="358"/>
      <c r="Q898" s="358"/>
    </row>
    <row r="899">
      <c r="A899" s="358"/>
      <c r="B899" s="358"/>
      <c r="C899" s="358"/>
      <c r="D899" s="358"/>
      <c r="E899" s="358"/>
      <c r="F899" s="358"/>
      <c r="G899" s="358"/>
      <c r="H899" s="358"/>
      <c r="I899" s="358"/>
      <c r="J899" s="358"/>
      <c r="K899" s="358"/>
      <c r="L899" s="358"/>
      <c r="M899" s="358"/>
      <c r="N899" s="358"/>
      <c r="O899" s="358"/>
      <c r="P899" s="358"/>
      <c r="Q899" s="358"/>
    </row>
    <row r="900">
      <c r="A900" s="358"/>
      <c r="B900" s="358"/>
      <c r="C900" s="358"/>
      <c r="D900" s="358"/>
      <c r="E900" s="358"/>
      <c r="F900" s="358"/>
      <c r="G900" s="358"/>
      <c r="H900" s="358"/>
      <c r="I900" s="358"/>
      <c r="J900" s="358"/>
      <c r="K900" s="358"/>
      <c r="L900" s="358"/>
      <c r="M900" s="358"/>
      <c r="N900" s="358"/>
      <c r="O900" s="358"/>
      <c r="P900" s="358"/>
      <c r="Q900" s="358"/>
    </row>
    <row r="901">
      <c r="A901" s="358"/>
      <c r="B901" s="358"/>
      <c r="C901" s="358"/>
      <c r="D901" s="358"/>
      <c r="E901" s="358"/>
      <c r="F901" s="358"/>
      <c r="G901" s="358"/>
      <c r="H901" s="358"/>
      <c r="I901" s="358"/>
      <c r="J901" s="358"/>
      <c r="K901" s="358"/>
      <c r="L901" s="358"/>
      <c r="M901" s="358"/>
      <c r="N901" s="358"/>
      <c r="O901" s="358"/>
      <c r="P901" s="358"/>
      <c r="Q901" s="358"/>
    </row>
    <row r="902">
      <c r="A902" s="358"/>
      <c r="B902" s="358"/>
      <c r="C902" s="358"/>
      <c r="D902" s="358"/>
      <c r="E902" s="358"/>
      <c r="F902" s="358"/>
      <c r="G902" s="358"/>
      <c r="H902" s="358"/>
      <c r="I902" s="358"/>
      <c r="J902" s="358"/>
      <c r="K902" s="358"/>
      <c r="L902" s="358"/>
      <c r="M902" s="358"/>
      <c r="N902" s="358"/>
      <c r="O902" s="358"/>
      <c r="P902" s="358"/>
      <c r="Q902" s="358"/>
    </row>
    <row r="903">
      <c r="A903" s="358"/>
      <c r="B903" s="358"/>
      <c r="C903" s="358"/>
      <c r="D903" s="358"/>
      <c r="E903" s="358"/>
      <c r="F903" s="358"/>
      <c r="G903" s="358"/>
      <c r="H903" s="358"/>
      <c r="I903" s="358"/>
      <c r="J903" s="358"/>
      <c r="K903" s="358"/>
      <c r="L903" s="358"/>
      <c r="M903" s="358"/>
      <c r="N903" s="358"/>
      <c r="O903" s="358"/>
      <c r="P903" s="358"/>
      <c r="Q903" s="358"/>
    </row>
    <row r="904">
      <c r="A904" s="358"/>
      <c r="B904" s="358"/>
      <c r="C904" s="358"/>
      <c r="D904" s="358"/>
      <c r="E904" s="358"/>
      <c r="F904" s="358"/>
      <c r="G904" s="358"/>
      <c r="H904" s="358"/>
      <c r="I904" s="358"/>
      <c r="J904" s="358"/>
      <c r="K904" s="358"/>
      <c r="L904" s="358"/>
      <c r="M904" s="358"/>
      <c r="N904" s="358"/>
      <c r="O904" s="358"/>
      <c r="P904" s="358"/>
      <c r="Q904" s="358"/>
    </row>
    <row r="905">
      <c r="A905" s="358"/>
      <c r="B905" s="358"/>
      <c r="C905" s="358"/>
      <c r="D905" s="358"/>
      <c r="E905" s="358"/>
      <c r="F905" s="358"/>
      <c r="G905" s="358"/>
      <c r="H905" s="358"/>
      <c r="I905" s="358"/>
      <c r="J905" s="358"/>
      <c r="K905" s="358"/>
      <c r="L905" s="358"/>
      <c r="M905" s="358"/>
      <c r="N905" s="358"/>
      <c r="O905" s="358"/>
      <c r="P905" s="358"/>
      <c r="Q905" s="358"/>
    </row>
    <row r="906">
      <c r="A906" s="358"/>
      <c r="B906" s="358"/>
      <c r="C906" s="358"/>
      <c r="D906" s="358"/>
      <c r="E906" s="358"/>
      <c r="F906" s="358"/>
      <c r="G906" s="358"/>
      <c r="H906" s="358"/>
      <c r="I906" s="358"/>
      <c r="J906" s="358"/>
      <c r="K906" s="358"/>
      <c r="L906" s="358"/>
      <c r="M906" s="358"/>
      <c r="N906" s="358"/>
      <c r="O906" s="358"/>
      <c r="P906" s="358"/>
      <c r="Q906" s="358"/>
    </row>
    <row r="907">
      <c r="A907" s="358"/>
      <c r="B907" s="358"/>
      <c r="C907" s="358"/>
      <c r="D907" s="358"/>
      <c r="E907" s="358"/>
      <c r="F907" s="358"/>
      <c r="G907" s="358"/>
      <c r="H907" s="358"/>
      <c r="I907" s="358"/>
      <c r="J907" s="358"/>
      <c r="K907" s="358"/>
      <c r="L907" s="358"/>
      <c r="M907" s="358"/>
      <c r="N907" s="358"/>
      <c r="O907" s="358"/>
      <c r="P907" s="358"/>
      <c r="Q907" s="358"/>
    </row>
    <row r="908">
      <c r="A908" s="358"/>
      <c r="B908" s="358"/>
      <c r="C908" s="358"/>
      <c r="D908" s="358"/>
      <c r="E908" s="358"/>
      <c r="F908" s="358"/>
      <c r="G908" s="358"/>
      <c r="H908" s="358"/>
      <c r="I908" s="358"/>
      <c r="J908" s="358"/>
      <c r="K908" s="358"/>
      <c r="L908" s="358"/>
      <c r="M908" s="358"/>
      <c r="N908" s="358"/>
      <c r="O908" s="358"/>
      <c r="P908" s="358"/>
      <c r="Q908" s="358"/>
    </row>
    <row r="909">
      <c r="A909" s="358"/>
      <c r="B909" s="358"/>
      <c r="C909" s="358"/>
      <c r="D909" s="358"/>
      <c r="E909" s="358"/>
      <c r="F909" s="358"/>
      <c r="G909" s="358"/>
      <c r="H909" s="358"/>
      <c r="I909" s="358"/>
      <c r="J909" s="358"/>
      <c r="K909" s="358"/>
      <c r="L909" s="358"/>
      <c r="M909" s="358"/>
      <c r="N909" s="358"/>
      <c r="O909" s="358"/>
      <c r="P909" s="358"/>
      <c r="Q909" s="358"/>
    </row>
    <row r="910">
      <c r="A910" s="358"/>
      <c r="B910" s="358"/>
      <c r="C910" s="358"/>
      <c r="D910" s="358"/>
      <c r="E910" s="358"/>
      <c r="F910" s="358"/>
      <c r="G910" s="358"/>
      <c r="H910" s="358"/>
      <c r="I910" s="358"/>
      <c r="J910" s="358"/>
      <c r="K910" s="358"/>
      <c r="L910" s="358"/>
      <c r="M910" s="358"/>
      <c r="N910" s="358"/>
      <c r="O910" s="358"/>
      <c r="P910" s="358"/>
      <c r="Q910" s="358"/>
    </row>
    <row r="911">
      <c r="A911" s="358"/>
      <c r="B911" s="358"/>
      <c r="C911" s="358"/>
      <c r="D911" s="358"/>
      <c r="E911" s="358"/>
      <c r="F911" s="358"/>
      <c r="G911" s="358"/>
      <c r="H911" s="358"/>
      <c r="I911" s="358"/>
      <c r="J911" s="358"/>
      <c r="K911" s="358"/>
      <c r="L911" s="358"/>
      <c r="M911" s="358"/>
      <c r="N911" s="358"/>
      <c r="O911" s="358"/>
      <c r="P911" s="358"/>
      <c r="Q911" s="358"/>
    </row>
    <row r="912">
      <c r="A912" s="358"/>
      <c r="B912" s="358"/>
      <c r="C912" s="358"/>
      <c r="D912" s="358"/>
      <c r="E912" s="358"/>
      <c r="F912" s="358"/>
      <c r="G912" s="358"/>
      <c r="H912" s="358"/>
      <c r="I912" s="358"/>
      <c r="J912" s="358"/>
      <c r="K912" s="358"/>
      <c r="L912" s="358"/>
      <c r="M912" s="358"/>
      <c r="N912" s="358"/>
      <c r="O912" s="358"/>
      <c r="P912" s="358"/>
      <c r="Q912" s="358"/>
    </row>
    <row r="913">
      <c r="A913" s="358"/>
      <c r="B913" s="358"/>
      <c r="C913" s="358"/>
      <c r="D913" s="358"/>
      <c r="E913" s="358"/>
      <c r="F913" s="358"/>
      <c r="G913" s="358"/>
      <c r="H913" s="358"/>
      <c r="I913" s="358"/>
      <c r="J913" s="358"/>
      <c r="K913" s="358"/>
      <c r="L913" s="358"/>
      <c r="M913" s="358"/>
      <c r="N913" s="358"/>
      <c r="O913" s="358"/>
      <c r="P913" s="358"/>
      <c r="Q913" s="358"/>
    </row>
    <row r="914">
      <c r="A914" s="358"/>
      <c r="B914" s="358"/>
      <c r="C914" s="358"/>
      <c r="D914" s="358"/>
      <c r="E914" s="358"/>
      <c r="F914" s="358"/>
      <c r="G914" s="358"/>
      <c r="H914" s="358"/>
      <c r="I914" s="358"/>
      <c r="J914" s="358"/>
      <c r="K914" s="358"/>
      <c r="L914" s="358"/>
      <c r="M914" s="358"/>
      <c r="N914" s="358"/>
      <c r="O914" s="358"/>
      <c r="P914" s="358"/>
      <c r="Q914" s="358"/>
    </row>
    <row r="915">
      <c r="A915" s="358"/>
      <c r="B915" s="358"/>
      <c r="C915" s="358"/>
      <c r="D915" s="358"/>
      <c r="E915" s="358"/>
      <c r="F915" s="358"/>
      <c r="G915" s="358"/>
      <c r="H915" s="358"/>
      <c r="I915" s="358"/>
      <c r="J915" s="358"/>
      <c r="K915" s="358"/>
      <c r="L915" s="358"/>
      <c r="M915" s="358"/>
      <c r="N915" s="358"/>
      <c r="O915" s="358"/>
      <c r="P915" s="358"/>
      <c r="Q915" s="358"/>
    </row>
    <row r="916">
      <c r="A916" s="358"/>
      <c r="B916" s="358"/>
      <c r="C916" s="358"/>
      <c r="D916" s="358"/>
      <c r="E916" s="358"/>
      <c r="F916" s="358"/>
      <c r="G916" s="358"/>
      <c r="H916" s="358"/>
      <c r="I916" s="358"/>
      <c r="J916" s="358"/>
      <c r="K916" s="358"/>
      <c r="L916" s="358"/>
      <c r="M916" s="358"/>
      <c r="N916" s="358"/>
      <c r="O916" s="358"/>
      <c r="P916" s="358"/>
      <c r="Q916" s="358"/>
    </row>
    <row r="917">
      <c r="A917" s="358"/>
      <c r="B917" s="358"/>
      <c r="C917" s="358"/>
      <c r="D917" s="358"/>
      <c r="E917" s="358"/>
      <c r="F917" s="358"/>
      <c r="G917" s="358"/>
      <c r="H917" s="358"/>
      <c r="I917" s="358"/>
      <c r="J917" s="358"/>
      <c r="K917" s="358"/>
      <c r="L917" s="358"/>
      <c r="M917" s="358"/>
      <c r="N917" s="358"/>
      <c r="O917" s="358"/>
      <c r="P917" s="358"/>
      <c r="Q917" s="358"/>
    </row>
    <row r="918">
      <c r="A918" s="358"/>
      <c r="B918" s="358"/>
      <c r="C918" s="358"/>
      <c r="D918" s="358"/>
      <c r="E918" s="358"/>
      <c r="F918" s="358"/>
      <c r="G918" s="358"/>
      <c r="H918" s="358"/>
      <c r="I918" s="358"/>
      <c r="J918" s="358"/>
      <c r="K918" s="358"/>
      <c r="L918" s="358"/>
      <c r="M918" s="358"/>
      <c r="N918" s="358"/>
      <c r="O918" s="358"/>
      <c r="P918" s="358"/>
      <c r="Q918" s="358"/>
    </row>
    <row r="919">
      <c r="A919" s="358"/>
      <c r="B919" s="358"/>
      <c r="C919" s="358"/>
      <c r="D919" s="358"/>
      <c r="E919" s="358"/>
      <c r="F919" s="358"/>
      <c r="G919" s="358"/>
      <c r="H919" s="358"/>
      <c r="I919" s="358"/>
      <c r="J919" s="358"/>
      <c r="K919" s="358"/>
      <c r="L919" s="358"/>
      <c r="M919" s="358"/>
      <c r="N919" s="358"/>
      <c r="O919" s="358"/>
      <c r="P919" s="358"/>
      <c r="Q919" s="358"/>
    </row>
    <row r="920">
      <c r="A920" s="358"/>
      <c r="B920" s="358"/>
      <c r="C920" s="358"/>
      <c r="D920" s="358"/>
      <c r="E920" s="358"/>
      <c r="F920" s="358"/>
      <c r="G920" s="358"/>
      <c r="H920" s="358"/>
      <c r="I920" s="358"/>
      <c r="J920" s="358"/>
      <c r="K920" s="358"/>
      <c r="L920" s="358"/>
      <c r="M920" s="358"/>
      <c r="N920" s="358"/>
      <c r="O920" s="358"/>
      <c r="P920" s="358"/>
      <c r="Q920" s="358"/>
    </row>
    <row r="921">
      <c r="A921" s="358"/>
      <c r="B921" s="358"/>
      <c r="C921" s="358"/>
      <c r="D921" s="358"/>
      <c r="E921" s="358"/>
      <c r="F921" s="358"/>
      <c r="G921" s="358"/>
      <c r="H921" s="358"/>
      <c r="I921" s="358"/>
      <c r="J921" s="358"/>
      <c r="K921" s="358"/>
      <c r="L921" s="358"/>
      <c r="M921" s="358"/>
      <c r="N921" s="358"/>
      <c r="O921" s="358"/>
      <c r="P921" s="358"/>
      <c r="Q921" s="358"/>
    </row>
    <row r="922">
      <c r="A922" s="358"/>
      <c r="B922" s="358"/>
      <c r="C922" s="358"/>
      <c r="D922" s="358"/>
      <c r="E922" s="358"/>
      <c r="F922" s="358"/>
      <c r="G922" s="358"/>
      <c r="H922" s="358"/>
      <c r="I922" s="358"/>
      <c r="J922" s="358"/>
      <c r="K922" s="358"/>
      <c r="L922" s="358"/>
      <c r="M922" s="358"/>
      <c r="N922" s="358"/>
      <c r="O922" s="358"/>
      <c r="P922" s="358"/>
      <c r="Q922" s="358"/>
    </row>
    <row r="923">
      <c r="A923" s="358"/>
      <c r="B923" s="358"/>
      <c r="C923" s="358"/>
      <c r="D923" s="358"/>
      <c r="E923" s="358"/>
      <c r="F923" s="358"/>
      <c r="G923" s="358"/>
      <c r="H923" s="358"/>
      <c r="I923" s="358"/>
      <c r="J923" s="358"/>
      <c r="K923" s="358"/>
      <c r="L923" s="358"/>
      <c r="M923" s="358"/>
      <c r="N923" s="358"/>
      <c r="O923" s="358"/>
      <c r="P923" s="358"/>
      <c r="Q923" s="358"/>
    </row>
    <row r="924">
      <c r="A924" s="358"/>
      <c r="B924" s="358"/>
      <c r="C924" s="358"/>
      <c r="D924" s="358"/>
      <c r="E924" s="358"/>
      <c r="F924" s="358"/>
      <c r="G924" s="358"/>
      <c r="H924" s="358"/>
      <c r="I924" s="358"/>
      <c r="J924" s="358"/>
      <c r="K924" s="358"/>
      <c r="L924" s="358"/>
      <c r="M924" s="358"/>
      <c r="N924" s="358"/>
      <c r="O924" s="358"/>
      <c r="P924" s="358"/>
      <c r="Q924" s="358"/>
    </row>
    <row r="925">
      <c r="A925" s="358"/>
      <c r="B925" s="358"/>
      <c r="C925" s="358"/>
      <c r="D925" s="358"/>
      <c r="E925" s="358"/>
      <c r="F925" s="358"/>
      <c r="G925" s="358"/>
      <c r="H925" s="358"/>
      <c r="I925" s="358"/>
      <c r="J925" s="358"/>
      <c r="K925" s="358"/>
      <c r="L925" s="358"/>
      <c r="M925" s="358"/>
      <c r="N925" s="358"/>
      <c r="O925" s="358"/>
      <c r="P925" s="358"/>
      <c r="Q925" s="358"/>
    </row>
    <row r="926">
      <c r="A926" s="358"/>
      <c r="B926" s="358"/>
      <c r="C926" s="358"/>
      <c r="D926" s="358"/>
      <c r="E926" s="358"/>
      <c r="F926" s="358"/>
      <c r="G926" s="358"/>
      <c r="H926" s="358"/>
      <c r="I926" s="358"/>
      <c r="J926" s="358"/>
      <c r="K926" s="358"/>
      <c r="L926" s="358"/>
      <c r="M926" s="358"/>
      <c r="N926" s="358"/>
      <c r="O926" s="358"/>
      <c r="P926" s="358"/>
      <c r="Q926" s="358"/>
    </row>
    <row r="927">
      <c r="A927" s="358"/>
      <c r="B927" s="358"/>
      <c r="C927" s="358"/>
      <c r="D927" s="358"/>
      <c r="E927" s="358"/>
      <c r="F927" s="358"/>
      <c r="G927" s="358"/>
      <c r="H927" s="358"/>
      <c r="I927" s="358"/>
      <c r="J927" s="358"/>
      <c r="K927" s="358"/>
      <c r="L927" s="358"/>
      <c r="M927" s="358"/>
      <c r="N927" s="358"/>
      <c r="O927" s="358"/>
      <c r="P927" s="358"/>
      <c r="Q927" s="358"/>
    </row>
    <row r="928">
      <c r="A928" s="358"/>
      <c r="B928" s="358"/>
      <c r="C928" s="358"/>
      <c r="D928" s="358"/>
      <c r="E928" s="358"/>
      <c r="F928" s="358"/>
      <c r="G928" s="358"/>
      <c r="H928" s="358"/>
      <c r="I928" s="358"/>
      <c r="J928" s="358"/>
      <c r="K928" s="358"/>
      <c r="L928" s="358"/>
      <c r="M928" s="358"/>
      <c r="N928" s="358"/>
      <c r="O928" s="358"/>
      <c r="P928" s="358"/>
      <c r="Q928" s="358"/>
    </row>
    <row r="929">
      <c r="A929" s="358"/>
      <c r="B929" s="358"/>
      <c r="C929" s="358"/>
      <c r="D929" s="358"/>
      <c r="E929" s="358"/>
      <c r="F929" s="358"/>
      <c r="G929" s="358"/>
      <c r="H929" s="358"/>
      <c r="I929" s="358"/>
      <c r="J929" s="358"/>
      <c r="K929" s="358"/>
      <c r="L929" s="358"/>
      <c r="M929" s="358"/>
      <c r="N929" s="358"/>
      <c r="O929" s="358"/>
      <c r="P929" s="358"/>
      <c r="Q929" s="358"/>
    </row>
    <row r="930">
      <c r="A930" s="358"/>
      <c r="B930" s="358"/>
      <c r="C930" s="358"/>
      <c r="D930" s="358"/>
      <c r="E930" s="358"/>
      <c r="F930" s="358"/>
      <c r="G930" s="358"/>
      <c r="H930" s="358"/>
      <c r="I930" s="358"/>
      <c r="J930" s="358"/>
      <c r="K930" s="358"/>
      <c r="L930" s="358"/>
      <c r="M930" s="358"/>
      <c r="N930" s="358"/>
      <c r="O930" s="358"/>
      <c r="P930" s="358"/>
      <c r="Q930" s="358"/>
    </row>
    <row r="931">
      <c r="A931" s="358"/>
      <c r="B931" s="358"/>
      <c r="C931" s="358"/>
      <c r="D931" s="358"/>
      <c r="E931" s="358"/>
      <c r="F931" s="358"/>
      <c r="G931" s="358"/>
      <c r="H931" s="358"/>
      <c r="I931" s="358"/>
      <c r="J931" s="358"/>
      <c r="K931" s="358"/>
      <c r="L931" s="358"/>
      <c r="M931" s="358"/>
      <c r="N931" s="358"/>
      <c r="O931" s="358"/>
      <c r="P931" s="358"/>
      <c r="Q931" s="358"/>
    </row>
    <row r="932">
      <c r="A932" s="358"/>
      <c r="B932" s="358"/>
      <c r="C932" s="358"/>
      <c r="D932" s="358"/>
      <c r="E932" s="358"/>
      <c r="F932" s="358"/>
      <c r="G932" s="358"/>
      <c r="H932" s="358"/>
      <c r="I932" s="358"/>
      <c r="J932" s="358"/>
      <c r="K932" s="358"/>
      <c r="L932" s="358"/>
      <c r="M932" s="358"/>
      <c r="N932" s="358"/>
      <c r="O932" s="358"/>
      <c r="P932" s="358"/>
      <c r="Q932" s="358"/>
    </row>
    <row r="933">
      <c r="A933" s="358"/>
      <c r="B933" s="358"/>
      <c r="C933" s="358"/>
      <c r="D933" s="358"/>
      <c r="E933" s="358"/>
      <c r="F933" s="358"/>
      <c r="G933" s="358"/>
      <c r="H933" s="358"/>
      <c r="I933" s="358"/>
      <c r="J933" s="358"/>
      <c r="K933" s="358"/>
      <c r="L933" s="358"/>
      <c r="M933" s="358"/>
      <c r="N933" s="358"/>
      <c r="O933" s="358"/>
      <c r="P933" s="358"/>
      <c r="Q933" s="358"/>
    </row>
    <row r="934">
      <c r="A934" s="358"/>
      <c r="B934" s="358"/>
      <c r="C934" s="358"/>
      <c r="D934" s="358"/>
      <c r="E934" s="358"/>
      <c r="F934" s="358"/>
      <c r="G934" s="358"/>
      <c r="H934" s="358"/>
      <c r="I934" s="358"/>
      <c r="J934" s="358"/>
      <c r="K934" s="358"/>
      <c r="L934" s="358"/>
      <c r="M934" s="358"/>
      <c r="N934" s="358"/>
      <c r="O934" s="358"/>
      <c r="P934" s="358"/>
      <c r="Q934" s="358"/>
    </row>
    <row r="935">
      <c r="A935" s="358"/>
      <c r="B935" s="358"/>
      <c r="C935" s="358"/>
      <c r="D935" s="358"/>
      <c r="E935" s="358"/>
      <c r="F935" s="358"/>
      <c r="G935" s="358"/>
      <c r="H935" s="358"/>
      <c r="I935" s="358"/>
      <c r="J935" s="358"/>
      <c r="K935" s="358"/>
      <c r="L935" s="358"/>
      <c r="M935" s="358"/>
      <c r="N935" s="358"/>
      <c r="O935" s="358"/>
      <c r="P935" s="358"/>
      <c r="Q935" s="358"/>
    </row>
    <row r="936">
      <c r="A936" s="358"/>
      <c r="B936" s="358"/>
      <c r="C936" s="358"/>
      <c r="D936" s="358"/>
      <c r="E936" s="358"/>
      <c r="F936" s="358"/>
      <c r="G936" s="358"/>
      <c r="H936" s="358"/>
      <c r="I936" s="358"/>
      <c r="J936" s="358"/>
      <c r="K936" s="358"/>
      <c r="L936" s="358"/>
      <c r="M936" s="358"/>
      <c r="N936" s="358"/>
      <c r="O936" s="358"/>
      <c r="P936" s="358"/>
      <c r="Q936" s="358"/>
    </row>
    <row r="937">
      <c r="A937" s="358"/>
      <c r="B937" s="358"/>
      <c r="C937" s="358"/>
      <c r="D937" s="358"/>
      <c r="E937" s="358"/>
      <c r="F937" s="358"/>
      <c r="G937" s="358"/>
      <c r="H937" s="358"/>
      <c r="I937" s="358"/>
      <c r="J937" s="358"/>
      <c r="K937" s="358"/>
      <c r="L937" s="358"/>
      <c r="M937" s="358"/>
      <c r="N937" s="358"/>
      <c r="O937" s="358"/>
      <c r="P937" s="358"/>
      <c r="Q937" s="358"/>
    </row>
    <row r="938">
      <c r="A938" s="358"/>
      <c r="B938" s="358"/>
      <c r="C938" s="358"/>
      <c r="D938" s="358"/>
      <c r="E938" s="358"/>
      <c r="F938" s="358"/>
      <c r="G938" s="358"/>
      <c r="H938" s="358"/>
      <c r="I938" s="358"/>
      <c r="J938" s="358"/>
      <c r="K938" s="358"/>
      <c r="L938" s="358"/>
      <c r="M938" s="358"/>
      <c r="N938" s="358"/>
      <c r="O938" s="358"/>
      <c r="P938" s="358"/>
      <c r="Q938" s="358"/>
    </row>
    <row r="939">
      <c r="A939" s="358"/>
      <c r="B939" s="358"/>
      <c r="C939" s="358"/>
      <c r="D939" s="358"/>
      <c r="E939" s="358"/>
      <c r="F939" s="358"/>
      <c r="G939" s="358"/>
      <c r="H939" s="358"/>
      <c r="I939" s="358"/>
      <c r="J939" s="358"/>
      <c r="K939" s="358"/>
      <c r="L939" s="358"/>
      <c r="M939" s="358"/>
      <c r="N939" s="358"/>
      <c r="O939" s="358"/>
      <c r="P939" s="358"/>
      <c r="Q939" s="358"/>
    </row>
    <row r="940">
      <c r="A940" s="358"/>
      <c r="B940" s="358"/>
      <c r="C940" s="358"/>
      <c r="D940" s="358"/>
      <c r="E940" s="358"/>
      <c r="F940" s="358"/>
      <c r="G940" s="358"/>
      <c r="H940" s="358"/>
      <c r="I940" s="358"/>
      <c r="J940" s="358"/>
      <c r="K940" s="358"/>
      <c r="L940" s="358"/>
      <c r="M940" s="358"/>
      <c r="N940" s="358"/>
      <c r="O940" s="358"/>
      <c r="P940" s="358"/>
      <c r="Q940" s="358"/>
    </row>
    <row r="941">
      <c r="A941" s="358"/>
      <c r="B941" s="358"/>
      <c r="C941" s="358"/>
      <c r="D941" s="358"/>
      <c r="E941" s="358"/>
      <c r="F941" s="358"/>
      <c r="G941" s="358"/>
      <c r="H941" s="358"/>
      <c r="I941" s="358"/>
      <c r="J941" s="358"/>
      <c r="K941" s="358"/>
      <c r="L941" s="358"/>
      <c r="M941" s="358"/>
      <c r="N941" s="358"/>
      <c r="O941" s="358"/>
      <c r="P941" s="358"/>
      <c r="Q941" s="358"/>
    </row>
    <row r="942">
      <c r="A942" s="358"/>
      <c r="B942" s="358"/>
      <c r="C942" s="358"/>
      <c r="D942" s="358"/>
      <c r="E942" s="358"/>
      <c r="F942" s="358"/>
      <c r="G942" s="358"/>
      <c r="H942" s="358"/>
      <c r="I942" s="358"/>
      <c r="J942" s="358"/>
      <c r="K942" s="358"/>
      <c r="L942" s="358"/>
      <c r="M942" s="358"/>
      <c r="N942" s="358"/>
      <c r="O942" s="358"/>
      <c r="P942" s="358"/>
      <c r="Q942" s="358"/>
    </row>
    <row r="943">
      <c r="A943" s="358"/>
      <c r="B943" s="358"/>
      <c r="C943" s="358"/>
      <c r="D943" s="358"/>
      <c r="E943" s="358"/>
      <c r="F943" s="358"/>
      <c r="G943" s="358"/>
      <c r="H943" s="358"/>
      <c r="I943" s="358"/>
      <c r="J943" s="358"/>
      <c r="K943" s="358"/>
      <c r="L943" s="358"/>
      <c r="M943" s="358"/>
      <c r="N943" s="358"/>
      <c r="O943" s="358"/>
      <c r="P943" s="358"/>
      <c r="Q943" s="358"/>
    </row>
    <row r="944">
      <c r="A944" s="358"/>
      <c r="B944" s="358"/>
      <c r="C944" s="358"/>
      <c r="D944" s="358"/>
      <c r="E944" s="358"/>
      <c r="F944" s="358"/>
      <c r="G944" s="358"/>
      <c r="H944" s="358"/>
      <c r="I944" s="358"/>
      <c r="J944" s="358"/>
      <c r="K944" s="358"/>
      <c r="L944" s="358"/>
      <c r="M944" s="358"/>
      <c r="N944" s="358"/>
      <c r="O944" s="358"/>
      <c r="P944" s="358"/>
      <c r="Q944" s="358"/>
    </row>
    <row r="945">
      <c r="A945" s="358"/>
      <c r="B945" s="358"/>
      <c r="C945" s="358"/>
      <c r="D945" s="358"/>
      <c r="E945" s="358"/>
      <c r="F945" s="358"/>
      <c r="G945" s="358"/>
      <c r="H945" s="358"/>
      <c r="I945" s="358"/>
      <c r="J945" s="358"/>
      <c r="K945" s="358"/>
      <c r="L945" s="358"/>
      <c r="M945" s="358"/>
      <c r="N945" s="358"/>
      <c r="O945" s="358"/>
      <c r="P945" s="358"/>
      <c r="Q945" s="358"/>
    </row>
    <row r="946">
      <c r="A946" s="358"/>
      <c r="B946" s="358"/>
      <c r="C946" s="358"/>
      <c r="D946" s="358"/>
      <c r="E946" s="358"/>
      <c r="F946" s="358"/>
      <c r="G946" s="358"/>
      <c r="H946" s="358"/>
      <c r="I946" s="358"/>
      <c r="J946" s="358"/>
      <c r="K946" s="358"/>
      <c r="L946" s="358"/>
      <c r="M946" s="358"/>
      <c r="N946" s="358"/>
      <c r="O946" s="358"/>
      <c r="P946" s="358"/>
      <c r="Q946" s="358"/>
    </row>
    <row r="947">
      <c r="A947" s="358"/>
      <c r="B947" s="358"/>
      <c r="C947" s="358"/>
      <c r="D947" s="358"/>
      <c r="E947" s="358"/>
      <c r="F947" s="358"/>
      <c r="G947" s="358"/>
      <c r="H947" s="358"/>
      <c r="I947" s="358"/>
      <c r="J947" s="358"/>
      <c r="K947" s="358"/>
      <c r="L947" s="358"/>
      <c r="M947" s="358"/>
      <c r="N947" s="358"/>
      <c r="O947" s="358"/>
      <c r="P947" s="358"/>
      <c r="Q947" s="358"/>
    </row>
    <row r="948">
      <c r="A948" s="358"/>
      <c r="B948" s="358"/>
      <c r="C948" s="358"/>
      <c r="D948" s="358"/>
      <c r="E948" s="358"/>
      <c r="F948" s="358"/>
      <c r="G948" s="358"/>
      <c r="H948" s="358"/>
      <c r="I948" s="358"/>
      <c r="J948" s="358"/>
      <c r="K948" s="358"/>
      <c r="L948" s="358"/>
      <c r="M948" s="358"/>
      <c r="N948" s="358"/>
      <c r="O948" s="358"/>
      <c r="P948" s="358"/>
      <c r="Q948" s="358"/>
    </row>
    <row r="949">
      <c r="A949" s="358"/>
      <c r="B949" s="358"/>
      <c r="C949" s="358"/>
      <c r="D949" s="358"/>
      <c r="E949" s="358"/>
      <c r="F949" s="358"/>
      <c r="G949" s="358"/>
      <c r="H949" s="358"/>
      <c r="I949" s="358"/>
      <c r="J949" s="358"/>
      <c r="K949" s="358"/>
      <c r="L949" s="358"/>
      <c r="M949" s="358"/>
      <c r="N949" s="358"/>
      <c r="O949" s="358"/>
      <c r="P949" s="358"/>
      <c r="Q949" s="358"/>
    </row>
    <row r="950">
      <c r="A950" s="358"/>
      <c r="B950" s="358"/>
      <c r="C950" s="358"/>
      <c r="D950" s="358"/>
      <c r="E950" s="358"/>
      <c r="F950" s="358"/>
      <c r="G950" s="358"/>
      <c r="H950" s="358"/>
      <c r="I950" s="358"/>
      <c r="J950" s="358"/>
      <c r="K950" s="358"/>
      <c r="L950" s="358"/>
      <c r="M950" s="358"/>
      <c r="N950" s="358"/>
      <c r="O950" s="358"/>
      <c r="P950" s="358"/>
      <c r="Q950" s="358"/>
    </row>
    <row r="951">
      <c r="A951" s="358"/>
      <c r="B951" s="358"/>
      <c r="C951" s="358"/>
      <c r="D951" s="358"/>
      <c r="E951" s="358"/>
      <c r="F951" s="358"/>
      <c r="G951" s="358"/>
      <c r="H951" s="358"/>
      <c r="I951" s="358"/>
      <c r="J951" s="358"/>
      <c r="K951" s="358"/>
      <c r="L951" s="358"/>
      <c r="M951" s="358"/>
      <c r="N951" s="358"/>
      <c r="O951" s="358"/>
      <c r="P951" s="358"/>
      <c r="Q951" s="358"/>
    </row>
    <row r="952">
      <c r="A952" s="358"/>
      <c r="B952" s="358"/>
      <c r="C952" s="358"/>
      <c r="D952" s="358"/>
      <c r="E952" s="358"/>
      <c r="F952" s="358"/>
      <c r="G952" s="358"/>
      <c r="H952" s="358"/>
      <c r="I952" s="358"/>
      <c r="J952" s="358"/>
      <c r="K952" s="358"/>
      <c r="L952" s="358"/>
      <c r="M952" s="358"/>
      <c r="N952" s="358"/>
      <c r="O952" s="358"/>
      <c r="P952" s="358"/>
      <c r="Q952" s="358"/>
    </row>
    <row r="953">
      <c r="A953" s="358"/>
      <c r="B953" s="358"/>
      <c r="C953" s="358"/>
      <c r="D953" s="358"/>
      <c r="E953" s="358"/>
      <c r="F953" s="358"/>
      <c r="G953" s="358"/>
      <c r="H953" s="358"/>
      <c r="I953" s="358"/>
      <c r="J953" s="358"/>
      <c r="K953" s="358"/>
      <c r="L953" s="358"/>
      <c r="M953" s="358"/>
      <c r="N953" s="358"/>
      <c r="O953" s="358"/>
      <c r="P953" s="358"/>
      <c r="Q953" s="358"/>
    </row>
    <row r="954">
      <c r="A954" s="358"/>
      <c r="B954" s="358"/>
      <c r="C954" s="358"/>
      <c r="D954" s="358"/>
      <c r="E954" s="358"/>
      <c r="F954" s="358"/>
      <c r="G954" s="358"/>
      <c r="H954" s="358"/>
      <c r="I954" s="358"/>
      <c r="J954" s="358"/>
      <c r="K954" s="358"/>
      <c r="L954" s="358"/>
      <c r="M954" s="358"/>
      <c r="N954" s="358"/>
      <c r="O954" s="358"/>
      <c r="P954" s="358"/>
      <c r="Q954" s="358"/>
    </row>
    <row r="955">
      <c r="A955" s="358"/>
      <c r="B955" s="358"/>
      <c r="C955" s="358"/>
      <c r="D955" s="358"/>
      <c r="E955" s="358"/>
      <c r="F955" s="358"/>
      <c r="G955" s="358"/>
      <c r="H955" s="358"/>
      <c r="I955" s="358"/>
      <c r="J955" s="358"/>
      <c r="K955" s="358"/>
      <c r="L955" s="358"/>
      <c r="M955" s="358"/>
      <c r="N955" s="358"/>
      <c r="O955" s="358"/>
      <c r="P955" s="358"/>
      <c r="Q955" s="358"/>
    </row>
    <row r="956">
      <c r="A956" s="358"/>
      <c r="B956" s="358"/>
      <c r="C956" s="358"/>
      <c r="D956" s="358"/>
      <c r="E956" s="358"/>
      <c r="F956" s="358"/>
      <c r="G956" s="358"/>
      <c r="H956" s="358"/>
      <c r="I956" s="358"/>
      <c r="J956" s="358"/>
      <c r="K956" s="358"/>
      <c r="L956" s="358"/>
      <c r="M956" s="358"/>
      <c r="N956" s="358"/>
      <c r="O956" s="358"/>
      <c r="P956" s="358"/>
      <c r="Q956" s="358"/>
    </row>
    <row r="957">
      <c r="A957" s="358"/>
      <c r="B957" s="358"/>
      <c r="C957" s="358"/>
      <c r="D957" s="358"/>
      <c r="E957" s="358"/>
      <c r="F957" s="358"/>
      <c r="G957" s="358"/>
      <c r="H957" s="358"/>
      <c r="I957" s="358"/>
      <c r="J957" s="358"/>
      <c r="K957" s="358"/>
      <c r="L957" s="358"/>
      <c r="M957" s="358"/>
      <c r="N957" s="358"/>
      <c r="O957" s="358"/>
      <c r="P957" s="358"/>
      <c r="Q957" s="358"/>
    </row>
    <row r="958">
      <c r="A958" s="358"/>
      <c r="B958" s="358"/>
      <c r="C958" s="358"/>
      <c r="D958" s="358"/>
      <c r="E958" s="358"/>
      <c r="F958" s="358"/>
      <c r="G958" s="358"/>
      <c r="H958" s="358"/>
      <c r="I958" s="358"/>
      <c r="J958" s="358"/>
      <c r="K958" s="358"/>
      <c r="L958" s="358"/>
      <c r="M958" s="358"/>
      <c r="N958" s="358"/>
      <c r="O958" s="358"/>
      <c r="P958" s="358"/>
      <c r="Q958" s="358"/>
    </row>
    <row r="959">
      <c r="A959" s="358"/>
      <c r="B959" s="358"/>
      <c r="C959" s="358"/>
      <c r="D959" s="358"/>
      <c r="E959" s="358"/>
      <c r="F959" s="358"/>
      <c r="G959" s="358"/>
      <c r="H959" s="358"/>
      <c r="I959" s="358"/>
      <c r="J959" s="358"/>
      <c r="K959" s="358"/>
      <c r="L959" s="358"/>
      <c r="M959" s="358"/>
      <c r="N959" s="358"/>
      <c r="O959" s="358"/>
      <c r="P959" s="358"/>
      <c r="Q959" s="358"/>
    </row>
    <row r="960">
      <c r="A960" s="358"/>
      <c r="B960" s="358"/>
      <c r="C960" s="358"/>
      <c r="D960" s="358"/>
      <c r="E960" s="358"/>
      <c r="F960" s="358"/>
      <c r="G960" s="358"/>
      <c r="H960" s="358"/>
      <c r="I960" s="358"/>
      <c r="J960" s="358"/>
      <c r="K960" s="358"/>
      <c r="L960" s="358"/>
      <c r="M960" s="358"/>
      <c r="N960" s="358"/>
      <c r="O960" s="358"/>
      <c r="P960" s="358"/>
      <c r="Q960" s="358"/>
    </row>
    <row r="961">
      <c r="A961" s="358"/>
      <c r="B961" s="358"/>
      <c r="C961" s="358"/>
      <c r="D961" s="358"/>
      <c r="E961" s="358"/>
      <c r="F961" s="358"/>
      <c r="G961" s="358"/>
      <c r="H961" s="358"/>
      <c r="I961" s="358"/>
      <c r="J961" s="358"/>
      <c r="K961" s="358"/>
      <c r="L961" s="358"/>
      <c r="M961" s="358"/>
      <c r="N961" s="358"/>
      <c r="O961" s="358"/>
      <c r="P961" s="358"/>
      <c r="Q961" s="358"/>
    </row>
    <row r="962">
      <c r="A962" s="358"/>
      <c r="B962" s="358"/>
      <c r="C962" s="358"/>
      <c r="D962" s="358"/>
      <c r="E962" s="358"/>
      <c r="F962" s="358"/>
      <c r="G962" s="358"/>
      <c r="H962" s="358"/>
      <c r="I962" s="358"/>
      <c r="J962" s="358"/>
      <c r="K962" s="358"/>
      <c r="L962" s="358"/>
      <c r="M962" s="358"/>
      <c r="N962" s="358"/>
      <c r="O962" s="358"/>
      <c r="P962" s="358"/>
      <c r="Q962" s="358"/>
    </row>
    <row r="963">
      <c r="A963" s="358"/>
      <c r="B963" s="358"/>
      <c r="C963" s="358"/>
      <c r="D963" s="358"/>
      <c r="E963" s="358"/>
      <c r="F963" s="358"/>
      <c r="G963" s="358"/>
      <c r="H963" s="358"/>
      <c r="I963" s="358"/>
      <c r="J963" s="358"/>
      <c r="K963" s="358"/>
      <c r="L963" s="358"/>
      <c r="M963" s="358"/>
      <c r="N963" s="358"/>
      <c r="O963" s="358"/>
      <c r="P963" s="358"/>
      <c r="Q963" s="358"/>
    </row>
    <row r="964">
      <c r="A964" s="358"/>
      <c r="B964" s="358"/>
      <c r="C964" s="358"/>
      <c r="D964" s="358"/>
      <c r="E964" s="358"/>
      <c r="F964" s="358"/>
      <c r="G964" s="358"/>
      <c r="H964" s="358"/>
      <c r="I964" s="358"/>
      <c r="J964" s="358"/>
      <c r="K964" s="358"/>
      <c r="L964" s="358"/>
      <c r="M964" s="358"/>
      <c r="N964" s="358"/>
      <c r="O964" s="358"/>
      <c r="P964" s="358"/>
      <c r="Q964" s="358"/>
    </row>
    <row r="965">
      <c r="A965" s="358"/>
      <c r="B965" s="358"/>
      <c r="C965" s="358"/>
      <c r="D965" s="358"/>
      <c r="E965" s="358"/>
      <c r="F965" s="358"/>
      <c r="G965" s="358"/>
      <c r="H965" s="358"/>
      <c r="I965" s="358"/>
      <c r="J965" s="358"/>
      <c r="K965" s="358"/>
      <c r="L965" s="358"/>
      <c r="M965" s="358"/>
      <c r="N965" s="358"/>
      <c r="O965" s="358"/>
      <c r="P965" s="358"/>
      <c r="Q965" s="358"/>
    </row>
    <row r="966">
      <c r="A966" s="358"/>
      <c r="B966" s="358"/>
      <c r="C966" s="358"/>
      <c r="D966" s="358"/>
      <c r="E966" s="358"/>
      <c r="F966" s="358"/>
      <c r="G966" s="358"/>
      <c r="H966" s="358"/>
      <c r="I966" s="358"/>
      <c r="J966" s="358"/>
      <c r="K966" s="358"/>
      <c r="L966" s="358"/>
      <c r="M966" s="358"/>
      <c r="N966" s="358"/>
      <c r="O966" s="358"/>
      <c r="P966" s="358"/>
      <c r="Q966" s="358"/>
    </row>
    <row r="967">
      <c r="A967" s="358"/>
      <c r="B967" s="358"/>
      <c r="C967" s="358"/>
      <c r="D967" s="358"/>
      <c r="E967" s="358"/>
      <c r="F967" s="358"/>
      <c r="G967" s="358"/>
      <c r="H967" s="358"/>
      <c r="I967" s="358"/>
      <c r="J967" s="358"/>
      <c r="K967" s="358"/>
      <c r="L967" s="358"/>
      <c r="M967" s="358"/>
      <c r="N967" s="358"/>
      <c r="O967" s="358"/>
      <c r="P967" s="358"/>
      <c r="Q967" s="358"/>
    </row>
    <row r="968">
      <c r="A968" s="358"/>
      <c r="B968" s="358"/>
      <c r="C968" s="358"/>
      <c r="D968" s="358"/>
      <c r="E968" s="358"/>
      <c r="F968" s="358"/>
      <c r="G968" s="358"/>
      <c r="H968" s="358"/>
      <c r="I968" s="358"/>
      <c r="J968" s="358"/>
      <c r="K968" s="358"/>
      <c r="L968" s="358"/>
      <c r="M968" s="358"/>
      <c r="N968" s="358"/>
      <c r="O968" s="358"/>
      <c r="P968" s="358"/>
      <c r="Q968" s="358"/>
    </row>
    <row r="969">
      <c r="A969" s="358"/>
      <c r="B969" s="358"/>
      <c r="C969" s="358"/>
      <c r="D969" s="358"/>
      <c r="E969" s="358"/>
      <c r="F969" s="358"/>
      <c r="G969" s="358"/>
      <c r="H969" s="358"/>
      <c r="I969" s="358"/>
      <c r="J969" s="358"/>
      <c r="K969" s="358"/>
      <c r="L969" s="358"/>
      <c r="M969" s="358"/>
      <c r="N969" s="358"/>
      <c r="O969" s="358"/>
      <c r="P969" s="358"/>
      <c r="Q969" s="358"/>
    </row>
    <row r="970">
      <c r="A970" s="358"/>
      <c r="B970" s="358"/>
      <c r="C970" s="358"/>
      <c r="D970" s="358"/>
      <c r="E970" s="358"/>
      <c r="F970" s="358"/>
      <c r="G970" s="358"/>
      <c r="H970" s="358"/>
      <c r="I970" s="358"/>
      <c r="J970" s="358"/>
      <c r="K970" s="358"/>
      <c r="L970" s="358"/>
      <c r="M970" s="358"/>
      <c r="N970" s="358"/>
      <c r="O970" s="358"/>
      <c r="P970" s="358"/>
      <c r="Q970" s="358"/>
    </row>
    <row r="971">
      <c r="A971" s="358"/>
      <c r="B971" s="358"/>
      <c r="C971" s="358"/>
      <c r="D971" s="358"/>
      <c r="E971" s="358"/>
      <c r="F971" s="358"/>
      <c r="G971" s="358"/>
      <c r="H971" s="358"/>
      <c r="I971" s="358"/>
      <c r="J971" s="358"/>
      <c r="K971" s="358"/>
      <c r="L971" s="358"/>
      <c r="M971" s="358"/>
      <c r="N971" s="358"/>
      <c r="O971" s="358"/>
      <c r="P971" s="358"/>
      <c r="Q971" s="358"/>
    </row>
    <row r="972">
      <c r="A972" s="358"/>
      <c r="B972" s="358"/>
      <c r="C972" s="358"/>
      <c r="D972" s="358"/>
      <c r="E972" s="358"/>
      <c r="F972" s="358"/>
      <c r="G972" s="358"/>
      <c r="H972" s="358"/>
      <c r="I972" s="358"/>
      <c r="J972" s="358"/>
      <c r="K972" s="358"/>
      <c r="L972" s="358"/>
      <c r="M972" s="358"/>
      <c r="N972" s="358"/>
      <c r="O972" s="358"/>
      <c r="P972" s="358"/>
      <c r="Q972" s="358"/>
    </row>
    <row r="973">
      <c r="A973" s="358"/>
      <c r="B973" s="358"/>
      <c r="C973" s="358"/>
      <c r="D973" s="358"/>
      <c r="E973" s="358"/>
      <c r="F973" s="358"/>
      <c r="G973" s="358"/>
      <c r="H973" s="358"/>
      <c r="I973" s="358"/>
      <c r="J973" s="358"/>
      <c r="K973" s="358"/>
      <c r="L973" s="358"/>
      <c r="M973" s="358"/>
      <c r="N973" s="358"/>
      <c r="O973" s="358"/>
      <c r="P973" s="358"/>
      <c r="Q973" s="358"/>
    </row>
    <row r="974">
      <c r="A974" s="358"/>
      <c r="B974" s="358"/>
      <c r="C974" s="358"/>
      <c r="D974" s="358"/>
      <c r="E974" s="358"/>
      <c r="F974" s="358"/>
      <c r="G974" s="358"/>
      <c r="H974" s="358"/>
      <c r="I974" s="358"/>
      <c r="J974" s="358"/>
      <c r="K974" s="358"/>
      <c r="L974" s="358"/>
      <c r="M974" s="358"/>
      <c r="N974" s="358"/>
      <c r="O974" s="358"/>
      <c r="P974" s="358"/>
      <c r="Q974" s="358"/>
    </row>
    <row r="975">
      <c r="A975" s="358"/>
      <c r="B975" s="358"/>
      <c r="C975" s="358"/>
      <c r="D975" s="358"/>
      <c r="E975" s="358"/>
      <c r="F975" s="358"/>
      <c r="G975" s="358"/>
      <c r="H975" s="358"/>
      <c r="I975" s="358"/>
      <c r="J975" s="358"/>
      <c r="K975" s="358"/>
      <c r="L975" s="358"/>
      <c r="M975" s="358"/>
      <c r="N975" s="358"/>
      <c r="O975" s="358"/>
      <c r="P975" s="358"/>
      <c r="Q975" s="358"/>
    </row>
    <row r="976">
      <c r="A976" s="358"/>
      <c r="B976" s="358"/>
      <c r="C976" s="358"/>
      <c r="D976" s="358"/>
      <c r="E976" s="358"/>
      <c r="F976" s="358"/>
      <c r="G976" s="358"/>
      <c r="H976" s="358"/>
      <c r="I976" s="358"/>
      <c r="J976" s="358"/>
      <c r="K976" s="358"/>
      <c r="L976" s="358"/>
      <c r="M976" s="358"/>
      <c r="N976" s="358"/>
      <c r="O976" s="358"/>
      <c r="P976" s="358"/>
      <c r="Q976" s="358"/>
    </row>
    <row r="977">
      <c r="A977" s="358"/>
      <c r="B977" s="358"/>
      <c r="C977" s="358"/>
      <c r="D977" s="358"/>
      <c r="E977" s="358"/>
      <c r="F977" s="358"/>
      <c r="G977" s="358"/>
      <c r="H977" s="358"/>
      <c r="I977" s="358"/>
      <c r="J977" s="358"/>
      <c r="K977" s="358"/>
      <c r="L977" s="358"/>
      <c r="M977" s="358"/>
      <c r="N977" s="358"/>
      <c r="O977" s="358"/>
      <c r="P977" s="358"/>
      <c r="Q977" s="358"/>
    </row>
    <row r="978">
      <c r="A978" s="358"/>
      <c r="B978" s="358"/>
      <c r="C978" s="358"/>
      <c r="D978" s="358"/>
      <c r="E978" s="358"/>
      <c r="F978" s="358"/>
      <c r="G978" s="358"/>
      <c r="H978" s="358"/>
      <c r="I978" s="358"/>
      <c r="J978" s="358"/>
      <c r="K978" s="358"/>
      <c r="L978" s="358"/>
      <c r="M978" s="358"/>
      <c r="N978" s="358"/>
      <c r="O978" s="358"/>
      <c r="P978" s="358"/>
      <c r="Q978" s="358"/>
    </row>
    <row r="979">
      <c r="A979" s="358"/>
      <c r="B979" s="358"/>
      <c r="C979" s="358"/>
      <c r="D979" s="358"/>
      <c r="E979" s="358"/>
      <c r="F979" s="358"/>
      <c r="G979" s="358"/>
      <c r="H979" s="358"/>
      <c r="I979" s="358"/>
      <c r="J979" s="358"/>
      <c r="K979" s="358"/>
      <c r="L979" s="358"/>
      <c r="M979" s="358"/>
      <c r="N979" s="358"/>
      <c r="O979" s="358"/>
      <c r="P979" s="358"/>
      <c r="Q979" s="358"/>
    </row>
    <row r="980">
      <c r="A980" s="358"/>
      <c r="B980" s="358"/>
      <c r="C980" s="358"/>
      <c r="D980" s="358"/>
      <c r="E980" s="358"/>
      <c r="F980" s="358"/>
      <c r="G980" s="358"/>
      <c r="H980" s="358"/>
      <c r="I980" s="358"/>
      <c r="J980" s="358"/>
      <c r="K980" s="358"/>
      <c r="L980" s="358"/>
      <c r="M980" s="358"/>
      <c r="N980" s="358"/>
      <c r="O980" s="358"/>
      <c r="P980" s="358"/>
      <c r="Q980" s="358"/>
    </row>
    <row r="981">
      <c r="A981" s="358"/>
      <c r="B981" s="358"/>
      <c r="C981" s="358"/>
      <c r="D981" s="358"/>
      <c r="E981" s="358"/>
      <c r="F981" s="358"/>
      <c r="G981" s="358"/>
      <c r="H981" s="358"/>
      <c r="I981" s="358"/>
      <c r="J981" s="358"/>
      <c r="K981" s="358"/>
      <c r="L981" s="358"/>
      <c r="M981" s="358"/>
      <c r="N981" s="358"/>
      <c r="O981" s="358"/>
      <c r="P981" s="358"/>
      <c r="Q981" s="358"/>
    </row>
    <row r="982">
      <c r="A982" s="358"/>
      <c r="B982" s="358"/>
      <c r="C982" s="358"/>
      <c r="D982" s="358"/>
      <c r="E982" s="358"/>
      <c r="F982" s="358"/>
      <c r="G982" s="358"/>
      <c r="H982" s="358"/>
      <c r="I982" s="358"/>
      <c r="J982" s="358"/>
      <c r="K982" s="358"/>
      <c r="L982" s="358"/>
      <c r="M982" s="358"/>
      <c r="N982" s="358"/>
      <c r="O982" s="358"/>
      <c r="P982" s="358"/>
      <c r="Q982" s="358"/>
    </row>
    <row r="983">
      <c r="A983" s="358"/>
      <c r="B983" s="358"/>
      <c r="C983" s="358"/>
      <c r="D983" s="358"/>
      <c r="E983" s="358"/>
      <c r="F983" s="358"/>
      <c r="G983" s="358"/>
      <c r="H983" s="358"/>
      <c r="I983" s="358"/>
      <c r="J983" s="358"/>
      <c r="K983" s="358"/>
      <c r="L983" s="358"/>
      <c r="M983" s="358"/>
      <c r="N983" s="358"/>
      <c r="O983" s="358"/>
      <c r="P983" s="358"/>
      <c r="Q983" s="358"/>
    </row>
  </sheetData>
  <dataValidations>
    <dataValidation type="list" allowBlank="1" sqref="D4:D89">
      <formula1>"Cold,Hot,Warm,Lost,Hold,Closed"</formula1>
    </dataValidation>
    <dataValidation type="list" allowBlank="1" sqref="E4:E89">
      <formula1>"Crescent Solitaire,Other Andheri Properties"</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6" t="s">
        <v>6</v>
      </c>
      <c r="B1" s="166" t="s">
        <v>7</v>
      </c>
      <c r="C1" s="166" t="s">
        <v>8</v>
      </c>
      <c r="D1" s="166" t="s">
        <v>12</v>
      </c>
      <c r="E1" s="166" t="s">
        <v>9</v>
      </c>
      <c r="F1" s="166" t="s">
        <v>10</v>
      </c>
      <c r="G1" s="166" t="s">
        <v>11</v>
      </c>
      <c r="H1" s="166" t="s">
        <v>13</v>
      </c>
      <c r="J1" s="276" t="str">
        <f>IFERROR(__xludf.DUMMYFUNCTION("QUERY(A1:H1000, ""SELECT F, COUNT(A) WHERE F != '' GROUP BY F LABEL F 'Campaign', COUNT(A) 'Leads'"")"),"Campaign")</f>
        <v>Campaign</v>
      </c>
      <c r="K1" s="276" t="str">
        <f>IFERROR(__xludf.DUMMYFUNCTION("""COMPUTED_VALUE"""),"Leads")</f>
        <v>Leads</v>
      </c>
      <c r="M1" s="276" t="str">
        <f>IFERROR(__xludf.DUMMYFUNCTION("QUERY(A1:H1000, ""SELECT E, COUNT(A) WHERE E != '' GROUP BY E LABEL E 'Location', COUNT(A) 'Leads'"")"),"Location")</f>
        <v>Location</v>
      </c>
      <c r="N1" s="276" t="str">
        <f>IFERROR(__xludf.DUMMYFUNCTION("""COMPUTED_VALUE"""),"Leads")</f>
        <v>Leads</v>
      </c>
      <c r="P1" s="276" t="str">
        <f>IFERROR(__xludf.DUMMYFUNCTION("QUERY(A1:H1000, ""SELECT G, COUNT(A) WHERE G != '' GROUP BY G LABEL G 'POC', COUNT(A) 'Leads'"")"),"POC")</f>
        <v>POC</v>
      </c>
      <c r="Q1" s="276" t="str">
        <f>IFERROR(__xludf.DUMMYFUNCTION("""COMPUTED_VALUE"""),"Leads")</f>
        <v>Leads</v>
      </c>
    </row>
    <row r="2">
      <c r="A2" s="400">
        <f>IFERROR(__xludf.DUMMYFUNCTION("ARRAYFORMULA(FILTER({ 'Andheri (New) - Meta'!E2:E1000, 'Andheri (New) - Meta'!G2:G1000 &amp; "" "" &amp; 'Andheri (New) - Meta'!H2:H1000, 'Andheri (New) - Meta'!L2:L1000, 'Andheri (New) - Meta'!C2:C1000, 'Andheri (New) - Meta'!B2:B1000, IF(ROW('Andheri (New) - Me"&amp;"ta'!E2:E1000), ""Meta"", """"), 'Andheri (New) - Meta'!F2:F1000, 'Andheri (New) - Meta'!N2:N1000 ; 'Andheri (New) - LinkedIn'!E2:E1000, 'Andheri (New) - LinkedIn'!G2:G1000 &amp; "" "" &amp; 'Andheri (New) - LinkedIn'!H2:H1000, 'Andheri (New) - LinkedIn'!L2:L1000,"&amp;" 'Andheri (New) - LinkedIn'!C2:C1000, 'Andheri (New) - LinkedIn'!B2:B1000, IF(ROW('Andheri (New) - LinkedIn'!E2:E1000), ""LinkedIn"", """"), 'Andheri (New) - LinkedIn'!F2:F1000, 'Andheri (New) - LinkedIn'!N2:N1000 ; 'Lower Parel (New) - Meta'!C2:C1000, 'L"&amp;"ower Parel (New) - Meta'!E2:E1000 &amp; "" "" &amp; 'Lower Parel (New) - Meta'!F2:F1000, 'Lower Parel (New) - Meta'!J2:J1000, 'Lower Parel (New) - Meta'!M2:M1000, 'Lower Parel (New) - Meta'!B2:B1000, IF(ROW('Lower Parel (New) - Meta'!C2:C1000), ""Meta"", """"), '"&amp;"Lower Parel (New) - Meta'!D2:D1000, 'Lower Parel (New) - Meta'!N2:N1000 ; 'Lower Parel (New) - LinkedIn'!D2:D1000, 'Lower Parel (New) - LinkedIn'!F2:F1000 &amp; "" "" &amp; 'Lower Parel (New) - LinkedIn'!G2:G1000, 'Lower Parel (New) - LinkedIn'!K2:K1000, 'Lower P"&amp;"arel (New) - LinkedIn'!N2:N1000, 'Lower Parel (New) - LinkedIn'!B2:B1000, IF(ROW('Lower Parel (New) - LinkedIn'!D2:D1000), ""LinkedIn"", """"), 'Lower Parel (New) - LinkedIn'!E2:E1000, 'Lower Parel (New) - LinkedIn'!O2:O1000 ; 'F1 Skymark (Noida) - Linked"&amp;"In'!C2:C1000, 'F1 Skymark (Noida) - LinkedIn'!E2:E1000 &amp; "" "" &amp; 'F1 Skymark (Noida) - LinkedIn'!F2:F1000, 'F1 Skymark (Noida) - LinkedIn'!J2:J1000, 'F1 Skymark (Noida) - LinkedIn'!L2:L1000, IF(ROW('F1 Skymark (Noida) - LinkedIn'!C2:C1000), ""Noida"", """&amp;"""), IF(ROW('F1 Skymark (Noida) - LinkedIn'!C2:C1000), ""LinkedIn"", """"), 'F1 Skymark (Noida) - LinkedIn'!D2:D1000, 'F1 Skymark (Noida) - LinkedIn'!M2:M1000 ; 'Andheri (Old)'!F5:F1000, 'Andheri (Old)'!H5:H1000 &amp; "" "" &amp; 'Andheri (Old)'!I5:I1000, 'Andher"&amp;"i (Old)'!K5:K1000, 'Andheri (Old)'!D5:D1000, IF(ROW('Andheri (Old)'!F5:F1000), ""Andheri"", """"), 'Andheri (Old)'!C5:C1000, 'Andheri (Old)'!G5:G1000, 'Andheri (Old)'!P5:P1000 ; 'Lower Parel (Old)'!E5:E1000, 'Lower Parel (Old)'!G5:G1000 &amp; "" "" &amp; 'Lower P"&amp;"arel (Old)'!H5:H1000, 'Lower Parel (Old)'!K5:K1000, 'Lower Parel (Old)'!N5:N1000, IF(ROW('Lower Parel (Old)'!E5:E1000), ""Lower Parel"", """"), 'Lower Parel (Old)'!C5:C1000, 'Lower Parel (Old)'!F5:F1000, 'Lower Parel (Old)'!Q5:Q1000 }, { 'Andheri (New) - "&amp;"Meta'!E2:E1000; 'Andheri (New) - LinkedIn'!E2:E1000; 'Lower Parel (New) - Meta'!C2:C1000; 'Lower Parel (New) - LinkedIn'!D2:D1000; 'F1 Skymark (Noida) - LinkedIn'!C2:C1000; 'Andheri (Old)'!F5:F1000; 'Lower Parel (Old)'!E5:E1000 } &lt;&gt; """"))"),46114.0)</f>
        <v>46114</v>
      </c>
      <c r="B2" s="276" t="str">
        <f>IFERROR(__xludf.DUMMYFUNCTION("""COMPUTED_VALUE"""),"Raul  Rodrigues ")</f>
        <v>Raul  Rodrigues </v>
      </c>
      <c r="C2" s="276" t="str">
        <f>IFERROR(__xludf.DUMMYFUNCTION("""COMPUTED_VALUE"""),"EduBridge Learning PVT LTD")</f>
        <v>EduBridge Learning PVT LTD</v>
      </c>
      <c r="D2" s="276" t="str">
        <f>IFERROR(__xludf.DUMMYFUNCTION("""COMPUTED_VALUE"""),"Lost")</f>
        <v>Lost</v>
      </c>
      <c r="E2" s="276" t="str">
        <f>IFERROR(__xludf.DUMMYFUNCTION("""COMPUTED_VALUE"""),"Andheri ")</f>
        <v>Andheri </v>
      </c>
      <c r="F2" s="276" t="str">
        <f>IFERROR(__xludf.DUMMYFUNCTION("""COMPUTED_VALUE"""),"Meta")</f>
        <v>Meta</v>
      </c>
      <c r="G2" s="276" t="str">
        <f>IFERROR(__xludf.DUMMYFUNCTION("""COMPUTED_VALUE"""),"Shubham ")</f>
        <v>Shubham </v>
      </c>
      <c r="H2" s="276" t="str">
        <f>IFERROR(__xludf.DUMMYFUNCTION("""COMPUTED_VALUE"""),"11 April: Spoke he said currently they are not looking for space due to Budget issue 09 April: Spoke he said the budget is the main issue however I have shared the details of the Sakinaka space 04 April: Discuss with the team on this 02 April: Spoke to Mr"&amp;". Raul; he shared the requirement. They are open to any location as long as it is well connected. They are very stringent on budget, with a maximum stretch of ₹3,500 per seat.")</f>
        <v>11 April: Spoke he said currently they are not looking for space due to Budget issue 09 April: Spoke he said the budget is the main issue however I have shared the details of the Sakinaka space 04 April: Discuss with the team on this 02 April: Spoke to Mr. Raul; he shared the requirement. They are open to any location as long as it is well connected. They are very stringent on budget, with a maximum stretch of ₹3,500 per seat.</v>
      </c>
      <c r="J2" s="276" t="str">
        <f>IFERROR(__xludf.DUMMYFUNCTION("""COMPUTED_VALUE"""),"Andheri ")</f>
        <v>Andheri </v>
      </c>
      <c r="K2" s="276">
        <f>IFERROR(__xludf.DUMMYFUNCTION("""COMPUTED_VALUE"""),73.0)</f>
        <v>73</v>
      </c>
      <c r="M2" s="276" t="str">
        <f>IFERROR(__xludf.DUMMYFUNCTION("""COMPUTED_VALUE"""),"Andheri")</f>
        <v>Andheri</v>
      </c>
      <c r="N2" s="276">
        <f>IFERROR(__xludf.DUMMYFUNCTION("""COMPUTED_VALUE"""),74.0)</f>
        <v>74</v>
      </c>
      <c r="P2" s="276" t="str">
        <f>IFERROR(__xludf.DUMMYFUNCTION("""COMPUTED_VALUE"""),"Harshini")</f>
        <v>Harshini</v>
      </c>
      <c r="Q2" s="276">
        <f>IFERROR(__xludf.DUMMYFUNCTION("""COMPUTED_VALUE"""),1.0)</f>
        <v>1</v>
      </c>
    </row>
    <row r="3">
      <c r="A3" s="400">
        <f>IFERROR(__xludf.DUMMYFUNCTION("""COMPUTED_VALUE"""),46114.0)</f>
        <v>46114</v>
      </c>
      <c r="B3" s="276" t="str">
        <f>IFERROR(__xludf.DUMMYFUNCTION("""COMPUTED_VALUE"""),"Munir  Shaikh")</f>
        <v>Munir  Shaikh</v>
      </c>
      <c r="C3" s="276" t="str">
        <f>IFERROR(__xludf.DUMMYFUNCTION("""COMPUTED_VALUE"""),"Zovean Global PVT LTD")</f>
        <v>Zovean Global PVT LTD</v>
      </c>
      <c r="D3" s="276" t="str">
        <f>IFERROR(__xludf.DUMMYFUNCTION("""COMPUTED_VALUE"""),"Lost")</f>
        <v>Lost</v>
      </c>
      <c r="E3" s="276" t="str">
        <f>IFERROR(__xludf.DUMMYFUNCTION("""COMPUTED_VALUE"""),"Andheri ")</f>
        <v>Andheri </v>
      </c>
      <c r="F3" s="276" t="str">
        <f>IFERROR(__xludf.DUMMYFUNCTION("""COMPUTED_VALUE"""),"Meta")</f>
        <v>Meta</v>
      </c>
      <c r="G3" s="276" t="str">
        <f>IFERROR(__xludf.DUMMYFUNCTION("""COMPUTED_VALUE"""),"Shubham ")</f>
        <v>Shubham </v>
      </c>
      <c r="H3" s="276" t="str">
        <f>IFERROR(__xludf.DUMMYFUNCTION("""COMPUTED_VALUE"""),"04 April: Spoke, She doen't Want any space and has not inquired 02 April: Ringing, Dropped A Text ")</f>
        <v>04 April: Spoke, She doen't Want any space and has not inquired 02 April: Ringing, Dropped A Text </v>
      </c>
      <c r="J3" s="276" t="str">
        <f>IFERROR(__xludf.DUMMYFUNCTION("""COMPUTED_VALUE"""),"Andheri East ")</f>
        <v>Andheri East </v>
      </c>
      <c r="K3" s="276">
        <f>IFERROR(__xludf.DUMMYFUNCTION("""COMPUTED_VALUE"""),1.0)</f>
        <v>1</v>
      </c>
      <c r="M3" s="276" t="str">
        <f>IFERROR(__xludf.DUMMYFUNCTION("""COMPUTED_VALUE"""),"Andheri ")</f>
        <v>Andheri </v>
      </c>
      <c r="N3" s="276">
        <f>IFERROR(__xludf.DUMMYFUNCTION("""COMPUTED_VALUE"""),75.0)</f>
        <v>75</v>
      </c>
      <c r="P3" s="276" t="str">
        <f>IFERROR(__xludf.DUMMYFUNCTION("""COMPUTED_VALUE"""),"Neha/Madhvi")</f>
        <v>Neha/Madhvi</v>
      </c>
      <c r="Q3" s="276">
        <f>IFERROR(__xludf.DUMMYFUNCTION("""COMPUTED_VALUE"""),15.0)</f>
        <v>15</v>
      </c>
    </row>
    <row r="4">
      <c r="A4" s="400">
        <f>IFERROR(__xludf.DUMMYFUNCTION("""COMPUTED_VALUE"""),46114.0)</f>
        <v>46114</v>
      </c>
      <c r="B4" s="276" t="str">
        <f>IFERROR(__xludf.DUMMYFUNCTION("""COMPUTED_VALUE"""),"Amit  Parekh")</f>
        <v>Amit  Parekh</v>
      </c>
      <c r="C4" s="276"/>
      <c r="D4" s="276" t="str">
        <f>IFERROR(__xludf.DUMMYFUNCTION("""COMPUTED_VALUE"""),"Lost")</f>
        <v>Lost</v>
      </c>
      <c r="E4" s="276" t="str">
        <f>IFERROR(__xludf.DUMMYFUNCTION("""COMPUTED_VALUE"""),"Andheri ")</f>
        <v>Andheri </v>
      </c>
      <c r="F4" s="276" t="str">
        <f>IFERROR(__xludf.DUMMYFUNCTION("""COMPUTED_VALUE"""),"Meta")</f>
        <v>Meta</v>
      </c>
      <c r="G4" s="276" t="str">
        <f>IFERROR(__xludf.DUMMYFUNCTION("""COMPUTED_VALUE"""),"Shubham ")</f>
        <v>Shubham </v>
      </c>
      <c r="H4" s="276" t="str">
        <f>IFERROR(__xludf.DUMMYFUNCTION("""COMPUTED_VALUE"""),"04 April: Spoke for a followup he said the requirement is fullfilled 02 Arpil: He want 2-3 seats in Andheri I have shared the details of sakinaka ")</f>
        <v>04 April: Spoke for a followup he said the requirement is fullfilled 02 Arpil: He want 2-3 seats in Andheri I have shared the details of sakinaka </v>
      </c>
      <c r="J4" s="276" t="str">
        <f>IFERROR(__xludf.DUMMYFUNCTION("""COMPUTED_VALUE"""),"Andheri Sakinaka ")</f>
        <v>Andheri Sakinaka </v>
      </c>
      <c r="K4" s="276">
        <f>IFERROR(__xludf.DUMMYFUNCTION("""COMPUTED_VALUE"""),0.0)</f>
        <v>0</v>
      </c>
      <c r="M4" s="276" t="str">
        <f>IFERROR(__xludf.DUMMYFUNCTION("""COMPUTED_VALUE"""),"Lower Parel")</f>
        <v>Lower Parel</v>
      </c>
      <c r="N4" s="276">
        <f>IFERROR(__xludf.DUMMYFUNCTION("""COMPUTED_VALUE"""),117.0)</f>
        <v>117</v>
      </c>
      <c r="P4" s="276" t="str">
        <f>IFERROR(__xludf.DUMMYFUNCTION("""COMPUTED_VALUE"""),"Shravani")</f>
        <v>Shravani</v>
      </c>
      <c r="Q4" s="276">
        <f>IFERROR(__xludf.DUMMYFUNCTION("""COMPUTED_VALUE"""),185.0)</f>
        <v>185</v>
      </c>
    </row>
    <row r="5">
      <c r="A5" s="400">
        <f>IFERROR(__xludf.DUMMYFUNCTION("""COMPUTED_VALUE"""),46114.0)</f>
        <v>46114</v>
      </c>
      <c r="B5" s="276" t="str">
        <f>IFERROR(__xludf.DUMMYFUNCTION("""COMPUTED_VALUE"""),"Neetu  ")</f>
        <v>Neetu  </v>
      </c>
      <c r="C5" s="276" t="str">
        <f>IFERROR(__xludf.DUMMYFUNCTION("""COMPUTED_VALUE"""),"Neetara Advisory ")</f>
        <v>Neetara Advisory </v>
      </c>
      <c r="D5" s="276" t="str">
        <f>IFERROR(__xludf.DUMMYFUNCTION("""COMPUTED_VALUE"""),"Warm")</f>
        <v>Warm</v>
      </c>
      <c r="E5" s="276" t="str">
        <f>IFERROR(__xludf.DUMMYFUNCTION("""COMPUTED_VALUE"""),"Andheri ")</f>
        <v>Andheri </v>
      </c>
      <c r="F5" s="276" t="str">
        <f>IFERROR(__xludf.DUMMYFUNCTION("""COMPUTED_VALUE"""),"Meta")</f>
        <v>Meta</v>
      </c>
      <c r="G5" s="276" t="str">
        <f>IFERROR(__xludf.DUMMYFUNCTION("""COMPUTED_VALUE"""),"Shubham ")</f>
        <v>Shubham </v>
      </c>
      <c r="H5" s="276" t="str">
        <f>IFERROR(__xludf.DUMMYFUNCTION("""COMPUTED_VALUE"""),"02 April: She is the one Independent Director in Grow. I already Spoke to her and had a virtual call with her as well needs 3 seats but not in Sakinaka and not even lower parel ")</f>
        <v>02 April: She is the one Independent Director in Grow. I already Spoke to her and had a virtual call with her as well needs 3 seats but not in Sakinaka and not even lower parel </v>
      </c>
      <c r="J5" s="276" t="str">
        <f>IFERROR(__xludf.DUMMYFUNCTION("""COMPUTED_VALUE"""),"Andheri West")</f>
        <v>Andheri West</v>
      </c>
      <c r="K5" s="276">
        <f>IFERROR(__xludf.DUMMYFUNCTION("""COMPUTED_VALUE"""),0.0)</f>
        <v>0</v>
      </c>
      <c r="M5" s="276" t="str">
        <f>IFERROR(__xludf.DUMMYFUNCTION("""COMPUTED_VALUE"""),"Lower parel")</f>
        <v>Lower parel</v>
      </c>
      <c r="N5" s="276">
        <f>IFERROR(__xludf.DUMMYFUNCTION("""COMPUTED_VALUE"""),86.0)</f>
        <v>86</v>
      </c>
      <c r="P5" s="276" t="str">
        <f>IFERROR(__xludf.DUMMYFUNCTION("""COMPUTED_VALUE"""),"Shravani ")</f>
        <v>Shravani </v>
      </c>
      <c r="Q5" s="276">
        <f>IFERROR(__xludf.DUMMYFUNCTION("""COMPUTED_VALUE"""),3.0)</f>
        <v>3</v>
      </c>
    </row>
    <row r="6">
      <c r="A6" s="400">
        <f>IFERROR(__xludf.DUMMYFUNCTION("""COMPUTED_VALUE"""),46114.0)</f>
        <v>46114</v>
      </c>
      <c r="B6" s="276" t="str">
        <f>IFERROR(__xludf.DUMMYFUNCTION("""COMPUTED_VALUE"""),"Mustakem  Qureshi ")</f>
        <v>Mustakem  Qureshi </v>
      </c>
      <c r="C6" s="276" t="str">
        <f>IFERROR(__xludf.DUMMYFUNCTION("""COMPUTED_VALUE"""),"Rego")</f>
        <v>Rego</v>
      </c>
      <c r="D6" s="276" t="str">
        <f>IFERROR(__xludf.DUMMYFUNCTION("""COMPUTED_VALUE"""),"Warm")</f>
        <v>Warm</v>
      </c>
      <c r="E6" s="276" t="str">
        <f>IFERROR(__xludf.DUMMYFUNCTION("""COMPUTED_VALUE"""),"Andheri ")</f>
        <v>Andheri </v>
      </c>
      <c r="F6" s="276" t="str">
        <f>IFERROR(__xludf.DUMMYFUNCTION("""COMPUTED_VALUE"""),"Meta")</f>
        <v>Meta</v>
      </c>
      <c r="G6" s="276" t="str">
        <f>IFERROR(__xludf.DUMMYFUNCTION("""COMPUTED_VALUE"""),"Shubham ")</f>
        <v>Shubham </v>
      </c>
      <c r="H6" s="276" t="str">
        <f>IFERROR(__xludf.DUMMYFUNCTION("""COMPUTED_VALUE"""),"12 may: Spoke internally its not feasible for us to run 24/7 11 MAy: Spoke he wants 1 seat 24*7 give an update on the same 05 May: He visited the space and shortlisted the option he now want the qoute of 3 seats in which 1 seat would be 24/7 discuss this "&amp;"29 April: busy on call dropped a text 27 April: Ringing, dropped a text 23 April: He said he is not available today connect in next week 22 April: Spoke. He wants to see the unit today but Abhijeet is not available today so i have aksed the client to visi"&amp;"t tomorrow  20 April: Busy on call, Dropped a WP 17 April: Busy on call, dropped a text 15 April: He said he is travelling and has not checked the details will check and let us know 12 April: Spoke He wants 3-4 seats for 24/7 shared the details of both Sa"&amp;"kinaka and LP 09 April: Busy on call, Dropped a msg 06 April: Ringing, Dropped A Text 04 April: Ringing, Dropped A Text 02 April: Ringing, Dropped A Text ")</f>
        <v>12 may: Spoke internally its not feasible for us to run 24/7 11 MAy: Spoke he wants 1 seat 24*7 give an update on the same 05 May: He visited the space and shortlisted the option he now want the qoute of 3 seats in which 1 seat would be 24/7 discuss this 29 April: busy on call dropped a text 27 April: Ringing, dropped a text 23 April: He said he is not available today connect in next week 22 April: Spoke. He wants to see the unit today but Abhijeet is not available today so i have aksed the client to visit tomorrow  20 April: Busy on call, Dropped a WP 17 April: Busy on call, dropped a text 15 April: He said he is travelling and has not checked the details will check and let us know 12 April: Spoke He wants 3-4 seats for 24/7 shared the details of both Sakinaka and LP 09 April: Busy on call, Dropped a msg 06 April: Ringing, Dropped A Text 04 April: Ringing, Dropped A Text 02 April: Ringing, Dropped A Text </v>
      </c>
      <c r="J6" s="276" t="str">
        <f>IFERROR(__xludf.DUMMYFUNCTION("""COMPUTED_VALUE"""),"Andheri West ")</f>
        <v>Andheri West </v>
      </c>
      <c r="K6" s="276">
        <f>IFERROR(__xludf.DUMMYFUNCTION("""COMPUTED_VALUE"""),0.0)</f>
        <v>0</v>
      </c>
      <c r="M6" s="276" t="str">
        <f>IFERROR(__xludf.DUMMYFUNCTION("""COMPUTED_VALUE"""),"Noida")</f>
        <v>Noida</v>
      </c>
      <c r="N6" s="276">
        <f>IFERROR(__xludf.DUMMYFUNCTION("""COMPUTED_VALUE"""),15.0)</f>
        <v>15</v>
      </c>
      <c r="P6" s="276" t="str">
        <f>IFERROR(__xludf.DUMMYFUNCTION("""COMPUTED_VALUE"""),"Shravani &amp; Shubham")</f>
        <v>Shravani &amp; Shubham</v>
      </c>
      <c r="Q6" s="276">
        <f>IFERROR(__xludf.DUMMYFUNCTION("""COMPUTED_VALUE"""),1.0)</f>
        <v>1</v>
      </c>
    </row>
    <row r="7">
      <c r="A7" s="400">
        <f>IFERROR(__xludf.DUMMYFUNCTION("""COMPUTED_VALUE"""),46114.0)</f>
        <v>46114</v>
      </c>
      <c r="B7" s="276" t="str">
        <f>IFERROR(__xludf.DUMMYFUNCTION("""COMPUTED_VALUE"""),"Nishad P")</f>
        <v>Nishad P</v>
      </c>
      <c r="C7" s="276" t="str">
        <f>IFERROR(__xludf.DUMMYFUNCTION("""COMPUTED_VALUE"""),"Malabar Gold")</f>
        <v>Malabar Gold</v>
      </c>
      <c r="D7" s="276" t="str">
        <f>IFERROR(__xludf.DUMMYFUNCTION("""COMPUTED_VALUE"""),"Lost")</f>
        <v>Lost</v>
      </c>
      <c r="E7" s="276" t="str">
        <f>IFERROR(__xludf.DUMMYFUNCTION("""COMPUTED_VALUE"""),"Andheri ")</f>
        <v>Andheri </v>
      </c>
      <c r="F7" s="276" t="str">
        <f>IFERROR(__xludf.DUMMYFUNCTION("""COMPUTED_VALUE"""),"Meta")</f>
        <v>Meta</v>
      </c>
      <c r="G7" s="276" t="str">
        <f>IFERROR(__xludf.DUMMYFUNCTION("""COMPUTED_VALUE"""),"Shubham ")</f>
        <v>Shubham </v>
      </c>
      <c r="H7" s="276" t="str">
        <f>IFERROR(__xludf.DUMMYFUNCTION("""COMPUTED_VALUE"""),"11 April: Called for follow up he said he got one 09 April: Spoke he needs a residential space where he can fit in 20 seats, I tried pitching him Sakinaka but he said he wants a space which is on Aqua Line metro and his budget is on 50-60k 06 April: Ringi"&amp;"ng, Dropped A Text 04 April: Ringing, Dropped A Text 02 April: Ringing, Dropped A Text ")</f>
        <v>11 April: Called for follow up he said he got one 09 April: Spoke he needs a residential space where he can fit in 20 seats, I tried pitching him Sakinaka but he said he wants a space which is on Aqua Line metro and his budget is on 50-60k 06 April: Ringing, Dropped A Text 04 April: Ringing, Dropped A Text 02 April: Ringing, Dropped A Text </v>
      </c>
      <c r="J7" s="276" t="str">
        <f>IFERROR(__xludf.DUMMYFUNCTION("""COMPUTED_VALUE"""),"Andheri east ")</f>
        <v>Andheri east </v>
      </c>
      <c r="K7" s="276">
        <f>IFERROR(__xludf.DUMMYFUNCTION("""COMPUTED_VALUE"""),0.0)</f>
        <v>0</v>
      </c>
      <c r="P7" s="276" t="str">
        <f>IFERROR(__xludf.DUMMYFUNCTION("""COMPUTED_VALUE"""),"Shravni")</f>
        <v>Shravni</v>
      </c>
      <c r="Q7" s="276">
        <f>IFERROR(__xludf.DUMMYFUNCTION("""COMPUTED_VALUE"""),11.0)</f>
        <v>11</v>
      </c>
    </row>
    <row r="8">
      <c r="A8" s="400">
        <f>IFERROR(__xludf.DUMMYFUNCTION("""COMPUTED_VALUE"""),46114.0)</f>
        <v>46114</v>
      </c>
      <c r="B8" s="276" t="str">
        <f>IFERROR(__xludf.DUMMYFUNCTION("""COMPUTED_VALUE"""),"Prasad  Kapre")</f>
        <v>Prasad  Kapre</v>
      </c>
      <c r="C8" s="276" t="str">
        <f>IFERROR(__xludf.DUMMYFUNCTION("""COMPUTED_VALUE"""),"Blue Skies Business management Group")</f>
        <v>Blue Skies Business management Group</v>
      </c>
      <c r="D8" s="276" t="str">
        <f>IFERROR(__xludf.DUMMYFUNCTION("""COMPUTED_VALUE"""),"Lost")</f>
        <v>Lost</v>
      </c>
      <c r="E8" s="276" t="str">
        <f>IFERROR(__xludf.DUMMYFUNCTION("""COMPUTED_VALUE"""),"Andheri ")</f>
        <v>Andheri </v>
      </c>
      <c r="F8" s="276" t="str">
        <f>IFERROR(__xludf.DUMMYFUNCTION("""COMPUTED_VALUE"""),"Meta")</f>
        <v>Meta</v>
      </c>
      <c r="G8" s="276" t="str">
        <f>IFERROR(__xludf.DUMMYFUNCTION("""COMPUTED_VALUE"""),"Shubham ")</f>
        <v>Shubham </v>
      </c>
      <c r="H8" s="276" t="str">
        <f>IFERROR(__xludf.DUMMYFUNCTION("""COMPUTED_VALUE"""),"11 May: Ringing, Dropped a text he replied saying sakinaka doesn't work niether Lower parel works 06 May: Spoke he said he said Sakinaka won't work for him he needs something which is close to Andheri Railway station only not even LP 04 May: Ringin, Dropp"&amp;"ed a text 29 April: Ringing, dropped a text 27 April: Ringing, Dropped a Text 24 April: Ringing, to pitch Lower parel but didn't answer, dropped a text 22 April: Ringing, dropped a text 17 April: Spoke, he said doesn't want to go to Sakinaka 15 April: Rin"&amp;"ging, Dropped a Text 06 April: Spoke, he has a 2 seater requirement in Andheri east and doesn't wants to go to sakinaka Discuss this 04 April: Ringing, Dropped A Text 02 April: Ringing, Dropped A Text ")</f>
        <v>11 May: Ringing, Dropped a text he replied saying sakinaka doesn't work niether Lower parel works 06 May: Spoke he said he said Sakinaka won't work for him he needs something which is close to Andheri Railway station only not even LP 04 May: Ringin, Dropped a text 29 April: Ringing, dropped a text 27 April: Ringing, Dropped a Text 24 April: Ringing, to pitch Lower parel but didn't answer, dropped a text 22 April: Ringing, dropped a text 17 April: Spoke, he said doesn't want to go to Sakinaka 15 April: Ringing, Dropped a Text 06 April: Spoke, he has a 2 seater requirement in Andheri east and doesn't wants to go to sakinaka Discuss this 04 April: Ringing, Dropped A Text 02 April: Ringing, Dropped A Text </v>
      </c>
      <c r="J8" s="276" t="str">
        <f>IFERROR(__xludf.DUMMYFUNCTION("""COMPUTED_VALUE"""),"LinkedIn")</f>
        <v>LinkedIn</v>
      </c>
      <c r="K8" s="276">
        <f>IFERROR(__xludf.DUMMYFUNCTION("""COMPUTED_VALUE"""),52.0)</f>
        <v>52</v>
      </c>
      <c r="P8" s="276" t="str">
        <f>IFERROR(__xludf.DUMMYFUNCTION("""COMPUTED_VALUE"""),"Shravni / Saniel")</f>
        <v>Shravni / Saniel</v>
      </c>
      <c r="Q8" s="276">
        <f>IFERROR(__xludf.DUMMYFUNCTION("""COMPUTED_VALUE"""),1.0)</f>
        <v>1</v>
      </c>
    </row>
    <row r="9">
      <c r="A9" s="400">
        <f>IFERROR(__xludf.DUMMYFUNCTION("""COMPUTED_VALUE"""),46116.0)</f>
        <v>46116</v>
      </c>
      <c r="B9" s="276" t="str">
        <f>IFERROR(__xludf.DUMMYFUNCTION("""COMPUTED_VALUE"""),"Nishant Sutraave")</f>
        <v>Nishant Sutraave</v>
      </c>
      <c r="C9" s="276" t="str">
        <f>IFERROR(__xludf.DUMMYFUNCTION("""COMPUTED_VALUE"""),"Chevisance Shipping Pvt LTD ")</f>
        <v>Chevisance Shipping Pvt LTD </v>
      </c>
      <c r="D9" s="276" t="str">
        <f>IFERROR(__xludf.DUMMYFUNCTION("""COMPUTED_VALUE"""),"Lost")</f>
        <v>Lost</v>
      </c>
      <c r="E9" s="276" t="str">
        <f>IFERROR(__xludf.DUMMYFUNCTION("""COMPUTED_VALUE"""),"Andheri ")</f>
        <v>Andheri </v>
      </c>
      <c r="F9" s="276" t="str">
        <f>IFERROR(__xludf.DUMMYFUNCTION("""COMPUTED_VALUE"""),"Meta")</f>
        <v>Meta</v>
      </c>
      <c r="G9" s="276" t="str">
        <f>IFERROR(__xludf.DUMMYFUNCTION("""COMPUTED_VALUE"""),"Shubham ")</f>
        <v>Shubham </v>
      </c>
      <c r="H9" s="276" t="str">
        <f>IFERROR(__xludf.DUMMYFUNCTION("""COMPUTED_VALUE"""),"02 June:  Ringing, dropped a Voice note and a Text he replied saying the requirement is fullfilled 28 May: Ringing, dropped a Voice note and a Text 22 May: Ringing, dropped a text 14 May: Disconnected, Dropped a text will drop a mail 11 May: Ringing, Drop"&amp;"ped a text 06 May: Ringing, dropped a Text 04 May: Ringing, Dropped a text 29 April: Ringing, Dropped a voice note, and text on Wp 27 April: Busy on call Dropped a text 24 April: Disconnect my call, not replying on WP 22 April: Ringing, Dropped a voice no"&amp;"te and whatsapp 20 April: Ringing, dropped a voice note and WP 17 April: Ringing, dropped a Voice note and msg on WP 15 April: Switch off, Dropped a Text 13 April: Ringing, Dropped a voice note and MSG on WP 09 April: Busy on call dropped a Text 06 April:"&amp;" Busy on call, Dropped a text 04 April: Busy on call Dropped a Text")</f>
        <v>02 June:  Ringing, dropped a Voice note and a Text he replied saying the requirement is fullfilled 28 May: Ringing, dropped a Voice note and a Text 22 May: Ringing, dropped a text 14 May: Disconnected, Dropped a text will drop a mail 11 May: Ringing, Dropped a text 06 May: Ringing, dropped a Text 04 May: Ringing, Dropped a text 29 April: Ringing, Dropped a voice note, and text on Wp 27 April: Busy on call Dropped a text 24 April: Disconnect my call, not replying on WP 22 April: Ringing, Dropped a voice note and whatsapp 20 April: Ringing, dropped a voice note and WP 17 April: Ringing, dropped a Voice note and msg on WP 15 April: Switch off, Dropped a Text 13 April: Ringing, Dropped a voice note and MSG on WP 09 April: Busy on call dropped a Text 06 April: Busy on call, Dropped a text 04 April: Busy on call Dropped a Text</v>
      </c>
      <c r="J9" s="276" t="str">
        <f>IFERROR(__xludf.DUMMYFUNCTION("""COMPUTED_VALUE"""),"Lower Parel")</f>
        <v>Lower Parel</v>
      </c>
      <c r="K9" s="276">
        <f>IFERROR(__xludf.DUMMYFUNCTION("""COMPUTED_VALUE"""),6.0)</f>
        <v>6</v>
      </c>
      <c r="P9" s="276" t="str">
        <f>IFERROR(__xludf.DUMMYFUNCTION("""COMPUTED_VALUE"""),"Shubham ")</f>
        <v>Shubham </v>
      </c>
      <c r="Q9" s="276">
        <f>IFERROR(__xludf.DUMMYFUNCTION("""COMPUTED_VALUE"""),152.0)</f>
        <v>152</v>
      </c>
    </row>
    <row r="10">
      <c r="A10" s="400">
        <f>IFERROR(__xludf.DUMMYFUNCTION("""COMPUTED_VALUE"""),46116.0)</f>
        <v>46116</v>
      </c>
      <c r="B10" s="276" t="str">
        <f>IFERROR(__xludf.DUMMYFUNCTION("""COMPUTED_VALUE"""),"Monu  Yadav")</f>
        <v>Monu  Yadav</v>
      </c>
      <c r="C10" s="276" t="str">
        <f>IFERROR(__xludf.DUMMYFUNCTION("""COMPUTED_VALUE"""),"Viruccha ")</f>
        <v>Viruccha </v>
      </c>
      <c r="D10" s="276" t="str">
        <f>IFERROR(__xludf.DUMMYFUNCTION("""COMPUTED_VALUE"""),"Lost")</f>
        <v>Lost</v>
      </c>
      <c r="E10" s="276" t="str">
        <f>IFERROR(__xludf.DUMMYFUNCTION("""COMPUTED_VALUE"""),"Andheri ")</f>
        <v>Andheri </v>
      </c>
      <c r="F10" s="276" t="str">
        <f>IFERROR(__xludf.DUMMYFUNCTION("""COMPUTED_VALUE"""),"Meta")</f>
        <v>Meta</v>
      </c>
      <c r="G10" s="276" t="str">
        <f>IFERROR(__xludf.DUMMYFUNCTION("""COMPUTED_VALUE"""),"Shubham ")</f>
        <v>Shubham </v>
      </c>
      <c r="H10" s="276" t="str">
        <f>IFERROR(__xludf.DUMMYFUNCTION("""COMPUTED_VALUE"""),"14 April: He replied saying this is not in thier budget 13 April: Shared our Final offer over mail 08 April: His Budget is 1.5 lakhs for as is where is. shared counter offer over mail 07 April: We showed him the space and he has shared his commercials ove"&amp;"r mail and we have also shared our counter offer 06 April: Spoke he has shared the requirement its a BPO i have pitched sakinaka and he is visiting now 04 April: Ringing, Dropped A Text ")</f>
        <v>14 April: He replied saying this is not in thier budget 13 April: Shared our Final offer over mail 08 April: His Budget is 1.5 lakhs for as is where is. shared counter offer over mail 07 April: We showed him the space and he has shared his commercials over mail and we have also shared our counter offer 06 April: Spoke he has shared the requirement its a BPO i have pitched sakinaka and he is visiting now 04 April: Ringing, Dropped A Text </v>
      </c>
      <c r="J10" s="276" t="str">
        <f>IFERROR(__xludf.DUMMYFUNCTION("""COMPUTED_VALUE"""),"Lower parel")</f>
        <v>Lower parel</v>
      </c>
      <c r="K10" s="276">
        <f>IFERROR(__xludf.DUMMYFUNCTION("""COMPUTED_VALUE"""),100.0)</f>
        <v>100</v>
      </c>
    </row>
    <row r="11">
      <c r="A11" s="400">
        <f>IFERROR(__xludf.DUMMYFUNCTION("""COMPUTED_VALUE"""),46116.0)</f>
        <v>46116</v>
      </c>
      <c r="B11" s="276" t="str">
        <f>IFERROR(__xludf.DUMMYFUNCTION("""COMPUTED_VALUE"""),"Raman  Sharma ")</f>
        <v>Raman  Sharma </v>
      </c>
      <c r="C11" s="276" t="str">
        <f>IFERROR(__xludf.DUMMYFUNCTION("""COMPUTED_VALUE"""),"Dow ")</f>
        <v>Dow </v>
      </c>
      <c r="D11" s="276" t="str">
        <f>IFERROR(__xludf.DUMMYFUNCTION("""COMPUTED_VALUE"""),"Lost")</f>
        <v>Lost</v>
      </c>
      <c r="E11" s="276" t="str">
        <f>IFERROR(__xludf.DUMMYFUNCTION("""COMPUTED_VALUE"""),"Andheri ")</f>
        <v>Andheri </v>
      </c>
      <c r="F11" s="276" t="str">
        <f>IFERROR(__xludf.DUMMYFUNCTION("""COMPUTED_VALUE"""),"Meta")</f>
        <v>Meta</v>
      </c>
      <c r="G11" s="276" t="str">
        <f>IFERROR(__xludf.DUMMYFUNCTION("""COMPUTED_VALUE"""),"Shubham ")</f>
        <v>Shubham </v>
      </c>
      <c r="H11" s="276" t="str">
        <f>IFERROR(__xludf.DUMMYFUNCTION("""COMPUTED_VALUE"""),"07 April: Spoke he said he has not inquired and kept the call 06 April: Ringing, Dropped A Text  04 April: Ringing, Dropped A Text ")</f>
        <v>07 April: Spoke he said he has not inquired and kept the call 06 April: Ringing, Dropped A Text  04 April: Ringing, Dropped A Text </v>
      </c>
      <c r="J11" s="276" t="str">
        <f>IFERROR(__xludf.DUMMYFUNCTION("""COMPUTED_VALUE"""),"Meta")</f>
        <v>Meta</v>
      </c>
      <c r="K11" s="276">
        <f>IFERROR(__xludf.DUMMYFUNCTION("""COMPUTED_VALUE"""),137.0)</f>
        <v>137</v>
      </c>
    </row>
    <row r="12">
      <c r="A12" s="400">
        <f>IFERROR(__xludf.DUMMYFUNCTION("""COMPUTED_VALUE"""),46118.0)</f>
        <v>46118</v>
      </c>
      <c r="B12" s="276" t="str">
        <f>IFERROR(__xludf.DUMMYFUNCTION("""COMPUTED_VALUE"""),"Amol  Dalal ")</f>
        <v>Amol  Dalal </v>
      </c>
      <c r="C12" s="276" t="str">
        <f>IFERROR(__xludf.DUMMYFUNCTION("""COMPUTED_VALUE"""),"Startions")</f>
        <v>Startions</v>
      </c>
      <c r="D12" s="276" t="str">
        <f>IFERROR(__xludf.DUMMYFUNCTION("""COMPUTED_VALUE"""),"Not Responsive ")</f>
        <v>Not Responsive </v>
      </c>
      <c r="E12" s="276" t="str">
        <f>IFERROR(__xludf.DUMMYFUNCTION("""COMPUTED_VALUE"""),"Andheri ")</f>
        <v>Andheri </v>
      </c>
      <c r="F12" s="276" t="str">
        <f>IFERROR(__xludf.DUMMYFUNCTION("""COMPUTED_VALUE"""),"Meta")</f>
        <v>Meta</v>
      </c>
      <c r="G12" s="276" t="str">
        <f>IFERROR(__xludf.DUMMYFUNCTION("""COMPUTED_VALUE"""),"Shubham ")</f>
        <v>Shubham </v>
      </c>
      <c r="H12" s="276" t="str">
        <f>IFERROR(__xludf.DUMMYFUNCTION("""COMPUTED_VALUE"""),"04 June: Ringing, Dropped a text 02 June: Ringing, Dropped a text and voice note 28 May: Ringing, dropped a text 22 May: Ringing, Dropped a text 14 May: Ringing, dropped a text 11 May: Ringing, Dropped a text 06 May: Ringing, dropped a Text 04 May: Busy, "&amp;"on call dropped a text 29 April: Ringing, Dropped a text 27 April: Ringing, Dropped a text 24 April: Ringing, Dropped a text 22 April: Ringing, Dropped a text on WP 20 April: Ringing, Dropped a message 17 April: Spoke and I have pitched sakinaka again he "&amp;"has asked for images which I did share on WP 14 April: Ringing dropped a Text 12 April: Ringing, Dropped a text 10 April: Spoke he wants 1 seat on Western exp highway metro station only, I have shared the details of Sakinaka over WP 09 April: Ringing, Dro"&amp;"pped a text 07 Arpil: Ringing, dropped a Text 06 April: Ringing, Dropped A Text ")</f>
        <v>04 June: Ringing, Dropped a text 02 June: Ringing, Dropped a text and voice note 28 May: Ringing, dropped a text 22 May: Ringing, Dropped a text 14 May: Ringing, dropped a text 11 May: Ringing, Dropped a text 06 May: Ringing, dropped a Text 04 May: Busy, on call dropped a text 29 April: Ringing, Dropped a text 27 April: Ringing, Dropped a text 24 April: Ringing, Dropped a text 22 April: Ringing, Dropped a text on WP 20 April: Ringing, Dropped a message 17 April: Spoke and I have pitched sakinaka again he has asked for images which I did share on WP 14 April: Ringing dropped a Text 12 April: Ringing, Dropped a text 10 April: Spoke he wants 1 seat on Western exp highway metro station only, I have shared the details of Sakinaka over WP 09 April: Ringing, Dropped a text 07 Arpil: Ringing, dropped a Text 06 April: Ringing, Dropped A Text </v>
      </c>
    </row>
    <row r="13">
      <c r="A13" s="400">
        <f>IFERROR(__xludf.DUMMYFUNCTION("""COMPUTED_VALUE"""),46118.0)</f>
        <v>46118</v>
      </c>
      <c r="B13" s="276" t="str">
        <f>IFERROR(__xludf.DUMMYFUNCTION("""COMPUTED_VALUE"""),"Ashish  Kumari ")</f>
        <v>Ashish  Kumari </v>
      </c>
      <c r="C13" s="276" t="str">
        <f>IFERROR(__xludf.DUMMYFUNCTION("""COMPUTED_VALUE"""),"Vidya Rishi ")</f>
        <v>Vidya Rishi </v>
      </c>
      <c r="D13" s="276" t="str">
        <f>IFERROR(__xludf.DUMMYFUNCTION("""COMPUTED_VALUE"""),"Lost")</f>
        <v>Lost</v>
      </c>
      <c r="E13" s="276" t="str">
        <f>IFERROR(__xludf.DUMMYFUNCTION("""COMPUTED_VALUE"""),"Andheri ")</f>
        <v>Andheri </v>
      </c>
      <c r="F13" s="276" t="str">
        <f>IFERROR(__xludf.DUMMYFUNCTION("""COMPUTED_VALUE"""),"Meta")</f>
        <v>Meta</v>
      </c>
      <c r="G13" s="276" t="str">
        <f>IFERROR(__xludf.DUMMYFUNCTION("""COMPUTED_VALUE"""),"Shubham ")</f>
        <v>Shubham </v>
      </c>
      <c r="H13" s="276" t="str">
        <f>IFERROR(__xludf.DUMMYFUNCTION("""COMPUTED_VALUE"""),"06 April: He said not looking for space")</f>
        <v>06 April: He said not looking for space</v>
      </c>
    </row>
    <row r="14">
      <c r="A14" s="400">
        <f>IFERROR(__xludf.DUMMYFUNCTION("""COMPUTED_VALUE"""),46121.0)</f>
        <v>46121</v>
      </c>
      <c r="B14" s="276" t="str">
        <f>IFERROR(__xludf.DUMMYFUNCTION("""COMPUTED_VALUE"""),"Raveendra Shetty")</f>
        <v>Raveendra Shetty</v>
      </c>
      <c r="C14" s="276" t="str">
        <f>IFERROR(__xludf.DUMMYFUNCTION("""COMPUTED_VALUE"""),"Kelvin Air Conditioning &amp; Ventilation Pvt. Ltd.")</f>
        <v>Kelvin Air Conditioning &amp; Ventilation Pvt. Ltd.</v>
      </c>
      <c r="D14" s="276" t="str">
        <f>IFERROR(__xludf.DUMMYFUNCTION("""COMPUTED_VALUE"""),"Lost")</f>
        <v>Lost</v>
      </c>
      <c r="E14" s="276" t="str">
        <f>IFERROR(__xludf.DUMMYFUNCTION("""COMPUTED_VALUE"""),"Andheri ")</f>
        <v>Andheri </v>
      </c>
      <c r="F14" s="276" t="str">
        <f>IFERROR(__xludf.DUMMYFUNCTION("""COMPUTED_VALUE"""),"Meta")</f>
        <v>Meta</v>
      </c>
      <c r="G14" s="276" t="str">
        <f>IFERROR(__xludf.DUMMYFUNCTION("""COMPUTED_VALUE"""),"Shubham ")</f>
        <v>Shubham </v>
      </c>
      <c r="H14" s="276" t="str">
        <f>IFERROR(__xludf.DUMMYFUNCTION("""COMPUTED_VALUE""")," 10 April: Ringing, Dropped a Text he replied saying we got it.")</f>
        <v> 10 April: Ringing, Dropped a Text he replied saying we got it.</v>
      </c>
    </row>
    <row r="15">
      <c r="A15" s="400">
        <f>IFERROR(__xludf.DUMMYFUNCTION("""COMPUTED_VALUE"""),46121.0)</f>
        <v>46121</v>
      </c>
      <c r="B15" s="276" t="str">
        <f>IFERROR(__xludf.DUMMYFUNCTION("""COMPUTED_VALUE"""),"Rajan  Gupta")</f>
        <v>Rajan  Gupta</v>
      </c>
      <c r="C15" s="276" t="str">
        <f>IFERROR(__xludf.DUMMYFUNCTION("""COMPUTED_VALUE"""),"Not Disclosed")</f>
        <v>Not Disclosed</v>
      </c>
      <c r="D15" s="276" t="str">
        <f>IFERROR(__xludf.DUMMYFUNCTION("""COMPUTED_VALUE"""),"Lost")</f>
        <v>Lost</v>
      </c>
      <c r="E15" s="276" t="str">
        <f>IFERROR(__xludf.DUMMYFUNCTION("""COMPUTED_VALUE"""),"Andheri ")</f>
        <v>Andheri </v>
      </c>
      <c r="F15" s="276" t="str">
        <f>IFERROR(__xludf.DUMMYFUNCTION("""COMPUTED_VALUE"""),"Meta")</f>
        <v>Meta</v>
      </c>
      <c r="G15" s="276" t="str">
        <f>IFERROR(__xludf.DUMMYFUNCTION("""COMPUTED_VALUE"""),"Shubham ")</f>
        <v>Shubham </v>
      </c>
      <c r="H15" s="276" t="str">
        <f>IFERROR(__xludf.DUMMYFUNCTION("""COMPUTED_VALUE"""),"20 April: Spoke he said the requirement is fulfilled stop calling 17 Arpil: Ringing, Dropped a text 15 April: Ringing, Dropped a Text 13 April: Busy on call, Dropped a Text over WP 10 April: Ringing, dropped a Text")</f>
        <v>20 April: Spoke he said the requirement is fulfilled stop calling 17 Arpil: Ringing, Dropped a text 15 April: Ringing, Dropped a Text 13 April: Busy on call, Dropped a Text over WP 10 April: Ringing, dropped a Text</v>
      </c>
    </row>
    <row r="16">
      <c r="A16" s="400">
        <f>IFERROR(__xludf.DUMMYFUNCTION("""COMPUTED_VALUE"""),46121.0)</f>
        <v>46121</v>
      </c>
      <c r="B16" s="276" t="str">
        <f>IFERROR(__xludf.DUMMYFUNCTION("""COMPUTED_VALUE"""),"Raju Peyyala")</f>
        <v>Raju Peyyala</v>
      </c>
      <c r="C16" s="276" t="str">
        <f>IFERROR(__xludf.DUMMYFUNCTION("""COMPUTED_VALUE"""),"The Knowledge Company, India")</f>
        <v>The Knowledge Company, India</v>
      </c>
      <c r="D16" s="276" t="str">
        <f>IFERROR(__xludf.DUMMYFUNCTION("""COMPUTED_VALUE"""),"Lost")</f>
        <v>Lost</v>
      </c>
      <c r="E16" s="276" t="str">
        <f>IFERROR(__xludf.DUMMYFUNCTION("""COMPUTED_VALUE"""),"Andheri ")</f>
        <v>Andheri </v>
      </c>
      <c r="F16" s="276" t="str">
        <f>IFERROR(__xludf.DUMMYFUNCTION("""COMPUTED_VALUE"""),"Meta")</f>
        <v>Meta</v>
      </c>
      <c r="G16" s="276" t="str">
        <f>IFERROR(__xludf.DUMMYFUNCTION("""COMPUTED_VALUE"""),"Shubham ")</f>
        <v>Shubham </v>
      </c>
      <c r="H16" s="276" t="str">
        <f>IFERROR(__xludf.DUMMYFUNCTION("""COMPUTED_VALUE"""),"20 April: Spoke he has a lockin period in 91 Spring board in Vikroli thats the reason he is not looking for the space now 17 April: Spoke he is saying there is no revert from the management yet 15 April: Spoke he said the Decision maker is in Delhi and wi"&amp;"ll be back in Next week reach out then 13 April: He has shared the details forward to his management he said now its on Management when they want to visit 10 April: Spoke he needs 4 seater Cabin space, I have pitched Sakinaka ")</f>
        <v>20 April: Spoke he has a lockin period in 91 Spring board in Vikroli thats the reason he is not looking for the space now 17 April: Spoke he is saying there is no revert from the management yet 15 April: Spoke he said the Decision maker is in Delhi and will be back in Next week reach out then 13 April: He has shared the details forward to his management he said now its on Management when they want to visit 10 April: Spoke he needs 4 seater Cabin space, I have pitched Sakinaka </v>
      </c>
    </row>
    <row r="17">
      <c r="A17" s="400">
        <f>IFERROR(__xludf.DUMMYFUNCTION("""COMPUTED_VALUE"""),46121.0)</f>
        <v>46121</v>
      </c>
      <c r="B17" s="276" t="str">
        <f>IFERROR(__xludf.DUMMYFUNCTION("""COMPUTED_VALUE"""),"Aldrin Alphonso")</f>
        <v>Aldrin Alphonso</v>
      </c>
      <c r="C17" s="276" t="str">
        <f>IFERROR(__xludf.DUMMYFUNCTION("""COMPUTED_VALUE"""),"Future Wave Technologies")</f>
        <v>Future Wave Technologies</v>
      </c>
      <c r="D17" s="276" t="str">
        <f>IFERROR(__xludf.DUMMYFUNCTION("""COMPUTED_VALUE"""),"Not Responsive ")</f>
        <v>Not Responsive </v>
      </c>
      <c r="E17" s="276" t="str">
        <f>IFERROR(__xludf.DUMMYFUNCTION("""COMPUTED_VALUE"""),"Andheri ")</f>
        <v>Andheri </v>
      </c>
      <c r="F17" s="276" t="str">
        <f>IFERROR(__xludf.DUMMYFUNCTION("""COMPUTED_VALUE"""),"Meta")</f>
        <v>Meta</v>
      </c>
      <c r="G17" s="276" t="str">
        <f>IFERROR(__xludf.DUMMYFUNCTION("""COMPUTED_VALUE"""),"Shubham ")</f>
        <v>Shubham </v>
      </c>
      <c r="H17" s="276" t="str">
        <f>IFERROR(__xludf.DUMMYFUNCTION("""COMPUTED_VALUE"""),"11 June: Ringing, Dropped a text 08 June: Ringing, Dropped a text 04 June: Ringing, Dropped a text 02 June: Even shravani tried calling this lead but he didn't answer 28 May: ringing, Dropped a text 22 May: Ringing, dropped a text 14 May: Ringing, Dropped"&amp;" a text will drop a mail 11 May: Ringing, Dropped a text will drop a mail 06 May: Ringing, dropped a Text 04 May: Ringing, dropped a Text 29 April: Ringing, dropped a text 27 April: Ringing, Dropped a text 24 April: Ringing, Dropped a text 22 April: Ringi"&amp;"ng, Dropped a text 20 April: Ringing, dropped a text on WP 10 April: Spoke, He needs 1 hot seat, I have pitched Crescent and Lower parel Both and shared the details over WP")</f>
        <v>11 June: Ringing, Dropped a text 08 June: Ringing, Dropped a text 04 June: Ringing, Dropped a text 02 June: Even shravani tried calling this lead but he didn't answer 28 May: ringing, Dropped a text 22 May: Ringing, dropped a text 14 May: Ringing, Dropped a text will drop a mail 11 May: Ringing, Dropped a text will drop a mail 06 May: Ringing, dropped a Text 04 May: Ringing, dropped a Text 29 April: Ringing, dropped a text 27 April: Ringing, Dropped a text 24 April: Ringing, Dropped a text 22 April: Ringing, Dropped a text 20 April: Ringing, dropped a text on WP 10 April: Spoke, He needs 1 hot seat, I have pitched Crescent and Lower parel Both and shared the details over WP</v>
      </c>
    </row>
    <row r="18">
      <c r="A18" s="400">
        <f>IFERROR(__xludf.DUMMYFUNCTION("""COMPUTED_VALUE"""),46121.0)</f>
        <v>46121</v>
      </c>
      <c r="B18" s="276" t="str">
        <f>IFERROR(__xludf.DUMMYFUNCTION("""COMPUTED_VALUE"""),"Satyaprakash Pandey")</f>
        <v>Satyaprakash Pandey</v>
      </c>
      <c r="C18" s="276" t="str">
        <f>IFERROR(__xludf.DUMMYFUNCTION("""COMPUTED_VALUE"""),"Vemados Textiles LLP")</f>
        <v>Vemados Textiles LLP</v>
      </c>
      <c r="D18" s="276" t="str">
        <f>IFERROR(__xludf.DUMMYFUNCTION("""COMPUTED_VALUE"""),"Lost")</f>
        <v>Lost</v>
      </c>
      <c r="E18" s="276" t="str">
        <f>IFERROR(__xludf.DUMMYFUNCTION("""COMPUTED_VALUE"""),"Andheri ")</f>
        <v>Andheri </v>
      </c>
      <c r="F18" s="276" t="str">
        <f>IFERROR(__xludf.DUMMYFUNCTION("""COMPUTED_VALUE"""),"Meta")</f>
        <v>Meta</v>
      </c>
      <c r="G18" s="276" t="str">
        <f>IFERROR(__xludf.DUMMYFUNCTION("""COMPUTED_VALUE"""),"Shubham ")</f>
        <v>Shubham </v>
      </c>
      <c r="H18" s="276" t="str">
        <f>IFERROR(__xludf.DUMMYFUNCTION("""COMPUTED_VALUE"""),"23 April: Spoke He is saying I have not inquired and I dont want any space 22 April: Ringing, Dropped a text 20 April: Ringing, dropped a text 17 April: Ringing, dropped a text 15 April: Ringing, Dropped a text 13 April: Ringing Dropped a Text 10 April: R"&amp;"inging, Dropped a text ")</f>
        <v>23 April: Spoke He is saying I have not inquired and I dont want any space 22 April: Ringing, Dropped a text 20 April: Ringing, dropped a text 17 April: Ringing, dropped a text 15 April: Ringing, Dropped a text 13 April: Ringing Dropped a Text 10 April: Ringing, Dropped a text </v>
      </c>
    </row>
    <row r="19">
      <c r="A19" s="400">
        <f>IFERROR(__xludf.DUMMYFUNCTION("""COMPUTED_VALUE"""),46121.0)</f>
        <v>46121</v>
      </c>
      <c r="B19" s="276" t="str">
        <f>IFERROR(__xludf.DUMMYFUNCTION("""COMPUTED_VALUE"""),"Vilas Jagtap")</f>
        <v>Vilas Jagtap</v>
      </c>
      <c r="C19" s="276" t="str">
        <f>IFERROR(__xludf.DUMMYFUNCTION("""COMPUTED_VALUE"""),"Tata Aia life")</f>
        <v>Tata Aia life</v>
      </c>
      <c r="D19" s="276" t="str">
        <f>IFERROR(__xludf.DUMMYFUNCTION("""COMPUTED_VALUE"""),"Lost")</f>
        <v>Lost</v>
      </c>
      <c r="E19" s="276" t="str">
        <f>IFERROR(__xludf.DUMMYFUNCTION("""COMPUTED_VALUE"""),"Andheri ")</f>
        <v>Andheri </v>
      </c>
      <c r="F19" s="276" t="str">
        <f>IFERROR(__xludf.DUMMYFUNCTION("""COMPUTED_VALUE"""),"Meta")</f>
        <v>Meta</v>
      </c>
      <c r="G19" s="276" t="str">
        <f>IFERROR(__xludf.DUMMYFUNCTION("""COMPUTED_VALUE"""),"Shubham ")</f>
        <v>Shubham </v>
      </c>
      <c r="H19" s="276" t="str">
        <f>IFERROR(__xludf.DUMMYFUNCTION("""COMPUTED_VALUE"""),"10 April: He wants bookable conference room, I Tried Pitching him Lower parel but he wants in Andheri Chakala only.")</f>
        <v>10 April: He wants bookable conference room, I Tried Pitching him Lower parel but he wants in Andheri Chakala only.</v>
      </c>
    </row>
    <row r="20">
      <c r="A20" s="400">
        <f>IFERROR(__xludf.DUMMYFUNCTION("""COMPUTED_VALUE"""),46122.0)</f>
        <v>46122</v>
      </c>
      <c r="B20" s="276" t="str">
        <f>IFERROR(__xludf.DUMMYFUNCTION("""COMPUTED_VALUE"""),"Manoj  Saraf")</f>
        <v>Manoj  Saraf</v>
      </c>
      <c r="C20" s="276" t="str">
        <f>IFERROR(__xludf.DUMMYFUNCTION("""COMPUTED_VALUE"""),"MG Saraf &amp; Co")</f>
        <v>MG Saraf &amp; Co</v>
      </c>
      <c r="D20" s="276" t="str">
        <f>IFERROR(__xludf.DUMMYFUNCTION("""COMPUTED_VALUE"""),"Lost")</f>
        <v>Lost</v>
      </c>
      <c r="E20" s="276" t="str">
        <f>IFERROR(__xludf.DUMMYFUNCTION("""COMPUTED_VALUE"""),"Andheri ")</f>
        <v>Andheri </v>
      </c>
      <c r="F20" s="276" t="str">
        <f>IFERROR(__xludf.DUMMYFUNCTION("""COMPUTED_VALUE"""),"Meta")</f>
        <v>Meta</v>
      </c>
      <c r="G20" s="276" t="str">
        <f>IFERROR(__xludf.DUMMYFUNCTION("""COMPUTED_VALUE"""),"Shubham ")</f>
        <v>Shubham </v>
      </c>
      <c r="H20" s="276" t="str">
        <f>IFERROR(__xludf.DUMMYFUNCTION("""COMPUTED_VALUE"""),"23 April: Spoke he just said not interested and kept the call 22 April: Again disconnect the call, dropped a msg 20 April: Disconnected my call Dropped a text 17 April: Diconnected my call, dropped a text 15 April: Ringing, Dropped a text 13 April: Busy o"&amp;"n call Dropped a text 12 April: Ringing, Dropped a Text 10 April: Ringing, Dropped a Text")</f>
        <v>23 April: Spoke he just said not interested and kept the call 22 April: Again disconnect the call, dropped a msg 20 April: Disconnected my call Dropped a text 17 April: Diconnected my call, dropped a text 15 April: Ringing, Dropped a text 13 April: Busy on call Dropped a text 12 April: Ringing, Dropped a Text 10 April: Ringing, Dropped a Text</v>
      </c>
    </row>
    <row r="21">
      <c r="A21" s="400">
        <f>IFERROR(__xludf.DUMMYFUNCTION("""COMPUTED_VALUE"""),46122.0)</f>
        <v>46122</v>
      </c>
      <c r="B21" s="276" t="str">
        <f>IFERROR(__xludf.DUMMYFUNCTION("""COMPUTED_VALUE"""),"Tejas Tolia")</f>
        <v>Tejas Tolia</v>
      </c>
      <c r="C21" s="276" t="str">
        <f>IFERROR(__xludf.DUMMYFUNCTION("""COMPUTED_VALUE"""),"Tejas Enterprise/ Jayana Industries")</f>
        <v>Tejas Enterprise/ Jayana Industries</v>
      </c>
      <c r="D21" s="276" t="str">
        <f>IFERROR(__xludf.DUMMYFUNCTION("""COMPUTED_VALUE"""),"Hold")</f>
        <v>Hold</v>
      </c>
      <c r="E21" s="276" t="str">
        <f>IFERROR(__xludf.DUMMYFUNCTION("""COMPUTED_VALUE"""),"Andheri ")</f>
        <v>Andheri </v>
      </c>
      <c r="F21" s="276" t="str">
        <f>IFERROR(__xludf.DUMMYFUNCTION("""COMPUTED_VALUE"""),"Meta")</f>
        <v>Meta</v>
      </c>
      <c r="G21" s="276" t="str">
        <f>IFERROR(__xludf.DUMMYFUNCTION("""COMPUTED_VALUE"""),"Shubham ")</f>
        <v>Shubham </v>
      </c>
      <c r="H21" s="276" t="str">
        <f>IFERROR(__xludf.DUMMYFUNCTION("""COMPUTED_VALUE"""),"02 June: Ringing, dropped a text 28 May: Spoke he said busy call back later 09 May: Ringing, Dropped a text 28 April: Ringing, Dropped a text 15 April: Ringing, Dropped a text 04 April: Busy on call, dropped a text he called back saying the requirement is"&amp;" on hold its management decision 29 April: Ringing, dropped a text 27 April: Spoke he said was busy coundn't go through the details which was shared on WP will check by tomorrow and let us know 24 April: Ringing, Dropped a text 22 April: Spoke he said sak"&amp;"inaka wont work so then I pushed him on Landmark, he said will discuss and get back 20 April: Ringing, Droppped aText 17 April: Spoke, and tried pushing for lower parel and sakinaka both he said wont work discuss this12 Apirl: Requirement for 15 seats, 3 "&amp;"cabins, and 1 conference room. Pitched Crescent Solitaire but not interested in Sakinaka location, Preference is strictly between Western Express Highway to Chakala. Also checked for Lower Parel, but he declined Discuss this10 April: Busy on call, dropped"&amp;" a text ")</f>
        <v>02 June: Ringing, dropped a text 28 May: Spoke he said busy call back later 09 May: Ringing, Dropped a text 28 April: Ringing, Dropped a text 15 April: Ringing, Dropped a text 04 April: Busy on call, dropped a text he called back saying the requirement is on hold its management decision 29 April: Ringing, dropped a text 27 April: Spoke he said was busy coundn't go through the details which was shared on WP will check by tomorrow and let us know 24 April: Ringing, Dropped a text 22 April: Spoke he said sakinaka wont work so then I pushed him on Landmark, he said will discuss and get back 20 April: Ringing, Droppped aText 17 April: Spoke, and tried pushing for lower parel and sakinaka both he said wont work discuss this12 Apirl: Requirement for 15 seats, 3 cabins, and 1 conference room. Pitched Crescent Solitaire but not interested in Sakinaka location, Preference is strictly between Western Express Highway to Chakala. Also checked for Lower Parel, but he declined Discuss this10 April: Busy on call, dropped a text </v>
      </c>
    </row>
    <row r="22">
      <c r="A22" s="400">
        <f>IFERROR(__xludf.DUMMYFUNCTION("""COMPUTED_VALUE"""),46123.0)</f>
        <v>46123</v>
      </c>
      <c r="B22" s="276" t="str">
        <f>IFERROR(__xludf.DUMMYFUNCTION("""COMPUTED_VALUE"""),"Aprajita Krishna")</f>
        <v>Aprajita Krishna</v>
      </c>
      <c r="C22" s="276" t="str">
        <f>IFERROR(__xludf.DUMMYFUNCTION("""COMPUTED_VALUE"""),"Possessions - we turn dreams to realty")</f>
        <v>Possessions - we turn dreams to realty</v>
      </c>
      <c r="D22" s="276" t="str">
        <f>IFERROR(__xludf.DUMMYFUNCTION("""COMPUTED_VALUE"""),"Lost")</f>
        <v>Lost</v>
      </c>
      <c r="E22" s="276" t="str">
        <f>IFERROR(__xludf.DUMMYFUNCTION("""COMPUTED_VALUE"""),"Andheri ")</f>
        <v>Andheri </v>
      </c>
      <c r="F22" s="276" t="str">
        <f>IFERROR(__xludf.DUMMYFUNCTION("""COMPUTED_VALUE"""),"Meta")</f>
        <v>Meta</v>
      </c>
      <c r="G22" s="276" t="str">
        <f>IFERROR(__xludf.DUMMYFUNCTION("""COMPUTED_VALUE"""),"Shubham ")</f>
        <v>Shubham </v>
      </c>
      <c r="H22" s="276" t="str">
        <f>IFERROR(__xludf.DUMMYFUNCTION("""COMPUTED_VALUE"""),"13 April: Spoke she does't Wants space she is a broker operating from Chandivali, I have shared with her the details of all inventories in Mumbai12 April: Tried calling the lead but no response. Dropped a voice note and WhatsApp message.")</f>
        <v>13 April: Spoke she does't Wants space she is a broker operating from Chandivali, I have shared with her the details of all inventories in Mumbai12 April: Tried calling the lead but no response. Dropped a voice note and WhatsApp message.</v>
      </c>
    </row>
    <row r="23">
      <c r="A23" s="400">
        <f>IFERROR(__xludf.DUMMYFUNCTION("""COMPUTED_VALUE"""),46123.0)</f>
        <v>46123</v>
      </c>
      <c r="B23" s="276" t="str">
        <f>IFERROR(__xludf.DUMMYFUNCTION("""COMPUTED_VALUE"""),"Shashank Kukreja")</f>
        <v>Shashank Kukreja</v>
      </c>
      <c r="C23" s="276" t="str">
        <f>IFERROR(__xludf.DUMMYFUNCTION("""COMPUTED_VALUE"""),"EUROAPI")</f>
        <v>EUROAPI</v>
      </c>
      <c r="D23" s="276" t="str">
        <f>IFERROR(__xludf.DUMMYFUNCTION("""COMPUTED_VALUE"""),"Hold")</f>
        <v>Hold</v>
      </c>
      <c r="E23" s="276" t="str">
        <f>IFERROR(__xludf.DUMMYFUNCTION("""COMPUTED_VALUE"""),"Andheri ")</f>
        <v>Andheri </v>
      </c>
      <c r="F23" s="276" t="str">
        <f>IFERROR(__xludf.DUMMYFUNCTION("""COMPUTED_VALUE"""),"Meta")</f>
        <v>Meta</v>
      </c>
      <c r="G23" s="276" t="str">
        <f>IFERROR(__xludf.DUMMYFUNCTION("""COMPUTED_VALUE"""),"Shubham ")</f>
        <v>Shubham </v>
      </c>
      <c r="H23" s="276" t="str">
        <f>IFERROR(__xludf.DUMMYFUNCTION("""COMPUTED_VALUE"""),"12 May: He said its on hold till June mid  11 May: Spoke he said he will visit tomorrow 06 May: Ringing, Dropped a text 04 April: Ringing, Dropped a Text 30 April: Ringing, dropped a text 29 April: Reachout tomorrow. Dropped a text 22 April: Disconnected "&amp;"the call, dropped a text he replied saying he is travelling and will be back on 30th April, and will try to visit by 1st week of May 20 April: Disconnected the call, Dropped a Text 17 April: Diconnected the call, dropped a text he replied saying travellin"&amp;"g connect next week 15 April: Ringing, Dropped a voice note and text on WP 12 April: Requirement for a 2-seater cabin. Open to any location. Shared details for both Lower Parel and Sakinaka.")</f>
        <v>12 May: He said its on hold till June mid  11 May: Spoke he said he will visit tomorrow 06 May: Ringing, Dropped a text 04 April: Ringing, Dropped a Text 30 April: Ringing, dropped a text 29 April: Reachout tomorrow. Dropped a text 22 April: Disconnected the call, dropped a text he replied saying he is travelling and will be back on 30th April, and will try to visit by 1st week of May 20 April: Disconnected the call, Dropped a Text 17 April: Diconnected the call, dropped a text he replied saying travelling connect next week 15 April: Ringing, Dropped a voice note and text on WP 12 April: Requirement for a 2-seater cabin. Open to any location. Shared details for both Lower Parel and Sakinaka.</v>
      </c>
    </row>
    <row r="24">
      <c r="A24" s="400">
        <f>IFERROR(__xludf.DUMMYFUNCTION("""COMPUTED_VALUE"""),46124.0)</f>
        <v>46124</v>
      </c>
      <c r="B24" s="276" t="str">
        <f>IFERROR(__xludf.DUMMYFUNCTION("""COMPUTED_VALUE"""),"Mohit -")</f>
        <v>Mohit -</v>
      </c>
      <c r="C24" s="276" t="str">
        <f>IFERROR(__xludf.DUMMYFUNCTION("""COMPUTED_VALUE"""),"Quantae Technology")</f>
        <v>Quantae Technology</v>
      </c>
      <c r="D24" s="276" t="str">
        <f>IFERROR(__xludf.DUMMYFUNCTION("""COMPUTED_VALUE"""),"Cold")</f>
        <v>Cold</v>
      </c>
      <c r="E24" s="276" t="str">
        <f>IFERROR(__xludf.DUMMYFUNCTION("""COMPUTED_VALUE"""),"Andheri ")</f>
        <v>Andheri </v>
      </c>
      <c r="F24" s="276" t="str">
        <f>IFERROR(__xludf.DUMMYFUNCTION("""COMPUTED_VALUE"""),"Meta")</f>
        <v>Meta</v>
      </c>
      <c r="G24" s="276" t="str">
        <f>IFERROR(__xludf.DUMMYFUNCTION("""COMPUTED_VALUE"""),"Shubham ")</f>
        <v>Shubham </v>
      </c>
      <c r="H24" s="276" t="str">
        <f>IFERROR(__xludf.DUMMYFUNCTION("""COMPUTED_VALUE"""),"28 May: Spoke he wants 2 seats in Thane only discuss this 22 May:Ringing, dropped a text 14 May: Ringing, Dropped a text will drop a mail 11 May: Ringing, Dropped a text 06 May: Disconnected the call, Dropped a text 04 May: disconnected the call dropped a"&amp;" text 29 April: Ringing, Dropped a text he replied saying he wants 2 seats in Thane, I have treid pitching LP and sakinaka but he has not replied 27 April: Call disconnected, Dropped a Text 24 April: Ringing, Dropped a text 22 April: Call get disconnected"&amp;", Dropped a Text 20 April: Tried calling him but the he disconnected the call dropped a text 17 April :Tried calling, unable to connect 15 April: Disconnect my call, Dropped a text 13 April: Disconnect my call, I have dropped a msg")</f>
        <v>28 May: Spoke he wants 2 seats in Thane only discuss this 22 May:Ringing, dropped a text 14 May: Ringing, Dropped a text will drop a mail 11 May: Ringing, Dropped a text 06 May: Disconnected the call, Dropped a text 04 May: disconnected the call dropped a text 29 April: Ringing, Dropped a text he replied saying he wants 2 seats in Thane, I have treid pitching LP and sakinaka but he has not replied 27 April: Call disconnected, Dropped a Text 24 April: Ringing, Dropped a text 22 April: Call get disconnected, Dropped a Text 20 April: Tried calling him but the he disconnected the call dropped a text 17 April :Tried calling, unable to connect 15 April: Disconnect my call, Dropped a text 13 April: Disconnect my call, I have dropped a msg</v>
      </c>
    </row>
    <row r="25">
      <c r="A25" s="400">
        <f>IFERROR(__xludf.DUMMYFUNCTION("""COMPUTED_VALUE"""),46125.0)</f>
        <v>46125</v>
      </c>
      <c r="B25" s="276" t="str">
        <f>IFERROR(__xludf.DUMMYFUNCTION("""COMPUTED_VALUE"""),"Aparna Kakodkar Kavatkar")</f>
        <v>Aparna Kakodkar Kavatkar</v>
      </c>
      <c r="C25" s="276" t="str">
        <f>IFERROR(__xludf.DUMMYFUNCTION("""COMPUTED_VALUE"""),"Learn overseas")</f>
        <v>Learn overseas</v>
      </c>
      <c r="D25" s="276" t="str">
        <f>IFERROR(__xludf.DUMMYFUNCTION("""COMPUTED_VALUE"""),"Hold")</f>
        <v>Hold</v>
      </c>
      <c r="E25" s="276" t="str">
        <f>IFERROR(__xludf.DUMMYFUNCTION("""COMPUTED_VALUE"""),"Andheri ")</f>
        <v>Andheri </v>
      </c>
      <c r="F25" s="276" t="str">
        <f>IFERROR(__xludf.DUMMYFUNCTION("""COMPUTED_VALUE"""),"Meta")</f>
        <v>Meta</v>
      </c>
      <c r="G25" s="276" t="str">
        <f>IFERROR(__xludf.DUMMYFUNCTION("""COMPUTED_VALUE"""),"Shubham ")</f>
        <v>Shubham </v>
      </c>
      <c r="H25" s="276" t="str">
        <f>IFERROR(__xludf.DUMMYFUNCTION("""COMPUTED_VALUE"""),"25 May: Spoke, she said she can visit the landmark option on Wed afternoon discussed this internally we cannot take Landmark option for such small requirement \ 06 May: Ringing, dropped a Text spoke she said she is travelling touch base in end of the mont"&amp;"h 04 May: Busy on call Dropped a text 27 April: Ringing, Dropped a text she replied will take this ahead from May 24 April: Disconnected the call, Dropped a text 22 April: Spoke. She wants to Landmark option we will try to merge this requirement with Preb"&amp;"jyot or someone from the Lindedin 20 April: Spoke and tried pitching Landmark she open to see this but will have to discuss this internally 14 April: Spoke looking for 15 seats tried pitching Sakinaka but she doesn't want in Andheri She wants a space in V"&amp;"ileparle. Spoke to Mehul sir he is like we cannot do 15 seats in Vileparle, I am pushing for Sakinaka and Lower parel ")</f>
        <v>25 May: Spoke, she said she can visit the landmark option on Wed afternoon discussed this internally we cannot take Landmark option for such small requirement \ 06 May: Ringing, dropped a Text spoke she said she is travelling touch base in end of the month 04 May: Busy on call Dropped a text 27 April: Ringing, Dropped a text she replied will take this ahead from May 24 April: Disconnected the call, Dropped a text 22 April: Spoke. She wants to Landmark option we will try to merge this requirement with Prebjyot or someone from the Lindedin 20 April: Spoke and tried pitching Landmark she open to see this but will have to discuss this internally 14 April: Spoke looking for 15 seats tried pitching Sakinaka but she doesn't want in Andheri She wants a space in Vileparle. Spoke to Mehul sir he is like we cannot do 15 seats in Vileparle, I am pushing for Sakinaka and Lower parel </v>
      </c>
    </row>
    <row r="26">
      <c r="A26" s="400">
        <f>IFERROR(__xludf.DUMMYFUNCTION("""COMPUTED_VALUE"""),46128.0)</f>
        <v>46128</v>
      </c>
      <c r="B26" s="276" t="str">
        <f>IFERROR(__xludf.DUMMYFUNCTION("""COMPUTED_VALUE"""),"Ananda Deogharia")</f>
        <v>Ananda Deogharia</v>
      </c>
      <c r="C26" s="276" t="str">
        <f>IFERROR(__xludf.DUMMYFUNCTION("""COMPUTED_VALUE"""),"Amogh")</f>
        <v>Amogh</v>
      </c>
      <c r="D26" s="276" t="str">
        <f>IFERROR(__xludf.DUMMYFUNCTION("""COMPUTED_VALUE"""),"Lost")</f>
        <v>Lost</v>
      </c>
      <c r="E26" s="276" t="str">
        <f>IFERROR(__xludf.DUMMYFUNCTION("""COMPUTED_VALUE"""),"Andheri ")</f>
        <v>Andheri </v>
      </c>
      <c r="F26" s="276" t="str">
        <f>IFERROR(__xludf.DUMMYFUNCTION("""COMPUTED_VALUE"""),"Meta")</f>
        <v>Meta</v>
      </c>
      <c r="G26" s="276" t="str">
        <f>IFERROR(__xludf.DUMMYFUNCTION("""COMPUTED_VALUE"""),"Shubham ")</f>
        <v>Shubham </v>
      </c>
      <c r="H26" s="276" t="str">
        <f>IFERROR(__xludf.DUMMYFUNCTION("""COMPUTED_VALUE"""),"29 April: Ringing, Dropped a text he replied saying they have already have taken a space 27 April: Ringing, Dropped a text 24 April: Ringing, dropped a text on WP 22 April: He said he not the right person to talk to and will share Some POC Contact over WP"&amp;"  20 April: Disconnected my call 18 April: Ringing, Dropped a text 17 April: Ringing, Dropped a text on WP")</f>
        <v>29 April: Ringing, Dropped a text he replied saying they have already have taken a space 27 April: Ringing, Dropped a text 24 April: Ringing, dropped a text on WP 22 April: He said he not the right person to talk to and will share Some POC Contact over WP  20 April: Disconnected my call 18 April: Ringing, Dropped a text 17 April: Ringing, Dropped a text on WP</v>
      </c>
    </row>
    <row r="27">
      <c r="A27" s="400">
        <f>IFERROR(__xludf.DUMMYFUNCTION("""COMPUTED_VALUE"""),46129.0)</f>
        <v>46129</v>
      </c>
      <c r="B27" s="276" t="str">
        <f>IFERROR(__xludf.DUMMYFUNCTION("""COMPUTED_VALUE"""),"Hitesh  Mehra")</f>
        <v>Hitesh  Mehra</v>
      </c>
      <c r="C27" s="276" t="str">
        <f>IFERROR(__xludf.DUMMYFUNCTION("""COMPUTED_VALUE"""),"CIPL")</f>
        <v>CIPL</v>
      </c>
      <c r="D27" s="276" t="str">
        <f>IFERROR(__xludf.DUMMYFUNCTION("""COMPUTED_VALUE"""),"Lost")</f>
        <v>Lost</v>
      </c>
      <c r="E27" s="276" t="str">
        <f>IFERROR(__xludf.DUMMYFUNCTION("""COMPUTED_VALUE"""),"Andheri ")</f>
        <v>Andheri </v>
      </c>
      <c r="F27" s="276" t="str">
        <f>IFERROR(__xludf.DUMMYFUNCTION("""COMPUTED_VALUE"""),"Meta")</f>
        <v>Meta</v>
      </c>
      <c r="G27" s="276" t="str">
        <f>IFERROR(__xludf.DUMMYFUNCTION("""COMPUTED_VALUE"""),"Shubham ")</f>
        <v>Shubham </v>
      </c>
      <c r="H27" s="276" t="str">
        <f>IFERROR(__xludf.DUMMYFUNCTION("""COMPUTED_VALUE"""),"14 May: Spoke he said he didn't like the crescent solitaire space. 11 May: Out of service, dropped a text 06 May: Visited the sakinaka space Crescent Solitaire 04 May: Ringing, Dropped a Text 02 May: He said he will visit the space in next week 29 April: "&amp;"Ringing, Disconnected the call dropped a text 27 April: Ringing, Dropped a Text 24 April: He is saying he will confirm the visit allow me time till next week 22 April: Spoke. He said he is busy as of now and will call back in sometime 20 April: Spoke, He "&amp;"just have a concern on the parking he asked me to call in Second half 18 April: Riniging, Dropped a voice note and Text on WP, Spoke he needs 2 cabins and 5-7 w.s, I have suggested Sakinaka, He asked for the details over WP with price, he said he will dis"&amp;"cuss with his partner and then visit ")</f>
        <v>14 May: Spoke he said he didn't like the crescent solitaire space. 11 May: Out of service, dropped a text 06 May: Visited the sakinaka space Crescent Solitaire 04 May: Ringing, Dropped a Text 02 May: He said he will visit the space in next week 29 April: Ringing, Disconnected the call dropped a text 27 April: Ringing, Dropped a Text 24 April: He is saying he will confirm the visit allow me time till next week 22 April: Spoke. He said he is busy as of now and will call back in sometime 20 April: Spoke, He just have a concern on the parking he asked me to call in Second half 18 April: Riniging, Dropped a voice note and Text on WP, Spoke he needs 2 cabins and 5-7 w.s, I have suggested Sakinaka, He asked for the details over WP with price, he said he will discuss with his partner and then visit </v>
      </c>
    </row>
    <row r="28">
      <c r="A28" s="400">
        <f>IFERROR(__xludf.DUMMYFUNCTION("""COMPUTED_VALUE"""),46132.0)</f>
        <v>46132</v>
      </c>
      <c r="B28" s="276" t="str">
        <f>IFERROR(__xludf.DUMMYFUNCTION("""COMPUTED_VALUE"""),"Vikke Bhawnaani")</f>
        <v>Vikke Bhawnaani</v>
      </c>
      <c r="C28" s="276" t="str">
        <f>IFERROR(__xludf.DUMMYFUNCTION("""COMPUTED_VALUE"""),"Meddia Mmaffia")</f>
        <v>Meddia Mmaffia</v>
      </c>
      <c r="D28" s="276" t="str">
        <f>IFERROR(__xludf.DUMMYFUNCTION("""COMPUTED_VALUE"""),"Lost")</f>
        <v>Lost</v>
      </c>
      <c r="E28" s="276" t="str">
        <f>IFERROR(__xludf.DUMMYFUNCTION("""COMPUTED_VALUE"""),"Andheri ")</f>
        <v>Andheri </v>
      </c>
      <c r="F28" s="276" t="str">
        <f>IFERROR(__xludf.DUMMYFUNCTION("""COMPUTED_VALUE"""),"Meta")</f>
        <v>Meta</v>
      </c>
      <c r="G28" s="276" t="str">
        <f>IFERROR(__xludf.DUMMYFUNCTION("""COMPUTED_VALUE"""),"Shubham ")</f>
        <v>Shubham </v>
      </c>
      <c r="H28" s="276" t="str">
        <f>IFERROR(__xludf.DUMMYFUNCTION("""COMPUTED_VALUE"""),"20 April: Spoke. He wants a 10 seater conventional space only because he is currently paying Rs. 30k for 500 sqft.")</f>
        <v>20 April: Spoke. He wants a 10 seater conventional space only because he is currently paying Rs. 30k for 500 sqft.</v>
      </c>
    </row>
    <row r="29">
      <c r="A29" s="400">
        <f>IFERROR(__xludf.DUMMYFUNCTION("""COMPUTED_VALUE"""),46133.0)</f>
        <v>46133</v>
      </c>
      <c r="B29" s="276" t="str">
        <f>IFERROR(__xludf.DUMMYFUNCTION("""COMPUTED_VALUE"""),"Bharat Budhwani")</f>
        <v>Bharat Budhwani</v>
      </c>
      <c r="C29" s="276" t="str">
        <f>IFERROR(__xludf.DUMMYFUNCTION("""COMPUTED_VALUE"""),"CeraBuild")</f>
        <v>CeraBuild</v>
      </c>
      <c r="D29" s="276" t="str">
        <f>IFERROR(__xludf.DUMMYFUNCTION("""COMPUTED_VALUE"""),"Lost")</f>
        <v>Lost</v>
      </c>
      <c r="E29" s="276" t="str">
        <f>IFERROR(__xludf.DUMMYFUNCTION("""COMPUTED_VALUE"""),"Andheri ")</f>
        <v>Andheri </v>
      </c>
      <c r="F29" s="276" t="str">
        <f>IFERROR(__xludf.DUMMYFUNCTION("""COMPUTED_VALUE"""),"Meta")</f>
        <v>Meta</v>
      </c>
      <c r="G29" s="276" t="str">
        <f>IFERROR(__xludf.DUMMYFUNCTION("""COMPUTED_VALUE"""),"Shubham ")</f>
        <v>Shubham </v>
      </c>
      <c r="H29" s="276" t="str">
        <f>IFERROR(__xludf.DUMMYFUNCTION("""COMPUTED_VALUE"""),"07 May: He visited the space we showed them Tv9 space as he wants a space on the ground floor only because they want a space only for storage purpose, but they didn't like the space and its way beyond their budget they have a udget of 100rs psq.ft on carp"&amp;"et 06 May: Ringing, dropped a Text 04 May: Spoke he said his patner is travelling and will let me know before he comes for visit 29 April: He said he will visit on saturday 1st half 27 April: Spoke he said he will try to visit in LP by end of this week, h"&amp;"e said he will confirm by Thursday each out then 24 April: Disconnected my call, dropped a text 22 April: Took a FUP He said shared the details ahead with my patner allow me some days he will try to visit with him and finalize 21 April: Spoke. He is looki"&amp;"ng for 1-5 seat to start with in Andheri. I have pitched sakinaka. Also he needs a space to display setup for which he needs ground floor, for this I have pitched Ground floor Lower parel. Shared both the details.")</f>
        <v>07 May: He visited the space we showed them Tv9 space as he wants a space on the ground floor only because they want a space only for storage purpose, but they didn't like the space and its way beyond their budget they have a udget of 100rs psq.ft on carpet 06 May: Ringing, dropped a Text 04 May: Spoke he said his patner is travelling and will let me know before he comes for visit 29 April: He said he will visit on saturday 1st half 27 April: Spoke he said he will try to visit in LP by end of this week, he said he will confirm by Thursday each out then 24 April: Disconnected my call, dropped a text 22 April: Took a FUP He said shared the details ahead with my patner allow me some days he will try to visit with him and finalize 21 April: Spoke. He is looking for 1-5 seat to start with in Andheri. I have pitched sakinaka. Also he needs a space to display setup for which he needs ground floor, for this I have pitched Ground floor Lower parel. Shared both the details.</v>
      </c>
    </row>
    <row r="30">
      <c r="A30" s="400">
        <f>IFERROR(__xludf.DUMMYFUNCTION("""COMPUTED_VALUE"""),46133.0)</f>
        <v>46133</v>
      </c>
      <c r="B30" s="276" t="str">
        <f>IFERROR(__xludf.DUMMYFUNCTION("""COMPUTED_VALUE"""),"Rajan  Jadhav")</f>
        <v>Rajan  Jadhav</v>
      </c>
      <c r="C30" s="276" t="str">
        <f>IFERROR(__xludf.DUMMYFUNCTION("""COMPUTED_VALUE"""),"Answers One World")</f>
        <v>Answers One World</v>
      </c>
      <c r="D30" s="276" t="str">
        <f>IFERROR(__xludf.DUMMYFUNCTION("""COMPUTED_VALUE"""),"Not Responsive ")</f>
        <v>Not Responsive </v>
      </c>
      <c r="E30" s="276" t="str">
        <f>IFERROR(__xludf.DUMMYFUNCTION("""COMPUTED_VALUE"""),"Andheri ")</f>
        <v>Andheri </v>
      </c>
      <c r="F30" s="276" t="str">
        <f>IFERROR(__xludf.DUMMYFUNCTION("""COMPUTED_VALUE"""),"Meta")</f>
        <v>Meta</v>
      </c>
      <c r="G30" s="276" t="str">
        <f>IFERROR(__xludf.DUMMYFUNCTION("""COMPUTED_VALUE"""),"Shubham ")</f>
        <v>Shubham </v>
      </c>
      <c r="H30" s="276" t="str">
        <f>IFERROR(__xludf.DUMMYFUNCTION("""COMPUTED_VALUE"""),"11 June: Ringing, Dropped a text 08 June: Ringing, Dropped a text 04 June: Ringing, Dropped a text 02 June: Ringing, Dropped a text 28 May: Ringing, Droppped a text 22 May: Ringing, dropped a text 14 May: Switch off, dropped a text 11 May: Ringing, Droppe"&amp;"d a text drop a mail  06 May: Ringing, dropped a text 04 May: Ringing, Dropped a text 29 April: Ringing, Dropped a text 27 April: Ringing, Dropped a text 24 April: Ringing, Dropped a Text 22 April: Ringing, Dropped a Text. We got this lead in our earlier "&amp;"Meta Campaign as well then also he never answered one phone call or nor TEXTS")</f>
        <v>11 June: Ringing, Dropped a text 08 June: Ringing, Dropped a text 04 June: Ringing, Dropped a text 02 June: Ringing, Dropped a text 28 May: Ringing, Droppped a text 22 May: Ringing, dropped a text 14 May: Switch off, dropped a text 11 May: Ringing, Dropped a text drop a mail  06 May: Ringing, dropped a text 04 May: Ringing, Dropped a text 29 April: Ringing, Dropped a text 27 April: Ringing, Dropped a text 24 April: Ringing, Dropped a Text 22 April: Ringing, Dropped a Text. We got this lead in our earlier Meta Campaign as well then also he never answered one phone call or nor TEXTS</v>
      </c>
    </row>
    <row r="31">
      <c r="A31" s="400">
        <f>IFERROR(__xludf.DUMMYFUNCTION("""COMPUTED_VALUE"""),46133.0)</f>
        <v>46133</v>
      </c>
      <c r="B31" s="276" t="str">
        <f>IFERROR(__xludf.DUMMYFUNCTION("""COMPUTED_VALUE"""),"Hiranmaya Biswas")</f>
        <v>Hiranmaya Biswas</v>
      </c>
      <c r="C31" s="276" t="str">
        <f>IFERROR(__xludf.DUMMYFUNCTION("""COMPUTED_VALUE"""),"PravasX Private Limited")</f>
        <v>PravasX Private Limited</v>
      </c>
      <c r="D31" s="276" t="str">
        <f>IFERROR(__xludf.DUMMYFUNCTION("""COMPUTED_VALUE"""),"Hold")</f>
        <v>Hold</v>
      </c>
      <c r="E31" s="276" t="str">
        <f>IFERROR(__xludf.DUMMYFUNCTION("""COMPUTED_VALUE"""),"Andheri ")</f>
        <v>Andheri </v>
      </c>
      <c r="F31" s="276" t="str">
        <f>IFERROR(__xludf.DUMMYFUNCTION("""COMPUTED_VALUE"""),"Meta")</f>
        <v>Meta</v>
      </c>
      <c r="G31" s="276" t="str">
        <f>IFERROR(__xludf.DUMMYFUNCTION("""COMPUTED_VALUE"""),"Shubham ")</f>
        <v>Shubham </v>
      </c>
      <c r="H31" s="276" t="str">
        <f>IFERROR(__xludf.DUMMYFUNCTION("""COMPUTED_VALUE"""),"02 June: Ringing, Dropped a text 28 May: Ringing, Dropped a text 22 May: Ringing, dropped a text 24 April: Ringing, dropped a msg he replied saying that he is travelling and will be back in Mid of May 22 April: Spoke. This is a pure startup they dont have"&amp;" any office and are looking for a space for 20 PAX. I have shared the Sakinaka Details with him on WP ")</f>
        <v>02 June: Ringing, Dropped a text 28 May: Ringing, Dropped a text 22 May: Ringing, dropped a text 24 April: Ringing, dropped a msg he replied saying that he is travelling and will be back in Mid of May 22 April: Spoke. This is a pure startup they dont have any office and are looking for a space for 20 PAX. I have shared the Sakinaka Details with him on WP </v>
      </c>
    </row>
    <row r="32">
      <c r="A32" s="400">
        <f>IFERROR(__xludf.DUMMYFUNCTION("""COMPUTED_VALUE"""),46135.0)</f>
        <v>46135</v>
      </c>
      <c r="B32" s="276" t="str">
        <f>IFERROR(__xludf.DUMMYFUNCTION("""COMPUTED_VALUE"""),"Tushar Adivarekar")</f>
        <v>Tushar Adivarekar</v>
      </c>
      <c r="C32" s="276" t="str">
        <f>IFERROR(__xludf.DUMMYFUNCTION("""COMPUTED_VALUE"""),"Tandon Information Solutions")</f>
        <v>Tandon Information Solutions</v>
      </c>
      <c r="D32" s="276" t="str">
        <f>IFERROR(__xludf.DUMMYFUNCTION("""COMPUTED_VALUE"""),"Lost")</f>
        <v>Lost</v>
      </c>
      <c r="E32" s="276" t="str">
        <f>IFERROR(__xludf.DUMMYFUNCTION("""COMPUTED_VALUE"""),"Andheri ")</f>
        <v>Andheri </v>
      </c>
      <c r="F32" s="276" t="str">
        <f>IFERROR(__xludf.DUMMYFUNCTION("""COMPUTED_VALUE"""),"Meta")</f>
        <v>Meta</v>
      </c>
      <c r="G32" s="276" t="str">
        <f>IFERROR(__xludf.DUMMYFUNCTION("""COMPUTED_VALUE"""),"Shubham ")</f>
        <v>Shubham </v>
      </c>
      <c r="H32" s="276" t="str">
        <f>IFERROR(__xludf.DUMMYFUNCTION("""COMPUTED_VALUE"""),"23 April: He wants a space on outright. I pushed for Fitouts but he is saying I have an internal team for the same and kept the call ")</f>
        <v>23 April: He wants a space on outright. I pushed for Fitouts but he is saying I have an internal team for the same and kept the call </v>
      </c>
    </row>
    <row r="33">
      <c r="A33" s="400">
        <f>IFERROR(__xludf.DUMMYFUNCTION("""COMPUTED_VALUE"""),46135.0)</f>
        <v>46135</v>
      </c>
      <c r="B33" s="276" t="str">
        <f>IFERROR(__xludf.DUMMYFUNCTION("""COMPUTED_VALUE"""),"Samit Jham")</f>
        <v>Samit Jham</v>
      </c>
      <c r="C33" s="276" t="str">
        <f>IFERROR(__xludf.DUMMYFUNCTION("""COMPUTED_VALUE"""),"VRS")</f>
        <v>VRS</v>
      </c>
      <c r="D33" s="276" t="str">
        <f>IFERROR(__xludf.DUMMYFUNCTION("""COMPUTED_VALUE"""),"Not Responsive ")</f>
        <v>Not Responsive </v>
      </c>
      <c r="E33" s="276" t="str">
        <f>IFERROR(__xludf.DUMMYFUNCTION("""COMPUTED_VALUE"""),"Andheri ")</f>
        <v>Andheri </v>
      </c>
      <c r="F33" s="276" t="str">
        <f>IFERROR(__xludf.DUMMYFUNCTION("""COMPUTED_VALUE"""),"Meta")</f>
        <v>Meta</v>
      </c>
      <c r="G33" s="276" t="str">
        <f>IFERROR(__xludf.DUMMYFUNCTION("""COMPUTED_VALUE"""),"Shubham ")</f>
        <v>Shubham </v>
      </c>
      <c r="H33" s="276" t="str">
        <f>IFERROR(__xludf.DUMMYFUNCTION("""COMPUTED_VALUE"""),"11 June: Ringing, Dropped a text 08 June: Ringing, Dropped a text 04 June: Ringing, Dropped a text 02 June: Ringing, Dropped a text 28 May: Ringing, Dropped a text 22 May: Ringing, Dropped a text 14 May: Ringing, dropped a Text 11 May: Ringing, Dropped a "&amp;"text 06 May: Disconnected my call dropped a text 04 May: He texted me in the morning saying that he wont be able to make it today and will text the next time when can he come  29 April: Ringing Dropped a text he replied saying he will visit on Monday 27 A"&amp;"pril: Ringing, Dropped a text 24 April: Ringing, Dropped Text 23 April: Spoke he wants 1-2 seats to start with and doesn't want to go to Sakinaka, I have pitched and shared the details of LP ")</f>
        <v>11 June: Ringing, Dropped a text 08 June: Ringing, Dropped a text 04 June: Ringing, Dropped a text 02 June: Ringing, Dropped a text 28 May: Ringing, Dropped a text 22 May: Ringing, Dropped a text 14 May: Ringing, dropped a Text 11 May: Ringing, Dropped a text 06 May: Disconnected my call dropped a text 04 May: He texted me in the morning saying that he wont be able to make it today and will text the next time when can he come  29 April: Ringing Dropped a text he replied saying he will visit on Monday 27 April: Ringing, Dropped a text 24 April: Ringing, Dropped Text 23 April: Spoke he wants 1-2 seats to start with and doesn't want to go to Sakinaka, I have pitched and shared the details of LP </v>
      </c>
    </row>
    <row r="34">
      <c r="A34" s="401">
        <f>IFERROR(__xludf.DUMMYFUNCTION("""COMPUTED_VALUE"""),46147.0)</f>
        <v>46147</v>
      </c>
      <c r="B34" s="276" t="str">
        <f>IFERROR(__xludf.DUMMYFUNCTION("""COMPUTED_VALUE"""),"Rajendra  Chopra ")</f>
        <v>Rajendra  Chopra </v>
      </c>
      <c r="C34" s="276" t="str">
        <f>IFERROR(__xludf.DUMMYFUNCTION("""COMPUTED_VALUE"""),"Kesariya Builders and Developers ")</f>
        <v>Kesariya Builders and Developers </v>
      </c>
      <c r="D34" s="276" t="str">
        <f>IFERROR(__xludf.DUMMYFUNCTION("""COMPUTED_VALUE"""),"Not Responsive ")</f>
        <v>Not Responsive </v>
      </c>
      <c r="E34" s="276" t="str">
        <f>IFERROR(__xludf.DUMMYFUNCTION("""COMPUTED_VALUE"""),"Andheri ")</f>
        <v>Andheri </v>
      </c>
      <c r="F34" s="276" t="str">
        <f>IFERROR(__xludf.DUMMYFUNCTION("""COMPUTED_VALUE"""),"Meta")</f>
        <v>Meta</v>
      </c>
      <c r="G34" s="276" t="str">
        <f>IFERROR(__xludf.DUMMYFUNCTION("""COMPUTED_VALUE"""),"Shubham ")</f>
        <v>Shubham </v>
      </c>
      <c r="H34" s="276" t="str">
        <f>IFERROR(__xludf.DUMMYFUNCTION("""COMPUTED_VALUE"""),"11 June: Ringing, Dropped a text 08 June: Ringing, Dropped a text 04 June: Ringing, Dropped a text 02 June: Ringing, dropped a Voice note and Text on Whatsapp 28 May: Ringing, Dropped a text and voice note 22 May: Ringing, Dropped a text 14 May: disconnec"&amp;"ted my call dropped a text 11 May: Ringing, Dropped a text will drop a mail 08 May: Ringing, Dropped a text 06 May: Ringing, Dropped a text 05 May: Ringing, dropped a text and voice note")</f>
        <v>11 June: Ringing, Dropped a text 08 June: Ringing, Dropped a text 04 June: Ringing, Dropped a text 02 June: Ringing, dropped a Voice note and Text on Whatsapp 28 May: Ringing, Dropped a text and voice note 22 May: Ringing, Dropped a text 14 May: disconnected my call dropped a text 11 May: Ringing, Dropped a text will drop a mail 08 May: Ringing, Dropped a text 06 May: Ringing, Dropped a text 05 May: Ringing, dropped a text and voice note</v>
      </c>
    </row>
    <row r="35">
      <c r="A35" s="401">
        <f>IFERROR(__xludf.DUMMYFUNCTION("""COMPUTED_VALUE"""),46147.0)</f>
        <v>46147</v>
      </c>
      <c r="B35" s="276" t="str">
        <f>IFERROR(__xludf.DUMMYFUNCTION("""COMPUTED_VALUE"""),"Anant  Jain")</f>
        <v>Anant  Jain</v>
      </c>
      <c r="C35" s="276" t="str">
        <f>IFERROR(__xludf.DUMMYFUNCTION("""COMPUTED_VALUE"""),"Proactive In &amp; out advertising ")</f>
        <v>Proactive In &amp; out advertising </v>
      </c>
      <c r="D35" s="276" t="str">
        <f>IFERROR(__xludf.DUMMYFUNCTION("""COMPUTED_VALUE"""),"Lost")</f>
        <v>Lost</v>
      </c>
      <c r="E35" s="276" t="str">
        <f>IFERROR(__xludf.DUMMYFUNCTION("""COMPUTED_VALUE"""),"Andheri ")</f>
        <v>Andheri </v>
      </c>
      <c r="F35" s="276" t="str">
        <f>IFERROR(__xludf.DUMMYFUNCTION("""COMPUTED_VALUE"""),"Meta")</f>
        <v>Meta</v>
      </c>
      <c r="G35" s="276" t="str">
        <f>IFERROR(__xludf.DUMMYFUNCTION("""COMPUTED_VALUE"""),"Shubham ")</f>
        <v>Shubham </v>
      </c>
      <c r="H35" s="276" t="str">
        <f>IFERROR(__xludf.DUMMYFUNCTION("""COMPUTED_VALUE"""),"07 May: Spoke he said he wants a space on outright in Malad and boriwali areas only, he said if he needs help from us in fitouts he will reachout 06 May: Spoke, he said he is busy in a meeting call tomorrow 05 May: Saniel sir Said he will take this us and"&amp;" the call got disconnected. ")</f>
        <v>07 May: Spoke he said he wants a space on outright in Malad and boriwali areas only, he said if he needs help from us in fitouts he will reachout 06 May: Spoke, he said he is busy in a meeting call tomorrow 05 May: Saniel sir Said he will take this us and the call got disconnected. </v>
      </c>
    </row>
    <row r="36">
      <c r="A36" s="402">
        <f>IFERROR(__xludf.DUMMYFUNCTION("""COMPUTED_VALUE"""),46163.0)</f>
        <v>46163</v>
      </c>
      <c r="B36" s="276" t="str">
        <f>IFERROR(__xludf.DUMMYFUNCTION("""COMPUTED_VALUE"""),"Kanhaiya  Lal Rathi")</f>
        <v>Kanhaiya  Lal Rathi</v>
      </c>
      <c r="C36" s="276" t="str">
        <f>IFERROR(__xludf.DUMMYFUNCTION("""COMPUTED_VALUE"""),"K K A B &amp; CO LLP")</f>
        <v>K K A B &amp; CO LLP</v>
      </c>
      <c r="D36" s="276" t="str">
        <f>IFERROR(__xludf.DUMMYFUNCTION("""COMPUTED_VALUE"""),"Lost")</f>
        <v>Lost</v>
      </c>
      <c r="E36" s="276" t="str">
        <f>IFERROR(__xludf.DUMMYFUNCTION("""COMPUTED_VALUE"""),"Andheri ")</f>
        <v>Andheri </v>
      </c>
      <c r="F36" s="276" t="str">
        <f>IFERROR(__xludf.DUMMYFUNCTION("""COMPUTED_VALUE"""),"Meta")</f>
        <v>Meta</v>
      </c>
      <c r="G36" s="276" t="str">
        <f>IFERROR(__xludf.DUMMYFUNCTION("""COMPUTED_VALUE"""),"Shubham ")</f>
        <v>Shubham </v>
      </c>
      <c r="H36" s="276" t="str">
        <f>IFERROR(__xludf.DUMMYFUNCTION("""COMPUTED_VALUE"""),"22 May: Tried calling again for a follow up they declined the call saying no they dont want any property option thy are exteding their own space only 21 May: They are looking for 15 w.s and 1 cabin. I have pitched Sakinaka and shared images over WhatsApp "&amp;"he said he will check with the team and come back.")</f>
        <v>22 May: Tried calling again for a follow up they declined the call saying no they dont want any property option thy are exteding their own space only 21 May: They are looking for 15 w.s and 1 cabin. I have pitched Sakinaka and shared images over WhatsApp he said he will check with the team and come back.</v>
      </c>
    </row>
    <row r="37">
      <c r="A37" s="402">
        <f>IFERROR(__xludf.DUMMYFUNCTION("""COMPUTED_VALUE"""),46163.0)</f>
        <v>46163</v>
      </c>
      <c r="B37" s="276" t="str">
        <f>IFERROR(__xludf.DUMMYFUNCTION("""COMPUTED_VALUE"""),"Arijit  Mondal ")</f>
        <v>Arijit  Mondal </v>
      </c>
      <c r="C37" s="276" t="str">
        <f>IFERROR(__xludf.DUMMYFUNCTION("""COMPUTED_VALUE"""),"Mindshaft Media Pvt Ltd")</f>
        <v>Mindshaft Media Pvt Ltd</v>
      </c>
      <c r="D37" s="276" t="str">
        <f>IFERROR(__xludf.DUMMYFUNCTION("""COMPUTED_VALUE"""),"Warm")</f>
        <v>Warm</v>
      </c>
      <c r="E37" s="276" t="str">
        <f>IFERROR(__xludf.DUMMYFUNCTION("""COMPUTED_VALUE"""),"Andheri ")</f>
        <v>Andheri </v>
      </c>
      <c r="F37" s="276" t="str">
        <f>IFERROR(__xludf.DUMMYFUNCTION("""COMPUTED_VALUE"""),"Meta")</f>
        <v>Meta</v>
      </c>
      <c r="G37" s="276" t="str">
        <f>IFERROR(__xludf.DUMMYFUNCTION("""COMPUTED_VALUE"""),"Shubham ")</f>
        <v>Shubham </v>
      </c>
      <c r="H37" s="276" t="str">
        <f>IFERROR(__xludf.DUMMYFUNCTION("""COMPUTED_VALUE"""),"09 June: Ringing, Dropped a text 06 June: Ringing, dropped a text 04 June: Called twice Ringing, Dropped a text 02 June: He is busy with workload and couldn't step out, he said he will try to visit in next two days 28 May: Spoke, he said unfortunetly coun"&amp;"d't visit because of work and will let me know next when he will visit 25 May: Spoke, he said he will Sakinaka on Wednesday 21 May: They are currently based in Goregaon and they want a space near Goregaon and Andheri. I have pitched Crescent solitaire and"&amp;" shared images over WhatsApp")</f>
        <v>09 June: Ringing, Dropped a text 06 June: Ringing, dropped a text 04 June: Called twice Ringing, Dropped a text 02 June: He is busy with workload and couldn't step out, he said he will try to visit in next two days 28 May: Spoke, he said unfortunetly cound't visit because of work and will let me know next when he will visit 25 May: Spoke, he said he will Sakinaka on Wednesday 21 May: They are currently based in Goregaon and they want a space near Goregaon and Andheri. I have pitched Crescent solitaire and shared images over WhatsApp</v>
      </c>
    </row>
    <row r="38">
      <c r="A38" s="402">
        <f>IFERROR(__xludf.DUMMYFUNCTION("""COMPUTED_VALUE"""),46164.0)</f>
        <v>46164</v>
      </c>
      <c r="B38" s="276" t="str">
        <f>IFERROR(__xludf.DUMMYFUNCTION("""COMPUTED_VALUE"""),"Sanjiv Singh ")</f>
        <v>Sanjiv Singh </v>
      </c>
      <c r="C38" s="276" t="str">
        <f>IFERROR(__xludf.DUMMYFUNCTION("""COMPUTED_VALUE"""),"Alanna ")</f>
        <v>Alanna </v>
      </c>
      <c r="D38" s="276" t="str">
        <f>IFERROR(__xludf.DUMMYFUNCTION("""COMPUTED_VALUE"""),"Lost")</f>
        <v>Lost</v>
      </c>
      <c r="E38" s="276" t="str">
        <f>IFERROR(__xludf.DUMMYFUNCTION("""COMPUTED_VALUE"""),"Andheri ")</f>
        <v>Andheri </v>
      </c>
      <c r="F38" s="276" t="str">
        <f>IFERROR(__xludf.DUMMYFUNCTION("""COMPUTED_VALUE"""),"Meta")</f>
        <v>Meta</v>
      </c>
      <c r="G38" s="276" t="str">
        <f>IFERROR(__xludf.DUMMYFUNCTION("""COMPUTED_VALUE"""),"Shubham ")</f>
        <v>Shubham </v>
      </c>
      <c r="H38" s="276" t="str">
        <f>IFERROR(__xludf.DUMMYFUNCTION("""COMPUTED_VALUE"""),"22 May: Spoke. He said wants a space on outright only and kept the call. ")</f>
        <v>22 May: Spoke. He said wants a space on outright only and kept the call. </v>
      </c>
    </row>
    <row r="39">
      <c r="A39" s="402">
        <f>IFERROR(__xludf.DUMMYFUNCTION("""COMPUTED_VALUE"""),46164.0)</f>
        <v>46164</v>
      </c>
      <c r="B39" s="276" t="str">
        <f>IFERROR(__xludf.DUMMYFUNCTION("""COMPUTED_VALUE"""),"Ravi  Malviya ")</f>
        <v>Ravi  Malviya </v>
      </c>
      <c r="C39" s="276" t="str">
        <f>IFERROR(__xludf.DUMMYFUNCTION("""COMPUTED_VALUE"""),"Gl security private Limited ")</f>
        <v>Gl security private Limited </v>
      </c>
      <c r="D39" s="276" t="str">
        <f>IFERROR(__xludf.DUMMYFUNCTION("""COMPUTED_VALUE"""),"Hold")</f>
        <v>Hold</v>
      </c>
      <c r="E39" s="276" t="str">
        <f>IFERROR(__xludf.DUMMYFUNCTION("""COMPUTED_VALUE"""),"Andheri ")</f>
        <v>Andheri </v>
      </c>
      <c r="F39" s="276" t="str">
        <f>IFERROR(__xludf.DUMMYFUNCTION("""COMPUTED_VALUE"""),"Meta")</f>
        <v>Meta</v>
      </c>
      <c r="G39" s="276" t="str">
        <f>IFERROR(__xludf.DUMMYFUNCTION("""COMPUTED_VALUE"""),"Shubham ")</f>
        <v>Shubham </v>
      </c>
      <c r="H39" s="276" t="str">
        <f>IFERROR(__xludf.DUMMYFUNCTION("""COMPUTED_VALUE"""),"25 May: Spoke they want 22 w.s, 1 cabin and pantry only in Chakala specifically in Kanakia Wallstreet. Discussed this internally we cannot take an inventory for such small requirement 22 May: This Lead came in the earlier Campaign as well, they were not o"&amp;"kay with sharing the space at that time. Tried calling him he didn't answer my call. I will drop a Text.")</f>
        <v>25 May: Spoke they want 22 w.s, 1 cabin and pantry only in Chakala specifically in Kanakia Wallstreet. Discussed this internally we cannot take an inventory for such small requirement 22 May: This Lead came in the earlier Campaign as well, they were not okay with sharing the space at that time. Tried calling him he didn't answer my call. I will drop a Text.</v>
      </c>
    </row>
    <row r="40">
      <c r="A40" s="402">
        <f>IFERROR(__xludf.DUMMYFUNCTION("""COMPUTED_VALUE"""),46164.0)</f>
        <v>46164</v>
      </c>
      <c r="B40" s="276" t="str">
        <f>IFERROR(__xludf.DUMMYFUNCTION("""COMPUTED_VALUE"""),"Dev  Chand ")</f>
        <v>Dev  Chand </v>
      </c>
      <c r="C40" s="276" t="str">
        <f>IFERROR(__xludf.DUMMYFUNCTION("""COMPUTED_VALUE"""),"Abiriva life science pvt ltd")</f>
        <v>Abiriva life science pvt ltd</v>
      </c>
      <c r="D40" s="276" t="str">
        <f>IFERROR(__xludf.DUMMYFUNCTION("""COMPUTED_VALUE"""),"Cold")</f>
        <v>Cold</v>
      </c>
      <c r="E40" s="276" t="str">
        <f>IFERROR(__xludf.DUMMYFUNCTION("""COMPUTED_VALUE"""),"Andheri ")</f>
        <v>Andheri </v>
      </c>
      <c r="F40" s="276" t="str">
        <f>IFERROR(__xludf.DUMMYFUNCTION("""COMPUTED_VALUE"""),"Meta")</f>
        <v>Meta</v>
      </c>
      <c r="G40" s="276" t="str">
        <f>IFERROR(__xludf.DUMMYFUNCTION("""COMPUTED_VALUE"""),"Shubham ")</f>
        <v>Shubham </v>
      </c>
      <c r="H40" s="276" t="str">
        <f>IFERROR(__xludf.DUMMYFUNCTION("""COMPUTED_VALUE"""),"11 June: Ringing, Dropped a text 08 June: Ringing, Dropped a text 04 June: Busy on call, dropped a text 02 June: Ringing, Dropped a text 28 May: Ringing, Dropped a text 25 May: Ringing, dropped a text 22 May: This lead also came earlier.Spoke he said he w"&amp;"ill call back in sometime")</f>
        <v>11 June: Ringing, Dropped a text 08 June: Ringing, Dropped a text 04 June: Busy on call, dropped a text 02 June: Ringing, Dropped a text 28 May: Ringing, Dropped a text 25 May: Ringing, dropped a text 22 May: This lead also came earlier.Spoke he said he will call back in sometime</v>
      </c>
    </row>
    <row r="41">
      <c r="A41" s="402">
        <f>IFERROR(__xludf.DUMMYFUNCTION("""COMPUTED_VALUE"""),46165.0)</f>
        <v>46165</v>
      </c>
      <c r="B41" s="276" t="str">
        <f>IFERROR(__xludf.DUMMYFUNCTION("""COMPUTED_VALUE"""),"Mohammed  Anis ")</f>
        <v>Mohammed  Anis </v>
      </c>
      <c r="C41" s="276" t="str">
        <f>IFERROR(__xludf.DUMMYFUNCTION("""COMPUTED_VALUE"""),"American Ratings ")</f>
        <v>American Ratings </v>
      </c>
      <c r="D41" s="276" t="str">
        <f>IFERROR(__xludf.DUMMYFUNCTION("""COMPUTED_VALUE"""),"Cold")</f>
        <v>Cold</v>
      </c>
      <c r="E41" s="276" t="str">
        <f>IFERROR(__xludf.DUMMYFUNCTION("""COMPUTED_VALUE"""),"Andheri ")</f>
        <v>Andheri </v>
      </c>
      <c r="F41" s="276" t="str">
        <f>IFERROR(__xludf.DUMMYFUNCTION("""COMPUTED_VALUE"""),"Meta")</f>
        <v>Meta</v>
      </c>
      <c r="G41" s="276" t="str">
        <f>IFERROR(__xludf.DUMMYFUNCTION("""COMPUTED_VALUE"""),"Shubham ")</f>
        <v>Shubham </v>
      </c>
      <c r="H41" s="276" t="str">
        <f>IFERROR(__xludf.DUMMYFUNCTION("""COMPUTED_VALUE"""),"09 June: Ringing, dropped a text 06 June: Ringing, Dropped a Text 04 June: Ringing, Dropped a text 02 June: Ringing, droppe a text 28 May: Ringing, Dropped a text 25 May: Spoke he said Lower parel wont work for him, I am pushing for a visit in Sakinaka 23"&amp;" May: Spoke. 5 w.s enclosed only. 24/7 operational. Provided details of Sakinaka and Lower parel both")</f>
        <v>09 June: Ringing, dropped a text 06 June: Ringing, Dropped a Text 04 June: Ringing, Dropped a text 02 June: Ringing, droppe a text 28 May: Ringing, Dropped a text 25 May: Spoke he said Lower parel wont work for him, I am pushing for a visit in Sakinaka 23 May: Spoke. 5 w.s enclosed only. 24/7 operational. Provided details of Sakinaka and Lower parel both</v>
      </c>
    </row>
    <row r="42">
      <c r="A42" s="402">
        <f>IFERROR(__xludf.DUMMYFUNCTION("""COMPUTED_VALUE"""),46168.0)</f>
        <v>46168</v>
      </c>
      <c r="B42" s="276" t="str">
        <f>IFERROR(__xludf.DUMMYFUNCTION("""COMPUTED_VALUE"""),"Neeraj  Narain ")</f>
        <v>Neeraj  Narain </v>
      </c>
      <c r="C42" s="276" t="str">
        <f>IFERROR(__xludf.DUMMYFUNCTION("""COMPUTED_VALUE"""),"esampark tech solutions Pvt Ltd")</f>
        <v>esampark tech solutions Pvt Ltd</v>
      </c>
      <c r="D42" s="276" t="str">
        <f>IFERROR(__xludf.DUMMYFUNCTION("""COMPUTED_VALUE"""),"Not Responsive ")</f>
        <v>Not Responsive </v>
      </c>
      <c r="E42" s="276" t="str">
        <f>IFERROR(__xludf.DUMMYFUNCTION("""COMPUTED_VALUE"""),"Andheri ")</f>
        <v>Andheri </v>
      </c>
      <c r="F42" s="276" t="str">
        <f>IFERROR(__xludf.DUMMYFUNCTION("""COMPUTED_VALUE"""),"Meta")</f>
        <v>Meta</v>
      </c>
      <c r="G42" s="276" t="str">
        <f>IFERROR(__xludf.DUMMYFUNCTION("""COMPUTED_VALUE"""),"Shubham ")</f>
        <v>Shubham </v>
      </c>
      <c r="H42" s="276" t="str">
        <f>IFERROR(__xludf.DUMMYFUNCTION("""COMPUTED_VALUE"""),"11 June: Ringing, dropped a text 08 June: Ringing, Dropped a text 04 June: Ringing, Dropped a text 02 June: Ringing, dropped a text 28 May: Disconnected the call, drop a text 26 May: Spoke to Neeraj he said he put an inquiry to understand our offering I g"&amp;"ave them a clear understanding of our offering. He said share the company profile as they are just exploring they dont have a clear requirement right now and he is travelling he said we will touch base later. Shared mail ")</f>
        <v>11 June: Ringing, dropped a text 08 June: Ringing, Dropped a text 04 June: Ringing, Dropped a text 02 June: Ringing, dropped a text 28 May: Disconnected the call, drop a text 26 May: Spoke to Neeraj he said he put an inquiry to understand our offering I gave them a clear understanding of our offering. He said share the company profile as they are just exploring they dont have a clear requirement right now and he is travelling he said we will touch base later. Shared mail </v>
      </c>
    </row>
    <row r="43">
      <c r="A43" s="402">
        <f>IFERROR(__xludf.DUMMYFUNCTION("""COMPUTED_VALUE"""),46168.0)</f>
        <v>46168</v>
      </c>
      <c r="B43" s="276" t="str">
        <f>IFERROR(__xludf.DUMMYFUNCTION("""COMPUTED_VALUE"""),"Vinod  Jawade ")</f>
        <v>Vinod  Jawade </v>
      </c>
      <c r="C43" s="403" t="str">
        <f>IFERROR(__xludf.DUMMYFUNCTION("""COMPUTED_VALUE"""),"checkpt.com")</f>
        <v>checkpt.com</v>
      </c>
      <c r="D43" s="276" t="str">
        <f>IFERROR(__xludf.DUMMYFUNCTION("""COMPUTED_VALUE"""),"Cold")</f>
        <v>Cold</v>
      </c>
      <c r="E43" s="276" t="str">
        <f>IFERROR(__xludf.DUMMYFUNCTION("""COMPUTED_VALUE"""),"Andheri ")</f>
        <v>Andheri </v>
      </c>
      <c r="F43" s="276" t="str">
        <f>IFERROR(__xludf.DUMMYFUNCTION("""COMPUTED_VALUE"""),"Meta")</f>
        <v>Meta</v>
      </c>
      <c r="G43" s="276" t="str">
        <f>IFERROR(__xludf.DUMMYFUNCTION("""COMPUTED_VALUE"""),"Shubham ")</f>
        <v>Shubham </v>
      </c>
      <c r="H43" s="276" t="str">
        <f>IFERROR(__xludf.DUMMYFUNCTION("""COMPUTED_VALUE"""),"28 May: Spoke today as well he wants a A grade Structure only in Chakala and WEH for 15 w.s discuss this 26 May: Spoke he said he needs a space in Chakala only for 15 w.s don't want to sakinaka and lp. Discuss this ")</f>
        <v>28 May: Spoke today as well he wants a A grade Structure only in Chakala and WEH for 15 w.s discuss this 26 May: Spoke he said he needs a space in Chakala only for 15 w.s don't want to sakinaka and lp. Discuss this </v>
      </c>
    </row>
    <row r="44">
      <c r="A44" s="402">
        <f>IFERROR(__xludf.DUMMYFUNCTION("""COMPUTED_VALUE"""),46168.0)</f>
        <v>46168</v>
      </c>
      <c r="B44" s="276" t="str">
        <f>IFERROR(__xludf.DUMMYFUNCTION("""COMPUTED_VALUE"""),"Radhakrishna  Iyer")</f>
        <v>Radhakrishna  Iyer</v>
      </c>
      <c r="C44" s="276" t="str">
        <f>IFERROR(__xludf.DUMMYFUNCTION("""COMPUTED_VALUE"""),"Shree Ram Welfare Society high School ")</f>
        <v>Shree Ram Welfare Society high School </v>
      </c>
      <c r="D44" s="276" t="str">
        <f>IFERROR(__xludf.DUMMYFUNCTION("""COMPUTED_VALUE"""),"Warm")</f>
        <v>Warm</v>
      </c>
      <c r="E44" s="276" t="str">
        <f>IFERROR(__xludf.DUMMYFUNCTION("""COMPUTED_VALUE"""),"Andheri ")</f>
        <v>Andheri </v>
      </c>
      <c r="F44" s="276" t="str">
        <f>IFERROR(__xludf.DUMMYFUNCTION("""COMPUTED_VALUE"""),"Meta")</f>
        <v>Meta</v>
      </c>
      <c r="G44" s="276" t="str">
        <f>IFERROR(__xludf.DUMMYFUNCTION("""COMPUTED_VALUE"""),"Shubham ")</f>
        <v>Shubham </v>
      </c>
      <c r="H44" s="276" t="str">
        <f>IFERROR(__xludf.DUMMYFUNCTION("""COMPUTED_VALUE"""),"09 June: Spoke he said he is in a meeting and will call back  06 June: Ringing, dropped a text04 June: Spoke he wants 1 cabin pitched Sakinaka, shared the details over whatsapp, its a NGO which started few months ago")</f>
        <v>09 June: Spoke he said he is in a meeting and will call back  06 June: Ringing, dropped a text04 June: Spoke he wants 1 cabin pitched Sakinaka, shared the details over whatsapp, its a NGO which started few months ago</v>
      </c>
    </row>
    <row r="45">
      <c r="A45" s="401">
        <f>IFERROR(__xludf.DUMMYFUNCTION("""COMPUTED_VALUE"""),46178.0)</f>
        <v>46178</v>
      </c>
      <c r="B45" s="276" t="str">
        <f>IFERROR(__xludf.DUMMYFUNCTION("""COMPUTED_VALUE"""),"Sejal  Shesth ")</f>
        <v>Sejal  Shesth </v>
      </c>
      <c r="C45" s="276" t="str">
        <f>IFERROR(__xludf.DUMMYFUNCTION("""COMPUTED_VALUE"""),"Marc")</f>
        <v>Marc</v>
      </c>
      <c r="D45" s="276" t="str">
        <f>IFERROR(__xludf.DUMMYFUNCTION("""COMPUTED_VALUE"""),"Hot")</f>
        <v>Hot</v>
      </c>
      <c r="E45" s="276" t="str">
        <f>IFERROR(__xludf.DUMMYFUNCTION("""COMPUTED_VALUE"""),"Andheri ")</f>
        <v>Andheri </v>
      </c>
      <c r="F45" s="276" t="str">
        <f>IFERROR(__xludf.DUMMYFUNCTION("""COMPUTED_VALUE"""),"Meta")</f>
        <v>Meta</v>
      </c>
      <c r="G45" s="276" t="str">
        <f>IFERROR(__xludf.DUMMYFUNCTION("""COMPUTED_VALUE"""),"Shubham ")</f>
        <v>Shubham </v>
      </c>
      <c r="H45" s="276" t="str">
        <f>IFERROR(__xludf.DUMMYFUNCTION("""COMPUTED_VALUE"""),"08 June: Ringing Dropped a text she replied saying, Please share inventory you have in andheri she is looking for 5 w.s only. I have shared the details with her, she will send her Admin to visit  05 June: Ringing, Dropped a text ")</f>
        <v>08 June: Ringing Dropped a text she replied saying, Please share inventory you have in andheri she is looking for 5 w.s only. I have shared the details with her, she will send her Admin to visit  05 June: Ringing, Dropped a text </v>
      </c>
    </row>
    <row r="46">
      <c r="A46" s="401">
        <f>IFERROR(__xludf.DUMMYFUNCTION("""COMPUTED_VALUE"""),46178.0)</f>
        <v>46178</v>
      </c>
      <c r="B46" s="276" t="str">
        <f>IFERROR(__xludf.DUMMYFUNCTION("""COMPUTED_VALUE"""),"Hiren  Mehta ")</f>
        <v>Hiren  Mehta </v>
      </c>
      <c r="C46" s="276" t="str">
        <f>IFERROR(__xludf.DUMMYFUNCTION("""COMPUTED_VALUE"""),"Unified Data tech ")</f>
        <v>Unified Data tech </v>
      </c>
      <c r="D46" s="276" t="str">
        <f>IFERROR(__xludf.DUMMYFUNCTION("""COMPUTED_VALUE"""),"Cold")</f>
        <v>Cold</v>
      </c>
      <c r="E46" s="276" t="str">
        <f>IFERROR(__xludf.DUMMYFUNCTION("""COMPUTED_VALUE"""),"Andheri ")</f>
        <v>Andheri </v>
      </c>
      <c r="F46" s="276" t="str">
        <f>IFERROR(__xludf.DUMMYFUNCTION("""COMPUTED_VALUE"""),"Meta")</f>
        <v>Meta</v>
      </c>
      <c r="G46" s="276" t="str">
        <f>IFERROR(__xludf.DUMMYFUNCTION("""COMPUTED_VALUE"""),"Shubham ")</f>
        <v>Shubham </v>
      </c>
      <c r="H46" s="276" t="str">
        <f>IFERROR(__xludf.DUMMYFUNCTION("""COMPUTED_VALUE"""),"08 June: Spoke, He said he has a requirement looking for space in Lower parel, Worli, Dadar, Nariman Point, BKC, Kalina and Andheri, But their budget is very strict cannot go beyond 5-6 lakhs and wants entire MOS Model only discussed this with the team we"&amp;" don't have inventory as such 05 June: Ringing, Dropped a text and voice note")</f>
        <v>08 June: Spoke, He said he has a requirement looking for space in Lower parel, Worli, Dadar, Nariman Point, BKC, Kalina and Andheri, But their budget is very strict cannot go beyond 5-6 lakhs and wants entire MOS Model only discussed this with the team we don't have inventory as such 05 June: Ringing, Dropped a text and voice note</v>
      </c>
    </row>
    <row r="47">
      <c r="A47" s="401">
        <f>IFERROR(__xludf.DUMMYFUNCTION("""COMPUTED_VALUE"""),46181.0)</f>
        <v>46181</v>
      </c>
      <c r="B47" s="276" t="str">
        <f>IFERROR(__xludf.DUMMYFUNCTION("""COMPUTED_VALUE"""),"Zeenath Malhotra ")</f>
        <v>Zeenath Malhotra </v>
      </c>
      <c r="C47" s="276" t="str">
        <f>IFERROR(__xludf.DUMMYFUNCTION("""COMPUTED_VALUE"""),"VZARD STUDIOS PVT LTD")</f>
        <v>VZARD STUDIOS PVT LTD</v>
      </c>
      <c r="D47" s="276" t="str">
        <f>IFERROR(__xludf.DUMMYFUNCTION("""COMPUTED_VALUE"""),"Cold")</f>
        <v>Cold</v>
      </c>
      <c r="E47" s="276" t="str">
        <f>IFERROR(__xludf.DUMMYFUNCTION("""COMPUTED_VALUE"""),"Andheri ")</f>
        <v>Andheri </v>
      </c>
      <c r="F47" s="276" t="str">
        <f>IFERROR(__xludf.DUMMYFUNCTION("""COMPUTED_VALUE"""),"Meta")</f>
        <v>Meta</v>
      </c>
      <c r="G47" s="276" t="str">
        <f>IFERROR(__xludf.DUMMYFUNCTION("""COMPUTED_VALUE"""),"Shubham ")</f>
        <v>Shubham </v>
      </c>
      <c r="H47" s="276" t="str">
        <f>IFERROR(__xludf.DUMMYFUNCTION("""COMPUTED_VALUE"""),"10 June: Spoke, she said she is looking at 15w.s only in Goregoan and Andheri West and doesn't want andheri East discuss this as well  08 June: Ringing, Dropped a text ")</f>
        <v>10 June: Spoke, she said she is looking at 15w.s only in Goregoan and Andheri West and doesn't want andheri East discuss this as well  08 June: Ringing, Dropped a text </v>
      </c>
    </row>
    <row r="48">
      <c r="A48" s="401">
        <f>IFERROR(__xludf.DUMMYFUNCTION("""COMPUTED_VALUE"""),46181.0)</f>
        <v>46181</v>
      </c>
      <c r="B48" s="276" t="str">
        <f>IFERROR(__xludf.DUMMYFUNCTION("""COMPUTED_VALUE"""),"Kuldeep  Singh ")</f>
        <v>Kuldeep  Singh </v>
      </c>
      <c r="C48" s="276" t="str">
        <f>IFERROR(__xludf.DUMMYFUNCTION("""COMPUTED_VALUE"""),"Dot Strem Vetures PVT LTD")</f>
        <v>Dot Strem Vetures PVT LTD</v>
      </c>
      <c r="D48" s="276" t="str">
        <f>IFERROR(__xludf.DUMMYFUNCTION("""COMPUTED_VALUE"""),"Warm")</f>
        <v>Warm</v>
      </c>
      <c r="E48" s="276" t="str">
        <f>IFERROR(__xludf.DUMMYFUNCTION("""COMPUTED_VALUE"""),"Andheri ")</f>
        <v>Andheri </v>
      </c>
      <c r="F48" s="276" t="str">
        <f>IFERROR(__xludf.DUMMYFUNCTION("""COMPUTED_VALUE"""),"Meta")</f>
        <v>Meta</v>
      </c>
      <c r="G48" s="276" t="str">
        <f>IFERROR(__xludf.DUMMYFUNCTION("""COMPUTED_VALUE"""),"Shubham ")</f>
        <v>Shubham </v>
      </c>
      <c r="H48" s="276" t="str">
        <f>IFERROR(__xludf.DUMMYFUNCTION("""COMPUTED_VALUE"""),"09 June: Spoke he said, send your company profile over mail will revert with th requirement 08 June: Ringing, Dropped a text ")</f>
        <v>09 June: Spoke he said, send your company profile over mail will revert with th requirement 08 June: Ringing, Dropped a text </v>
      </c>
    </row>
    <row r="49">
      <c r="A49" s="401">
        <f>IFERROR(__xludf.DUMMYFUNCTION("""COMPUTED_VALUE"""),46181.0)</f>
        <v>46181</v>
      </c>
      <c r="B49" s="276" t="str">
        <f>IFERROR(__xludf.DUMMYFUNCTION("""COMPUTED_VALUE"""),"Sarvam  Bansal ")</f>
        <v>Sarvam  Bansal </v>
      </c>
      <c r="C49" s="276" t="str">
        <f>IFERROR(__xludf.DUMMYFUNCTION("""COMPUTED_VALUE"""),"Olevea")</f>
        <v>Olevea</v>
      </c>
      <c r="D49" s="276" t="str">
        <f>IFERROR(__xludf.DUMMYFUNCTION("""COMPUTED_VALUE"""),"Cold")</f>
        <v>Cold</v>
      </c>
      <c r="E49" s="276" t="str">
        <f>IFERROR(__xludf.DUMMYFUNCTION("""COMPUTED_VALUE"""),"Andheri ")</f>
        <v>Andheri </v>
      </c>
      <c r="F49" s="276" t="str">
        <f>IFERROR(__xludf.DUMMYFUNCTION("""COMPUTED_VALUE"""),"Meta")</f>
        <v>Meta</v>
      </c>
      <c r="G49" s="276" t="str">
        <f>IFERROR(__xludf.DUMMYFUNCTION("""COMPUTED_VALUE"""),"Shubham ")</f>
        <v>Shubham </v>
      </c>
      <c r="H49" s="276" t="str">
        <f>IFERROR(__xludf.DUMMYFUNCTION("""COMPUTED_VALUE"""),"09 June: Ringing, Dropped a text He called back saying he has a requirement in Marol only and needs 20 seats 1 cabin and 1 conference, tried pitching Sakinaka but he doesn't want to go there. Discuss this  08 June: Spoke. He said drop me a text will call "&amp;"back in sometime. ")</f>
        <v>09 June: Ringing, Dropped a text He called back saying he has a requirement in Marol only and needs 20 seats 1 cabin and 1 conference, tried pitching Sakinaka but he doesn't want to go there. Discuss this  08 June: Spoke. He said drop me a text will call back in sometime. </v>
      </c>
    </row>
    <row r="50">
      <c r="A50" s="401">
        <f>IFERROR(__xludf.DUMMYFUNCTION("""COMPUTED_VALUE"""),46182.0)</f>
        <v>46182</v>
      </c>
      <c r="B50" s="276" t="str">
        <f>IFERROR(__xludf.DUMMYFUNCTION("""COMPUTED_VALUE"""),"Vedant  Choudhary ")</f>
        <v>Vedant  Choudhary </v>
      </c>
      <c r="C50" s="276" t="str">
        <f>IFERROR(__xludf.DUMMYFUNCTION("""COMPUTED_VALUE"""),"Cellpage Venture PVT LTD ")</f>
        <v>Cellpage Venture PVT LTD </v>
      </c>
      <c r="D50" s="276" t="str">
        <f>IFERROR(__xludf.DUMMYFUNCTION("""COMPUTED_VALUE"""),"Warm")</f>
        <v>Warm</v>
      </c>
      <c r="E50" s="276" t="str">
        <f>IFERROR(__xludf.DUMMYFUNCTION("""COMPUTED_VALUE"""),"Andheri ")</f>
        <v>Andheri </v>
      </c>
      <c r="F50" s="276" t="str">
        <f>IFERROR(__xludf.DUMMYFUNCTION("""COMPUTED_VALUE"""),"Meta")</f>
        <v>Meta</v>
      </c>
      <c r="G50" s="276" t="str">
        <f>IFERROR(__xludf.DUMMYFUNCTION("""COMPUTED_VALUE"""),"Shubham ")</f>
        <v>Shubham </v>
      </c>
      <c r="H50" s="276" t="str">
        <f>IFERROR(__xludf.DUMMYFUNCTION("""COMPUTED_VALUE"""),"09 June: Spoke. This lead came earlier as well through Linkedin that time he just disconnected the call saying no requirement and stop calling. Now he has a requirement and needs 4 w.s and 1 boss cabin, I have pitched Crescent and shared the details on WP"&amp;". He replied saying will discuss and get back ")</f>
        <v>09 June: Spoke. This lead came earlier as well through Linkedin that time he just disconnected the call saying no requirement and stop calling. Now he has a requirement and needs 4 w.s and 1 boss cabin, I have pitched Crescent and shared the details on WP. He replied saying will discuss and get back </v>
      </c>
    </row>
    <row r="51">
      <c r="A51" s="402">
        <f>IFERROR(__xludf.DUMMYFUNCTION("""COMPUTED_VALUE"""),46183.0)</f>
        <v>46183</v>
      </c>
      <c r="B51" s="276" t="str">
        <f>IFERROR(__xludf.DUMMYFUNCTION("""COMPUTED_VALUE"""),"Dilip  Pradhan ")</f>
        <v>Dilip  Pradhan </v>
      </c>
      <c r="C51" s="276" t="str">
        <f>IFERROR(__xludf.DUMMYFUNCTION("""COMPUTED_VALUE"""),"Elynker ")</f>
        <v>Elynker </v>
      </c>
      <c r="D51" s="276" t="str">
        <f>IFERROR(__xludf.DUMMYFUNCTION("""COMPUTED_VALUE"""),"Cold")</f>
        <v>Cold</v>
      </c>
      <c r="E51" s="276" t="str">
        <f>IFERROR(__xludf.DUMMYFUNCTION("""COMPUTED_VALUE"""),"Andheri ")</f>
        <v>Andheri </v>
      </c>
      <c r="F51" s="276" t="str">
        <f>IFERROR(__xludf.DUMMYFUNCTION("""COMPUTED_VALUE"""),"Meta")</f>
        <v>Meta</v>
      </c>
      <c r="G51" s="276" t="str">
        <f>IFERROR(__xludf.DUMMYFUNCTION("""COMPUTED_VALUE"""),"Shubham ")</f>
        <v>Shubham </v>
      </c>
      <c r="H51" s="276" t="str">
        <f>IFERROR(__xludf.DUMMYFUNCTION("""COMPUTED_VALUE"""),"10 June: Spoke he said call back after 1pm, Called again he didn't answer dropped a text. He replied saying needs 12 seater cabin space. Pitched Crescent solitaire but he don't want to go to Sakinaka. neither LP. He wants Chakala or Andheri Railway statio"&amp;"n only. Discuss this  ")</f>
        <v>10 June: Spoke he said call back after 1pm, Called again he didn't answer dropped a text. He replied saying needs 12 seater cabin space. Pitched Crescent solitaire but he don't want to go to Sakinaka. neither LP. He wants Chakala or Andheri Railway station only. Discuss this  </v>
      </c>
    </row>
    <row r="52">
      <c r="A52" s="400">
        <f>IFERROR(__xludf.DUMMYFUNCTION("""COMPUTED_VALUE"""),46131.0)</f>
        <v>46131</v>
      </c>
      <c r="B52" s="276" t="str">
        <f>IFERROR(__xludf.DUMMYFUNCTION("""COMPUTED_VALUE"""),"Perbjyot  Singh")</f>
        <v>Perbjyot  Singh</v>
      </c>
      <c r="C52" s="276" t="str">
        <f>IFERROR(__xludf.DUMMYFUNCTION("""COMPUTED_VALUE"""),"INNOVATIVE FIBER SOLUTION PVT LTD")</f>
        <v>INNOVATIVE FIBER SOLUTION PVT LTD</v>
      </c>
      <c r="D52" s="276" t="str">
        <f>IFERROR(__xludf.DUMMYFUNCTION("""COMPUTED_VALUE"""),"Hot")</f>
        <v>Hot</v>
      </c>
      <c r="E52" s="276" t="str">
        <f>IFERROR(__xludf.DUMMYFUNCTION("""COMPUTED_VALUE"""),"Andheri ")</f>
        <v>Andheri </v>
      </c>
      <c r="F52" s="276" t="str">
        <f>IFERROR(__xludf.DUMMYFUNCTION("""COMPUTED_VALUE"""),"LinkedIn")</f>
        <v>LinkedIn</v>
      </c>
      <c r="G52" s="276" t="str">
        <f>IFERROR(__xludf.DUMMYFUNCTION("""COMPUTED_VALUE"""),"Shubham ")</f>
        <v>Shubham </v>
      </c>
      <c r="H52" s="276" t="str">
        <f>IFERROR(__xludf.DUMMYFUNCTION("""COMPUTED_VALUE"""),"23 May: Spoke for a follow up he said he cannot go beyond 5 lakhs. Discussed this with the team we cannot go with this budget 22 May: Ringing, dropped a text 12 May: Disconnected the call, dropped a text 11 May: Ringing, Droppe a text 07 May: Disconnected"&amp;" my call, Dropped a text 05 May: Tried Calling he didn't Answer, I have dropped a Msg over whatsapp 04 May: Spoke. He said He will share his counter over mail 02 May: He replied saying this cannot work because this is way beyond his budget, I Have asked f"&amp;"or counter offer 30 April: Layout and Commecial Deck sent 29 April: Spoke he said he needs 50 seats not 45 revise the layout and share commercials 28 April: Ringing, Dropped a text 27 April: Shared the Layout, he said he will check and revert 25 Apirl: Si"&amp;"te Visit done, Showed Landmark and CNB Square. Next steps actioned layout and share costing 24 April: Took a Follow up, he said will do the site visit tomorrow at 11am, I have captured the same in email and waiting for his confimation on the same 22 April"&amp;": Spoke to him he said I am caught up for the entire day, call tomorrow 21 April: Shared. The first cut Inventory options over mail, Spoke to him he has shortlisted option of WEH And Chakala for inspection 19 April : Spoke. He is looking for a 50-seater o"&amp;"ffice space with 2–3 cabins and 1 conference room. Preferred micro-markets are Western Express Highway to Airport Road / Marol. I have requested a meeting with him, however, he has asked us to share suitable options first, post which he will be open to me"&amp;"eting. Current office location is Goregaon.The move-in timeline is currently not specific")</f>
        <v>23 May: Spoke for a follow up he said he cannot go beyond 5 lakhs. Discussed this with the team we cannot go with this budget 22 May: Ringing, dropped a text 12 May: Disconnected the call, dropped a text 11 May: Ringing, Droppe a text 07 May: Disconnected my call, Dropped a text 05 May: Tried Calling he didn't Answer, I have dropped a Msg over whatsapp 04 May: Spoke. He said He will share his counter over mail 02 May: He replied saying this cannot work because this is way beyond his budget, I Have asked for counter offer 30 April: Layout and Commecial Deck sent 29 April: Spoke he said he needs 50 seats not 45 revise the layout and share commercials 28 April: Ringing, Dropped a text 27 April: Shared the Layout, he said he will check and revert 25 Apirl: Site Visit done, Showed Landmark and CNB Square. Next steps actioned layout and share costing 24 April: Took a Follow up, he said will do the site visit tomorrow at 11am, I have captured the same in email and waiting for his confimation on the same 22 April: Spoke to him he said I am caught up for the entire day, call tomorrow 21 April: Shared. The first cut Inventory options over mail, Spoke to him he has shortlisted option of WEH And Chakala for inspection 19 April : Spoke. He is looking for a 50-seater office space with 2–3 cabins and 1 conference room. Preferred micro-markets are Western Express Highway to Airport Road / Marol. I have requested a meeting with him, however, he has asked us to share suitable options first, post which he will be open to meeting. Current office location is Goregaon.The move-in timeline is currently not specific</v>
      </c>
    </row>
    <row r="53">
      <c r="A53" s="400">
        <f>IFERROR(__xludf.DUMMYFUNCTION("""COMPUTED_VALUE"""),46131.0)</f>
        <v>46131</v>
      </c>
      <c r="B53" s="276" t="str">
        <f>IFERROR(__xludf.DUMMYFUNCTION("""COMPUTED_VALUE"""),"Minal  Parekh")</f>
        <v>Minal  Parekh</v>
      </c>
      <c r="C53" s="276" t="str">
        <f>IFERROR(__xludf.DUMMYFUNCTION("""COMPUTED_VALUE"""),"PERCH TECHNOLOGIES PRIVATE LIMITED")</f>
        <v>PERCH TECHNOLOGIES PRIVATE LIMITED</v>
      </c>
      <c r="D53" s="276" t="str">
        <f>IFERROR(__xludf.DUMMYFUNCTION("""COMPUTED_VALUE"""),"Not responsive")</f>
        <v>Not responsive</v>
      </c>
      <c r="E53" s="276" t="str">
        <f>IFERROR(__xludf.DUMMYFUNCTION("""COMPUTED_VALUE"""),"Andheri ")</f>
        <v>Andheri </v>
      </c>
      <c r="F53" s="276" t="str">
        <f>IFERROR(__xludf.DUMMYFUNCTION("""COMPUTED_VALUE"""),"LinkedIn")</f>
        <v>LinkedIn</v>
      </c>
      <c r="G53" s="276" t="str">
        <f>IFERROR(__xludf.DUMMYFUNCTION("""COMPUTED_VALUE"""),"Shubham ")</f>
        <v>Shubham </v>
      </c>
      <c r="H53" s="276" t="str">
        <f>IFERROR(__xludf.DUMMYFUNCTION("""COMPUTED_VALUE"""),"09 June: disconnected my call, dropped a text 04 June: Switched off, Dropped a text 02 June: Switched off, I have dropped a text 25 May: Switched off. I have dropped a Text and reminder on mail 22 May: ringing, dropped a message. 12 May: Tried calling fro"&amp;"m other personal number not responsive 07 May: Disconnected my call, Dropped a text 05 May: Ringing, dropped a Follow up mail 30 April: Ringing, Didn't Answer, dropped a msg 29 April: Ringing, Dropped a voice note and Whatsapp, follow up mail sent 27 Apri"&amp;"l: Ringing, Dropped a Voice note and WP Text 24 April: Ringing, Dropped a text and voice note 22 April: Sent First cut inventory deck tried calling didn't answer dropped a text 20 April: Spoke. She is looking for 30-35 seater office space along with 3 cab"&amp;"ins, 1 Board room of 10-12 seats, 1 director Cabin and 2 small meeting room all collapsible along with store room and pantry and Cafetria. Location from WEH to Chakala only good A grade building preffered. Move in time line 3 months from now. Meeting aske"&amp;"d for virtual call she said next week as she is travelling. 19 April: Ringing, dropped a voice note and WP. ")</f>
        <v>09 June: disconnected my call, dropped a text 04 June: Switched off, Dropped a text 02 June: Switched off, I have dropped a text 25 May: Switched off. I have dropped a Text and reminder on mail 22 May: ringing, dropped a message. 12 May: Tried calling from other personal number not responsive 07 May: Disconnected my call, Dropped a text 05 May: Ringing, dropped a Follow up mail 30 April: Ringing, Didn't Answer, dropped a msg 29 April: Ringing, Dropped a voice note and Whatsapp, follow up mail sent 27 April: Ringing, Dropped a Voice note and WP Text 24 April: Ringing, Dropped a text and voice note 22 April: Sent First cut inventory deck tried calling didn't answer dropped a text 20 April: Spoke. She is looking for 30-35 seater office space along with 3 cabins, 1 Board room of 10-12 seats, 1 director Cabin and 2 small meeting room all collapsible along with store room and pantry and Cafetria. Location from WEH to Chakala only good A grade building preffered. Move in time line 3 months from now. Meeting asked for virtual call she said next week as she is travelling. 19 April: Ringing, dropped a voice note and WP. </v>
      </c>
    </row>
    <row r="54">
      <c r="A54" s="400">
        <f>IFERROR(__xludf.DUMMYFUNCTION("""COMPUTED_VALUE"""),46131.0)</f>
        <v>46131</v>
      </c>
      <c r="B54" s="276" t="str">
        <f>IFERROR(__xludf.DUMMYFUNCTION("""COMPUTED_VALUE"""),"Vishal  Goria")</f>
        <v>Vishal  Goria</v>
      </c>
      <c r="C54" s="276" t="str">
        <f>IFERROR(__xludf.DUMMYFUNCTION("""COMPUTED_VALUE"""),"Ignitus Limited")</f>
        <v>Ignitus Limited</v>
      </c>
      <c r="D54" s="276" t="str">
        <f>IFERROR(__xludf.DUMMYFUNCTION("""COMPUTED_VALUE"""),"Hold")</f>
        <v>Hold</v>
      </c>
      <c r="E54" s="276" t="str">
        <f>IFERROR(__xludf.DUMMYFUNCTION("""COMPUTED_VALUE"""),"Andheri ")</f>
        <v>Andheri </v>
      </c>
      <c r="F54" s="276" t="str">
        <f>IFERROR(__xludf.DUMMYFUNCTION("""COMPUTED_VALUE"""),"LinkedIn")</f>
        <v>LinkedIn</v>
      </c>
      <c r="G54" s="276" t="str">
        <f>IFERROR(__xludf.DUMMYFUNCTION("""COMPUTED_VALUE"""),"Shubham ")</f>
        <v>Shubham </v>
      </c>
      <c r="H54" s="276" t="str">
        <f>IFERROR(__xludf.DUMMYFUNCTION("""COMPUTED_VALUE"""),"09 June: Ringing, Dropped a text 26 MAy: Harshini spoke, he said the requirement is on hold reachout in next week again 25 May: Ringing, Dropped a text 22 May: Ringing, call forwarded, dropped a text 12 May: Tried calling disconnected the call dropped a t"&amp;"ext 11 May: Ringing, Dropped a text 07 May: Spoke he said he will visit tomorrow 05 May: Spoke He said he will visit on Friday 28 April: Spoke, he said he will visit in next week as he is caught up with other task reachout on Tuesday next week 27 April: S"&amp;"poke. He said he is busy as of now and will try to Visit the Sakinaka option tomorrow  24 April: Ringing, Dropped a Text asking for visit and discuss this with the team 23 April: Spoke he confirmed saying 10 seats but 24/7 operational and he wants pricing"&amp;" he is ok with 6 months lockin. 22 April: Ringing, Dropped a Text 20 April: Spoke, he said he is driving call back in an hour. Spoke he wants a BPO Setup for 10 people, I have pitched Sakinaka at Rs. 8k per seat. Shared the details over WP. Move in time l"&amp;"ine 2-3 months ")</f>
        <v>09 June: Ringing, Dropped a text 26 MAy: Harshini spoke, he said the requirement is on hold reachout in next week again 25 May: Ringing, Dropped a text 22 May: Ringing, call forwarded, dropped a text 12 May: Tried calling disconnected the call dropped a text 11 May: Ringing, Dropped a text 07 May: Spoke he said he will visit tomorrow 05 May: Spoke He said he will visit on Friday 28 April: Spoke, he said he will visit in next week as he is caught up with other task reachout on Tuesday next week 27 April: Spoke. He said he is busy as of now and will try to Visit the Sakinaka option tomorrow  24 April: Ringing, Dropped a Text asking for visit and discuss this with the team 23 April: Spoke he confirmed saying 10 seats but 24/7 operational and he wants pricing he is ok with 6 months lockin. 22 April: Ringing, Dropped a Text 20 April: Spoke, he said he is driving call back in an hour. Spoke he wants a BPO Setup for 10 people, I have pitched Sakinaka at Rs. 8k per seat. Shared the details over WP. Move in time line 2-3 months </v>
      </c>
    </row>
    <row r="55">
      <c r="A55" s="400">
        <f>IFERROR(__xludf.DUMMYFUNCTION("""COMPUTED_VALUE"""),46132.0)</f>
        <v>46132</v>
      </c>
      <c r="B55" s="276" t="str">
        <f>IFERROR(__xludf.DUMMYFUNCTION("""COMPUTED_VALUE"""),"Sanjay  Panikar")</f>
        <v>Sanjay  Panikar</v>
      </c>
      <c r="C55" s="276" t="str">
        <f>IFERROR(__xludf.DUMMYFUNCTION("""COMPUTED_VALUE"""),"Edjust")</f>
        <v>Edjust</v>
      </c>
      <c r="D55" s="276" t="str">
        <f>IFERROR(__xludf.DUMMYFUNCTION("""COMPUTED_VALUE"""),"Lost")</f>
        <v>Lost</v>
      </c>
      <c r="E55" s="276" t="str">
        <f>IFERROR(__xludf.DUMMYFUNCTION("""COMPUTED_VALUE"""),"Andheri ")</f>
        <v>Andheri </v>
      </c>
      <c r="F55" s="276" t="str">
        <f>IFERROR(__xludf.DUMMYFUNCTION("""COMPUTED_VALUE"""),"LinkedIn")</f>
        <v>LinkedIn</v>
      </c>
      <c r="G55" s="276" t="str">
        <f>IFERROR(__xludf.DUMMYFUNCTION("""COMPUTED_VALUE"""),"Shubham ")</f>
        <v>Shubham </v>
      </c>
      <c r="H55" s="276" t="str">
        <f>IFERROR(__xludf.DUMMYFUNCTION("""COMPUTED_VALUE"""),"23 April: Shared the first cut inventory options. Spoke to him he is saying and we were discussing options he said my I cannot go beyond 3 lakhs. I tried Pitching Sakinaka but he said I want something which is close to Chakala and Marol only 20 April: Spo"&amp;"ke, he is looking for 30-50 seater office space and 2 cabins for 24/7 operations. Looking in Marol and Sakinaka and wants a C grade building beacuse they have a very strict budget. Asked for meeting he said options and commercials first then only he can m"&amp;"eet. If commercials fit in he can move ASAP")</f>
        <v>23 April: Shared the first cut inventory options. Spoke to him he is saying and we were discussing options he said my I cannot go beyond 3 lakhs. I tried Pitching Sakinaka but he said I want something which is close to Chakala and Marol only 20 April: Spoke, he is looking for 30-50 seater office space and 2 cabins for 24/7 operations. Looking in Marol and Sakinaka and wants a C grade building beacuse they have a very strict budget. Asked for meeting he said options and commercials first then only he can meet. If commercials fit in he can move ASAP</v>
      </c>
    </row>
    <row r="56">
      <c r="A56" s="400">
        <f>IFERROR(__xludf.DUMMYFUNCTION("""COMPUTED_VALUE"""),46134.0)</f>
        <v>46134</v>
      </c>
      <c r="B56" s="276" t="str">
        <f>IFERROR(__xludf.DUMMYFUNCTION("""COMPUTED_VALUE"""),"Reema Gupta")</f>
        <v>Reema Gupta</v>
      </c>
      <c r="C56" s="276" t="str">
        <f>IFERROR(__xludf.DUMMYFUNCTION("""COMPUTED_VALUE"""),"One Klick Payment")</f>
        <v>One Klick Payment</v>
      </c>
      <c r="D56" s="276" t="str">
        <f>IFERROR(__xludf.DUMMYFUNCTION("""COMPUTED_VALUE"""),"Lost")</f>
        <v>Lost</v>
      </c>
      <c r="E56" s="276" t="str">
        <f>IFERROR(__xludf.DUMMYFUNCTION("""COMPUTED_VALUE"""),"Andheri ")</f>
        <v>Andheri </v>
      </c>
      <c r="F56" s="276" t="str">
        <f>IFERROR(__xludf.DUMMYFUNCTION("""COMPUTED_VALUE"""),"LinkedIn")</f>
        <v>LinkedIn</v>
      </c>
      <c r="G56" s="276" t="str">
        <f>IFERROR(__xludf.DUMMYFUNCTION("""COMPUTED_VALUE"""),"Shubham ")</f>
        <v>Shubham </v>
      </c>
      <c r="H56" s="276" t="str">
        <f>IFERROR(__xludf.DUMMYFUNCTION("""COMPUTED_VALUE"""),"22 April: No incoming calls available on this number nor this is a Whatsapp number. The mail ID is incorrect.")</f>
        <v>22 April: No incoming calls available on this number nor this is a Whatsapp number. The mail ID is incorrect.</v>
      </c>
    </row>
    <row r="57">
      <c r="A57" s="400">
        <f>IFERROR(__xludf.DUMMYFUNCTION("""COMPUTED_VALUE"""),46135.0)</f>
        <v>46135</v>
      </c>
      <c r="B57" s="276" t="str">
        <f>IFERROR(__xludf.DUMMYFUNCTION("""COMPUTED_VALUE"""),"Dr. Indronil  Mukhopadhyay ")</f>
        <v>Dr. Indronil  Mukhopadhyay </v>
      </c>
      <c r="C57" s="276" t="str">
        <f>IFERROR(__xludf.DUMMYFUNCTION("""COMPUTED_VALUE"""),"Evoquin Movers")</f>
        <v>Evoquin Movers</v>
      </c>
      <c r="D57" s="276" t="str">
        <f>IFERROR(__xludf.DUMMYFUNCTION("""COMPUTED_VALUE"""),"Lost")</f>
        <v>Lost</v>
      </c>
      <c r="E57" s="276" t="str">
        <f>IFERROR(__xludf.DUMMYFUNCTION("""COMPUTED_VALUE"""),"Andheri ")</f>
        <v>Andheri </v>
      </c>
      <c r="F57" s="276" t="str">
        <f>IFERROR(__xludf.DUMMYFUNCTION("""COMPUTED_VALUE"""),"LinkedIn")</f>
        <v>LinkedIn</v>
      </c>
      <c r="G57" s="276" t="str">
        <f>IFERROR(__xludf.DUMMYFUNCTION("""COMPUTED_VALUE"""),"Shubham ")</f>
        <v>Shubham </v>
      </c>
      <c r="H57" s="276" t="str">
        <f>IFERROR(__xludf.DUMMYFUNCTION("""COMPUTED_VALUE"""),"07 May: Spoke he said the requirement is on hold and He has a inventory of his friend in turbhe around 300 seats furnished 2 floor I have asked to share the detaisl 05 May: Spoke but he was driving coundn't hear he asked me to drop a text 02 May: Ringing,"&amp;" Dropped a text 29 April: Ringing, dropped a text 27 April: Ringing, Dropped a text 24 April: Ringing, Dropped a text 23 April: Spoke. He wants 2 open w.s and doesn't want to go to Sakinaka. He is okay with LP. Shared the details on whatsapp he replied sa"&amp;"ying Will come back to you once make up my mind.")</f>
        <v>07 May: Spoke he said the requirement is on hold and He has a inventory of his friend in turbhe around 300 seats furnished 2 floor I have asked to share the detaisl 05 May: Spoke but he was driving coundn't hear he asked me to drop a text 02 May: Ringing, Dropped a text 29 April: Ringing, dropped a text 27 April: Ringing, Dropped a text 24 April: Ringing, Dropped a text 23 April: Spoke. He wants 2 open w.s and doesn't want to go to Sakinaka. He is okay with LP. Shared the details on whatsapp he replied saying Will come back to you once make up my mind.</v>
      </c>
    </row>
    <row r="58">
      <c r="A58" s="402">
        <f>IFERROR(__xludf.DUMMYFUNCTION("""COMPUTED_VALUE"""),46165.0)</f>
        <v>46165</v>
      </c>
      <c r="B58" s="276" t="str">
        <f>IFERROR(__xludf.DUMMYFUNCTION("""COMPUTED_VALUE"""),"Hozefa  Attari ")</f>
        <v>Hozefa  Attari </v>
      </c>
      <c r="C58" s="276" t="str">
        <f>IFERROR(__xludf.DUMMYFUNCTION("""COMPUTED_VALUE"""),"Networkbay Retail")</f>
        <v>Networkbay Retail</v>
      </c>
      <c r="D58" s="276" t="str">
        <f>IFERROR(__xludf.DUMMYFUNCTION("""COMPUTED_VALUE"""),"Cold")</f>
        <v>Cold</v>
      </c>
      <c r="E58" s="276" t="str">
        <f>IFERROR(__xludf.DUMMYFUNCTION("""COMPUTED_VALUE"""),"Andheri ")</f>
        <v>Andheri </v>
      </c>
      <c r="F58" s="276" t="str">
        <f>IFERROR(__xludf.DUMMYFUNCTION("""COMPUTED_VALUE"""),"LinkedIn")</f>
        <v>LinkedIn</v>
      </c>
      <c r="G58" s="276" t="str">
        <f>IFERROR(__xludf.DUMMYFUNCTION("""COMPUTED_VALUE"""),"Shubham ")</f>
        <v>Shubham </v>
      </c>
      <c r="H58" s="276" t="str">
        <f>IFERROR(__xludf.DUMMYFUNCTION("""COMPUTED_VALUE"""),"09 June: Ringing, Dropped a text 06 June: Ringing, Dropped a text 04 June: Ringing, Dropped a text 01 June: Ringing, dropped a Text 25 May: Ringing, Dropped a text he replied saying yes i did. i will revert when we are ready. thanks! 22 May: Rushab sir to"&amp;"ok this up they only need 5 w.s. I have shared the details of both Lower parel and sakinaka ")</f>
        <v>09 June: Ringing, Dropped a text 06 June: Ringing, Dropped a text 04 June: Ringing, Dropped a text 01 June: Ringing, dropped a Text 25 May: Ringing, Dropped a text he replied saying yes i did. i will revert when we are ready. thanks! 22 May: Rushab sir took this up they only need 5 w.s. I have shared the details of both Lower parel and sakinaka </v>
      </c>
    </row>
    <row r="59">
      <c r="A59" s="402">
        <f>IFERROR(__xludf.DUMMYFUNCTION("""COMPUTED_VALUE"""),46166.0)</f>
        <v>46166</v>
      </c>
      <c r="B59" s="276" t="str">
        <f>IFERROR(__xludf.DUMMYFUNCTION("""COMPUTED_VALUE"""),"Kinjal  Panchal ")</f>
        <v>Kinjal  Panchal </v>
      </c>
      <c r="C59" s="276" t="str">
        <f>IFERROR(__xludf.DUMMYFUNCTION("""COMPUTED_VALUE"""),"Raj Vijtech Pvt Ltd")</f>
        <v>Raj Vijtech Pvt Ltd</v>
      </c>
      <c r="D59" s="276" t="str">
        <f>IFERROR(__xludf.DUMMYFUNCTION("""COMPUTED_VALUE"""),"Warm")</f>
        <v>Warm</v>
      </c>
      <c r="E59" s="276" t="str">
        <f>IFERROR(__xludf.DUMMYFUNCTION("""COMPUTED_VALUE"""),"Andheri ")</f>
        <v>Andheri </v>
      </c>
      <c r="F59" s="276" t="str">
        <f>IFERROR(__xludf.DUMMYFUNCTION("""COMPUTED_VALUE"""),"LinkedIn")</f>
        <v>LinkedIn</v>
      </c>
      <c r="G59" s="276" t="str">
        <f>IFERROR(__xludf.DUMMYFUNCTION("""COMPUTED_VALUE"""),"Shubham ")</f>
        <v>Shubham </v>
      </c>
      <c r="H59" s="276" t="str">
        <f>IFERROR(__xludf.DUMMYFUNCTION("""COMPUTED_VALUE"""),"09 June: Disconnect my call, dropped a voice note and Text 06 June: Ringing, dropped a text 04 June: Ringing, dropped a text She replied saying shared the details of Lower parel only with images and costing. 01 June: Ringing, Dropped a text and voice note"&amp;" 27 May: Ringing, Dropped a text 25 May: I have dropped a follow up text as she said she is travelling.  24 May: Spoke to Kinjal. They are exploring options in LP and Andheri both. She is traveling this week and will be back on June 4th and will visit bot"&amp;"h LP and Crescent. I have shared the details over whatsapp. The requirement is 20 seats and 2 cubicals.")</f>
        <v>09 June: Disconnect my call, dropped a voice note and Text 06 June: Ringing, dropped a text 04 June: Ringing, dropped a text She replied saying shared the details of Lower parel only with images and costing. 01 June: Ringing, Dropped a text and voice note 27 May: Ringing, Dropped a text 25 May: I have dropped a follow up text as she said she is travelling.  24 May: Spoke to Kinjal. They are exploring options in LP and Andheri both. She is traveling this week and will be back on June 4th and will visit both LP and Crescent. I have shared the details over whatsapp. The requirement is 20 seats and 2 cubicals.</v>
      </c>
    </row>
    <row r="60">
      <c r="A60" s="402">
        <f>IFERROR(__xludf.DUMMYFUNCTION("""COMPUTED_VALUE"""),46166.0)</f>
        <v>46166</v>
      </c>
      <c r="B60" s="276" t="str">
        <f>IFERROR(__xludf.DUMMYFUNCTION("""COMPUTED_VALUE"""),"Vijay  Bhandari ")</f>
        <v>Vijay  Bhandari </v>
      </c>
      <c r="C60" s="276" t="str">
        <f>IFERROR(__xludf.DUMMYFUNCTION("""COMPUTED_VALUE"""),"NOESIS")</f>
        <v>NOESIS</v>
      </c>
      <c r="D60" s="276" t="str">
        <f>IFERROR(__xludf.DUMMYFUNCTION("""COMPUTED_VALUE"""),"Lost")</f>
        <v>Lost</v>
      </c>
      <c r="E60" s="276" t="str">
        <f>IFERROR(__xludf.DUMMYFUNCTION("""COMPUTED_VALUE"""),"Andheri ")</f>
        <v>Andheri </v>
      </c>
      <c r="F60" s="276" t="str">
        <f>IFERROR(__xludf.DUMMYFUNCTION("""COMPUTED_VALUE"""),"LinkedIn")</f>
        <v>LinkedIn</v>
      </c>
      <c r="G60" s="276" t="str">
        <f>IFERROR(__xludf.DUMMYFUNCTION("""COMPUTED_VALUE"""),"Shubham ")</f>
        <v>Shubham </v>
      </c>
      <c r="H60" s="276" t="str">
        <f>IFERROR(__xludf.DUMMYFUNCTION("""COMPUTED_VALUE"""),"01 June: Disconnected my call, I have dropped a text he replied saying its closed  28 May: Ringing, Dropped a text 27 May: Disconnected my call, I will Message him 25 May: Ringing, Dropped a text he replied saying where do we have options I said I can off"&amp;"er you multiple invenotries 24 May: Disconnected my call I will drop a message")</f>
        <v>01 June: Disconnected my call, I have dropped a text he replied saying its closed  28 May: Ringing, Dropped a text 27 May: Disconnected my call, I will Message him 25 May: Ringing, Dropped a text he replied saying where do we have options I said I can offer you multiple invenotries 24 May: Disconnected my call I will drop a message</v>
      </c>
    </row>
    <row r="61">
      <c r="A61" s="402">
        <f>IFERROR(__xludf.DUMMYFUNCTION("""COMPUTED_VALUE"""),46167.0)</f>
        <v>46167</v>
      </c>
      <c r="B61" s="276" t="str">
        <f>IFERROR(__xludf.DUMMYFUNCTION("""COMPUTED_VALUE"""),"Nitin   Budhadev")</f>
        <v>Nitin   Budhadev</v>
      </c>
      <c r="C61" s="276" t="str">
        <f>IFERROR(__xludf.DUMMYFUNCTION("""COMPUTED_VALUE"""),"Virtual Clone")</f>
        <v>Virtual Clone</v>
      </c>
      <c r="D61" s="276" t="str">
        <f>IFERROR(__xludf.DUMMYFUNCTION("""COMPUTED_VALUE"""),"Cold")</f>
        <v>Cold</v>
      </c>
      <c r="E61" s="276" t="str">
        <f>IFERROR(__xludf.DUMMYFUNCTION("""COMPUTED_VALUE"""),"Andheri ")</f>
        <v>Andheri </v>
      </c>
      <c r="F61" s="276" t="str">
        <f>IFERROR(__xludf.DUMMYFUNCTION("""COMPUTED_VALUE"""),"LinkedIn")</f>
        <v>LinkedIn</v>
      </c>
      <c r="G61" s="276" t="str">
        <f>IFERROR(__xludf.DUMMYFUNCTION("""COMPUTED_VALUE"""),"Shubham ")</f>
        <v>Shubham </v>
      </c>
      <c r="H61" s="276" t="str">
        <f>IFERROR(__xludf.DUMMYFUNCTION("""COMPUTED_VALUE"""),"01 June: Spoke, he said Crescent and LP both wont work if we have something in Timesquare, but his budget is 10k per seat only discuss this 27 May: Spoke. He said the distance from Sakinaka to Crescent is bit too much he is checking for the visit and will"&amp;" let us know on the same, also he gave me a headsup that the conclusion would be in July only 25 May: Ringing, Dropped a text he replied will call in 10 mins. Spoke and shared the details of sakinaka")</f>
        <v>01 June: Spoke, he said Crescent and LP both wont work if we have something in Timesquare, but his budget is 10k per seat only discuss this 27 May: Spoke. He said the distance from Sakinaka to Crescent is bit too much he is checking for the visit and will let us know on the same, also he gave me a headsup that the conclusion would be in July only 25 May: Ringing, Dropped a text he replied will call in 10 mins. Spoke and shared the details of sakinaka</v>
      </c>
    </row>
    <row r="62">
      <c r="A62" s="402">
        <f>IFERROR(__xludf.DUMMYFUNCTION("""COMPUTED_VALUE"""),46168.0)</f>
        <v>46168</v>
      </c>
      <c r="B62" s="276" t="str">
        <f>IFERROR(__xludf.DUMMYFUNCTION("""COMPUTED_VALUE"""),"Vedant  Choudhary ")</f>
        <v>Vedant  Choudhary </v>
      </c>
      <c r="C62" s="276" t="str">
        <f>IFERROR(__xludf.DUMMYFUNCTION("""COMPUTED_VALUE"""),"Cellpage")</f>
        <v>Cellpage</v>
      </c>
      <c r="D62" s="276" t="str">
        <f>IFERROR(__xludf.DUMMYFUNCTION("""COMPUTED_VALUE"""),"Lost")</f>
        <v>Lost</v>
      </c>
      <c r="E62" s="276" t="str">
        <f>IFERROR(__xludf.DUMMYFUNCTION("""COMPUTED_VALUE"""),"Andheri ")</f>
        <v>Andheri </v>
      </c>
      <c r="F62" s="276" t="str">
        <f>IFERROR(__xludf.DUMMYFUNCTION("""COMPUTED_VALUE"""),"LinkedIn")</f>
        <v>LinkedIn</v>
      </c>
      <c r="G62" s="276" t="str">
        <f>IFERROR(__xludf.DUMMYFUNCTION("""COMPUTED_VALUE"""),"Shubham ")</f>
        <v>Shubham </v>
      </c>
      <c r="H62" s="276" t="str">
        <f>IFERROR(__xludf.DUMMYFUNCTION("""COMPUTED_VALUE"""),"28 May: Spoke he said he is no more looking for space and disconnected the call 27 May:Spoke he said he is busy right now, he will call back 26 May: Asked me to Call back in 30 mins. Tried callig didn't answer my call. ")</f>
        <v>28 May: Spoke he said he is no more looking for space and disconnected the call 27 May:Spoke he said he is busy right now, he will call back 26 May: Asked me to Call back in 30 mins. Tried callig didn't answer my call. </v>
      </c>
    </row>
    <row r="63">
      <c r="A63" s="402">
        <f>IFERROR(__xludf.DUMMYFUNCTION("""COMPUTED_VALUE"""),46169.0)</f>
        <v>46169</v>
      </c>
      <c r="B63" s="276" t="str">
        <f>IFERROR(__xludf.DUMMYFUNCTION("""COMPUTED_VALUE"""),"Udit  Saraswat")</f>
        <v>Udit  Saraswat</v>
      </c>
      <c r="C63" s="276" t="str">
        <f>IFERROR(__xludf.DUMMYFUNCTION("""COMPUTED_VALUE"""),"Darien Aerospace")</f>
        <v>Darien Aerospace</v>
      </c>
      <c r="D63" s="276" t="str">
        <f>IFERROR(__xludf.DUMMYFUNCTION("""COMPUTED_VALUE"""),"Warm")</f>
        <v>Warm</v>
      </c>
      <c r="E63" s="276" t="str">
        <f>IFERROR(__xludf.DUMMYFUNCTION("""COMPUTED_VALUE"""),"Andheri ")</f>
        <v>Andheri </v>
      </c>
      <c r="F63" s="276" t="str">
        <f>IFERROR(__xludf.DUMMYFUNCTION("""COMPUTED_VALUE"""),"LinkedIn")</f>
        <v>LinkedIn</v>
      </c>
      <c r="G63" s="276" t="str">
        <f>IFERROR(__xludf.DUMMYFUNCTION("""COMPUTED_VALUE"""),"Shubham ")</f>
        <v>Shubham </v>
      </c>
      <c r="H63" s="276" t="str">
        <f>IFERROR(__xludf.DUMMYFUNCTION("""COMPUTED_VALUE"""),"09: June: Ringing, dropped a text even Vishal his admin who visited is not answering the calls and text 06 June: Ringing, dropped a tex t04 June: Ringing, dropped a text 01 June: Tried Calling both, Ringing, dropped a text 29 May: Spoke second visit done "&amp;"and will get a confirmation by Monday 28 May: Visit done by Mr. Vishal (Admin) he liked the space mostly there is a second visit of his senior tomorrow and then they will share commercial offer 27 May: Spoke. He said call back after 10 mins. Spoke he want"&amp;" 5-6 seats strongly pitched sakinaka but he is exploring a space which is near MIDC, His admin will try to visit today in sakinaka")</f>
        <v>09: June: Ringing, dropped a text even Vishal his admin who visited is not answering the calls and text 06 June: Ringing, dropped a tex t04 June: Ringing, dropped a text 01 June: Tried Calling both, Ringing, dropped a text 29 May: Spoke second visit done and will get a confirmation by Monday 28 May: Visit done by Mr. Vishal (Admin) he liked the space mostly there is a second visit of his senior tomorrow and then they will share commercial offer 27 May: Spoke. He said call back after 10 mins. Spoke he want 5-6 seats strongly pitched sakinaka but he is exploring a space which is near MIDC, His admin will try to visit today in sakinaka</v>
      </c>
    </row>
    <row r="64">
      <c r="A64" s="401">
        <f>IFERROR(__xludf.DUMMYFUNCTION("""COMPUTED_VALUE"""),46175.0)</f>
        <v>46175</v>
      </c>
      <c r="B64" s="276" t="str">
        <f>IFERROR(__xludf.DUMMYFUNCTION("""COMPUTED_VALUE"""),"Feroze  Shaikh")</f>
        <v>Feroze  Shaikh</v>
      </c>
      <c r="C64" s="276" t="str">
        <f>IFERROR(__xludf.DUMMYFUNCTION("""COMPUTED_VALUE""")," NISCHINT")</f>
        <v> NISCHINT</v>
      </c>
      <c r="D64" s="276" t="str">
        <f>IFERROR(__xludf.DUMMYFUNCTION("""COMPUTED_VALUE"""),"Cold")</f>
        <v>Cold</v>
      </c>
      <c r="E64" s="276" t="str">
        <f>IFERROR(__xludf.DUMMYFUNCTION("""COMPUTED_VALUE"""),"Andheri ")</f>
        <v>Andheri </v>
      </c>
      <c r="F64" s="276" t="str">
        <f>IFERROR(__xludf.DUMMYFUNCTION("""COMPUTED_VALUE"""),"LinkedIn")</f>
        <v>LinkedIn</v>
      </c>
      <c r="G64" s="276" t="str">
        <f>IFERROR(__xludf.DUMMYFUNCTION("""COMPUTED_VALUE"""),"Shubham ")</f>
        <v>Shubham </v>
      </c>
      <c r="H64" s="276" t="str">
        <f>IFERROR(__xludf.DUMMYFUNCTION("""COMPUTED_VALUE"""),"04 June: Spoke he wants 5 seats in Andheri West only not Crescent or nor Lp Works for him, discuss this 02 June: Ringing, Dropped a text ")</f>
        <v>04 June: Spoke he wants 5 seats in Andheri West only not Crescent or nor Lp Works for him, discuss this 02 June: Ringing, Dropped a text </v>
      </c>
    </row>
    <row r="65">
      <c r="A65" s="401">
        <f>IFERROR(__xludf.DUMMYFUNCTION("""COMPUTED_VALUE"""),46175.0)</f>
        <v>46175</v>
      </c>
      <c r="B65" s="276" t="str">
        <f>IFERROR(__xludf.DUMMYFUNCTION("""COMPUTED_VALUE"""),"Anup  Sudhendranath")</f>
        <v>Anup  Sudhendranath</v>
      </c>
      <c r="C65" s="276" t="str">
        <f>IFERROR(__xludf.DUMMYFUNCTION("""COMPUTED_VALUE"""),"Raadhi Advisors")</f>
        <v>Raadhi Advisors</v>
      </c>
      <c r="D65" s="276" t="str">
        <f>IFERROR(__xludf.DUMMYFUNCTION("""COMPUTED_VALUE"""),"Hot")</f>
        <v>Hot</v>
      </c>
      <c r="E65" s="276" t="str">
        <f>IFERROR(__xludf.DUMMYFUNCTION("""COMPUTED_VALUE"""),"Andheri ")</f>
        <v>Andheri </v>
      </c>
      <c r="F65" s="276" t="str">
        <f>IFERROR(__xludf.DUMMYFUNCTION("""COMPUTED_VALUE"""),"LinkedIn")</f>
        <v>LinkedIn</v>
      </c>
      <c r="G65" s="276" t="str">
        <f>IFERROR(__xludf.DUMMYFUNCTION("""COMPUTED_VALUE"""),"Shubham ")</f>
        <v>Shubham </v>
      </c>
      <c r="H65" s="276" t="str">
        <f>IFERROR(__xludf.DUMMYFUNCTION("""COMPUTED_VALUE"""),"09 June: Ringing, dropped a text 06 June: He said he is in a meeting will call back 04 June: Ringing, Dropped a text spoke he said he will probably come on 2 days 02 June: Spoke. He needs a 4 seater Cabin space. Sakinaka won't work for him. Lp works and I"&amp;" have shared the Layout and the details over whatsapp. He will probably visit tomorrow 1st half.")</f>
        <v>09 June: Ringing, dropped a text 06 June: He said he is in a meeting will call back 04 June: Ringing, Dropped a text spoke he said he will probably come on 2 days 02 June: Spoke. He needs a 4 seater Cabin space. Sakinaka won't work for him. Lp works and I have shared the Layout and the details over whatsapp. He will probably visit tomorrow 1st half.</v>
      </c>
    </row>
    <row r="66">
      <c r="A66" s="401">
        <f>IFERROR(__xludf.DUMMYFUNCTION("""COMPUTED_VALUE"""),46176.0)</f>
        <v>46176</v>
      </c>
      <c r="B66" s="276" t="str">
        <f>IFERROR(__xludf.DUMMYFUNCTION("""COMPUTED_VALUE"""),"Sandeep  Gaglani ")</f>
        <v>Sandeep  Gaglani </v>
      </c>
      <c r="C66" s="276" t="str">
        <f>IFERROR(__xludf.DUMMYFUNCTION("""COMPUTED_VALUE""")," Baerlocher India")</f>
        <v> Baerlocher India</v>
      </c>
      <c r="D66" s="276" t="str">
        <f>IFERROR(__xludf.DUMMYFUNCTION("""COMPUTED_VALUE"""),"Not responsive")</f>
        <v>Not responsive</v>
      </c>
      <c r="E66" s="276" t="str">
        <f>IFERROR(__xludf.DUMMYFUNCTION("""COMPUTED_VALUE"""),"Andheri ")</f>
        <v>Andheri </v>
      </c>
      <c r="F66" s="276" t="str">
        <f>IFERROR(__xludf.DUMMYFUNCTION("""COMPUTED_VALUE"""),"LinkedIn")</f>
        <v>LinkedIn</v>
      </c>
      <c r="G66" s="276" t="str">
        <f>IFERROR(__xludf.DUMMYFUNCTION("""COMPUTED_VALUE"""),"Shubham ")</f>
        <v>Shubham </v>
      </c>
      <c r="H66" s="276" t="str">
        <f>IFERROR(__xludf.DUMMYFUNCTION("""COMPUTED_VALUE"""),"09 June: Ringing, Dropped a text 06 June: Ringing, Dropped a text 04 June: Ringing, dropped a text ")</f>
        <v>09 June: Ringing, Dropped a text 06 June: Ringing, Dropped a text 04 June: Ringing, dropped a text </v>
      </c>
    </row>
    <row r="67">
      <c r="A67" s="401">
        <f>IFERROR(__xludf.DUMMYFUNCTION("""COMPUTED_VALUE"""),46177.0)</f>
        <v>46177</v>
      </c>
      <c r="B67" s="276" t="str">
        <f>IFERROR(__xludf.DUMMYFUNCTION("""COMPUTED_VALUE"""),"Mohd  Khalid ")</f>
        <v>Mohd  Khalid </v>
      </c>
      <c r="C67" s="276" t="str">
        <f>IFERROR(__xludf.DUMMYFUNCTION("""COMPUTED_VALUE"""),"Bharatam AI")</f>
        <v>Bharatam AI</v>
      </c>
      <c r="D67" s="276" t="str">
        <f>IFERROR(__xludf.DUMMYFUNCTION("""COMPUTED_VALUE"""),"Hold")</f>
        <v>Hold</v>
      </c>
      <c r="E67" s="276" t="str">
        <f>IFERROR(__xludf.DUMMYFUNCTION("""COMPUTED_VALUE"""),"Andheri ")</f>
        <v>Andheri </v>
      </c>
      <c r="F67" s="276" t="str">
        <f>IFERROR(__xludf.DUMMYFUNCTION("""COMPUTED_VALUE"""),"LinkedIn")</f>
        <v>LinkedIn</v>
      </c>
      <c r="G67" s="276" t="str">
        <f>IFERROR(__xludf.DUMMYFUNCTION("""COMPUTED_VALUE"""),"Shubham ")</f>
        <v>Shubham </v>
      </c>
      <c r="H67" s="276" t="str">
        <f>IFERROR(__xludf.DUMMYFUNCTION("""COMPUTED_VALUE"""),"04 June: Spoke he said he is just gathering information and the requirement will be live after 2 months, he need 5-10 seats I have pitched Crescent solitaire. Sent an mail as well ")</f>
        <v>04 June: Spoke he said he is just gathering information and the requirement will be live after 2 months, he need 5-10 seats I have pitched Crescent solitaire. Sent an mail as well </v>
      </c>
    </row>
    <row r="68">
      <c r="A68" s="401">
        <f>IFERROR(__xludf.DUMMYFUNCTION("""COMPUTED_VALUE"""),46178.0)</f>
        <v>46178</v>
      </c>
      <c r="B68" s="276" t="str">
        <f>IFERROR(__xludf.DUMMYFUNCTION("""COMPUTED_VALUE"""),"Huzefa  Kaka ")</f>
        <v>Huzefa  Kaka </v>
      </c>
      <c r="C68" s="276" t="str">
        <f>IFERROR(__xludf.DUMMYFUNCTION("""COMPUTED_VALUE"""),"JHS Consulting  Pvt Ltd")</f>
        <v>JHS Consulting  Pvt Ltd</v>
      </c>
      <c r="D68" s="276" t="str">
        <f>IFERROR(__xludf.DUMMYFUNCTION("""COMPUTED_VALUE"""),"Cold")</f>
        <v>Cold</v>
      </c>
      <c r="E68" s="276" t="str">
        <f>IFERROR(__xludf.DUMMYFUNCTION("""COMPUTED_VALUE"""),"Andheri ")</f>
        <v>Andheri </v>
      </c>
      <c r="F68" s="276" t="str">
        <f>IFERROR(__xludf.DUMMYFUNCTION("""COMPUTED_VALUE"""),"LinkedIn")</f>
        <v>LinkedIn</v>
      </c>
      <c r="G68" s="276" t="str">
        <f>IFERROR(__xludf.DUMMYFUNCTION("""COMPUTED_VALUE"""),"Shubham ")</f>
        <v>Shubham </v>
      </c>
      <c r="H68" s="276" t="str">
        <f>IFERROR(__xludf.DUMMYFUNCTION("""COMPUTED_VALUE"""),"05 June: Ringing, Dropped a text. Spoke he said he has a requirement of 150 seats. He is currently sitting in Marol and wants a MOS Model only. Location preffered are Andheri-Kurla Road, Dadar,, Lower parel, Nariman Point, BKC and kalina. But he cleared t"&amp;"hat his budget is only Rs. 6 Lakhs. He said if you can give me something which is in their budget then only suggest other wise leave it. Discuss this internally first.")</f>
        <v>05 June: Ringing, Dropped a text. Spoke he said he has a requirement of 150 seats. He is currently sitting in Marol and wants a MOS Model only. Location preffered are Andheri-Kurla Road, Dadar,, Lower parel, Nariman Point, BKC and kalina. But he cleared that his budget is only Rs. 6 Lakhs. He said if you can give me something which is in their budget then only suggest other wise leave it. Discuss this internally first.</v>
      </c>
    </row>
    <row r="69">
      <c r="A69" s="401">
        <f>IFERROR(__xludf.DUMMYFUNCTION("""COMPUTED_VALUE"""),46181.0)</f>
        <v>46181</v>
      </c>
      <c r="B69" s="276" t="str">
        <f>IFERROR(__xludf.DUMMYFUNCTION("""COMPUTED_VALUE"""),"Biswajit  Das")</f>
        <v>Biswajit  Das</v>
      </c>
      <c r="C69" s="276" t="str">
        <f>IFERROR(__xludf.DUMMYFUNCTION("""COMPUTED_VALUE""")," Mediaware Infotech Pvt Ltd")</f>
        <v> Mediaware Infotech Pvt Ltd</v>
      </c>
      <c r="D69" s="276" t="str">
        <f>IFERROR(__xludf.DUMMYFUNCTION("""COMPUTED_VALUE"""),"Hot")</f>
        <v>Hot</v>
      </c>
      <c r="E69" s="276" t="str">
        <f>IFERROR(__xludf.DUMMYFUNCTION("""COMPUTED_VALUE"""),"Andheri ")</f>
        <v>Andheri </v>
      </c>
      <c r="F69" s="276" t="str">
        <f>IFERROR(__xludf.DUMMYFUNCTION("""COMPUTED_VALUE"""),"LinkedIn")</f>
        <v>LinkedIn</v>
      </c>
      <c r="G69" s="276" t="str">
        <f>IFERROR(__xludf.DUMMYFUNCTION("""COMPUTED_VALUE"""),"Shubham ")</f>
        <v>Shubham </v>
      </c>
      <c r="H69" s="276" t="str">
        <f>IFERROR(__xludf.DUMMYFUNCTION("""COMPUTED_VALUE"""),"08 June: Ringing, Dropped a Text he replied saying they want 35 seats and 4 cabins near chakala. Send introductory deck and options ")</f>
        <v>08 June: Ringing, Dropped a Text he replied saying they want 35 seats and 4 cabins near chakala. Send introductory deck and options </v>
      </c>
    </row>
    <row r="70">
      <c r="A70" s="401">
        <f>IFERROR(__xludf.DUMMYFUNCTION("""COMPUTED_VALUE"""),46181.0)</f>
        <v>46181</v>
      </c>
      <c r="B70" s="276" t="str">
        <f>IFERROR(__xludf.DUMMYFUNCTION("""COMPUTED_VALUE"""),"Alefiya ")</f>
        <v>Alefiya </v>
      </c>
      <c r="C70" s="276" t="str">
        <f>IFERROR(__xludf.DUMMYFUNCTION("""COMPUTED_VALUE"""),"Burhani Interiors")</f>
        <v>Burhani Interiors</v>
      </c>
      <c r="D70" s="276" t="str">
        <f>IFERROR(__xludf.DUMMYFUNCTION("""COMPUTED_VALUE"""),"Cold")</f>
        <v>Cold</v>
      </c>
      <c r="E70" s="276" t="str">
        <f>IFERROR(__xludf.DUMMYFUNCTION("""COMPUTED_VALUE"""),"Andheri ")</f>
        <v>Andheri </v>
      </c>
      <c r="F70" s="276" t="str">
        <f>IFERROR(__xludf.DUMMYFUNCTION("""COMPUTED_VALUE"""),"LinkedIn")</f>
        <v>LinkedIn</v>
      </c>
      <c r="G70" s="276" t="str">
        <f>IFERROR(__xludf.DUMMYFUNCTION("""COMPUTED_VALUE"""),"Shubham ")</f>
        <v>Shubham </v>
      </c>
      <c r="H70" s="276" t="str">
        <f>IFERROR(__xludf.DUMMYFUNCTION("""COMPUTED_VALUE"""),"09 June: Spoke, they are unable to understand seems to be a wrong input from the person filled the form its an aged lady who doesn't understand all of this 08 June: Ringing, Dropped a Text ")</f>
        <v>09 June: Spoke, they are unable to understand seems to be a wrong input from the person filled the form its an aged lady who doesn't understand all of this 08 June: Ringing, Dropped a Text </v>
      </c>
    </row>
    <row r="71">
      <c r="A71" s="401">
        <f>IFERROR(__xludf.DUMMYFUNCTION("""COMPUTED_VALUE"""),46181.0)</f>
        <v>46181</v>
      </c>
      <c r="B71" s="276" t="str">
        <f>IFERROR(__xludf.DUMMYFUNCTION("""COMPUTED_VALUE"""),"Vikas  Yadav ")</f>
        <v>Vikas  Yadav </v>
      </c>
      <c r="C71" s="276" t="str">
        <f>IFERROR(__xludf.DUMMYFUNCTION("""COMPUTED_VALUE"""),"Kalpa Prisha Fund Services")</f>
        <v>Kalpa Prisha Fund Services</v>
      </c>
      <c r="D71" s="276" t="str">
        <f>IFERROR(__xludf.DUMMYFUNCTION("""COMPUTED_VALUE"""),"Not responsive")</f>
        <v>Not responsive</v>
      </c>
      <c r="E71" s="276" t="str">
        <f>IFERROR(__xludf.DUMMYFUNCTION("""COMPUTED_VALUE"""),"Andheri ")</f>
        <v>Andheri </v>
      </c>
      <c r="F71" s="276" t="str">
        <f>IFERROR(__xludf.DUMMYFUNCTION("""COMPUTED_VALUE"""),"LinkedIn")</f>
        <v>LinkedIn</v>
      </c>
      <c r="G71" s="276" t="str">
        <f>IFERROR(__xludf.DUMMYFUNCTION("""COMPUTED_VALUE"""),"Shubham ")</f>
        <v>Shubham </v>
      </c>
      <c r="H71" s="276" t="str">
        <f>IFERROR(__xludf.DUMMYFUNCTION("""COMPUTED_VALUE"""),"09 June: Spoke, he said he is busy in a meeting call back 08 June: Ringing, Dropped a Text ")</f>
        <v>09 June: Spoke, he said he is busy in a meeting call back 08 June: Ringing, Dropped a Text </v>
      </c>
    </row>
    <row r="72">
      <c r="A72" s="401">
        <f>IFERROR(__xludf.DUMMYFUNCTION("""COMPUTED_VALUE"""),46181.0)</f>
        <v>46181</v>
      </c>
      <c r="B72" s="276" t="str">
        <f>IFERROR(__xludf.DUMMYFUNCTION("""COMPUTED_VALUE"""),"Sidhesh Kudalkar")</f>
        <v>Sidhesh Kudalkar</v>
      </c>
      <c r="C72" s="276" t="str">
        <f>IFERROR(__xludf.DUMMYFUNCTION("""COMPUTED_VALUE"""),"mediasmart")</f>
        <v>mediasmart</v>
      </c>
      <c r="D72" s="276" t="str">
        <f>IFERROR(__xludf.DUMMYFUNCTION("""COMPUTED_VALUE"""),"Hot")</f>
        <v>Hot</v>
      </c>
      <c r="E72" s="276" t="str">
        <f>IFERROR(__xludf.DUMMYFUNCTION("""COMPUTED_VALUE"""),"Andheri ")</f>
        <v>Andheri </v>
      </c>
      <c r="F72" s="276" t="str">
        <f>IFERROR(__xludf.DUMMYFUNCTION("""COMPUTED_VALUE"""),"LinkedIn")</f>
        <v>LinkedIn</v>
      </c>
      <c r="G72" s="276" t="str">
        <f>IFERROR(__xludf.DUMMYFUNCTION("""COMPUTED_VALUE"""),"Shubham ")</f>
        <v>Shubham </v>
      </c>
      <c r="H72" s="276" t="str">
        <f>IFERROR(__xludf.DUMMYFUNCTION("""COMPUTED_VALUE"""),"09 June: Busy on another call, Dropped a text he replied and shared the requirement over text and I have shared an Introductory mail and will share the first cut inventory options shortly  08 June: Ringing, Dropped a Text ")</f>
        <v>09 June: Busy on another call, Dropped a text he replied and shared the requirement over text and I have shared an Introductory mail and will share the first cut inventory options shortly  08 June: Ringing, Dropped a Text </v>
      </c>
    </row>
    <row r="73">
      <c r="A73" s="401">
        <f>IFERROR(__xludf.DUMMYFUNCTION("""COMPUTED_VALUE"""),46182.0)</f>
        <v>46182</v>
      </c>
      <c r="B73" s="276" t="str">
        <f>IFERROR(__xludf.DUMMYFUNCTION("""COMPUTED_VALUE"""),"Ravi  Dhadhania ")</f>
        <v>Ravi  Dhadhania </v>
      </c>
      <c r="C73" s="276" t="str">
        <f>IFERROR(__xludf.DUMMYFUNCTION("""COMPUTED_VALUE"""),"Indimonk Technologies Private Limited")</f>
        <v>Indimonk Technologies Private Limited</v>
      </c>
      <c r="D73" s="276" t="str">
        <f>IFERROR(__xludf.DUMMYFUNCTION("""COMPUTED_VALUE"""),"Warm")</f>
        <v>Warm</v>
      </c>
      <c r="E73" s="276" t="str">
        <f>IFERROR(__xludf.DUMMYFUNCTION("""COMPUTED_VALUE"""),"Andheri ")</f>
        <v>Andheri </v>
      </c>
      <c r="F73" s="276" t="str">
        <f>IFERROR(__xludf.DUMMYFUNCTION("""COMPUTED_VALUE"""),"LinkedIn")</f>
        <v>LinkedIn</v>
      </c>
      <c r="G73" s="276" t="str">
        <f>IFERROR(__xludf.DUMMYFUNCTION("""COMPUTED_VALUE"""),"Shubham ")</f>
        <v>Shubham </v>
      </c>
      <c r="H73" s="276" t="str">
        <f>IFERROR(__xludf.DUMMYFUNCTION("""COMPUTED_VALUE"""),"09 June: Disconnected my call, dropped a text. He called back he has requirement. I have pitched Sakinaka Crescent solitaire and sent the details over whatsapp ")</f>
        <v>09 June: Disconnected my call, dropped a text. He called back he has requirement. I have pitched Sakinaka Crescent solitaire and sent the details over whatsapp </v>
      </c>
    </row>
    <row r="74">
      <c r="A74" s="402">
        <f>IFERROR(__xludf.DUMMYFUNCTION("""COMPUTED_VALUE"""),46184.0)</f>
        <v>46184</v>
      </c>
      <c r="B74" s="276" t="str">
        <f>IFERROR(__xludf.DUMMYFUNCTION("""COMPUTED_VALUE"""),"Daivya Sharma ")</f>
        <v>Daivya Sharma </v>
      </c>
      <c r="C74" s="276" t="str">
        <f>IFERROR(__xludf.DUMMYFUNCTION("""COMPUTED_VALUE"""),"Signellent Technologies India Pvt. Ltd.")</f>
        <v>Signellent Technologies India Pvt. Ltd.</v>
      </c>
      <c r="D74" s="276" t="str">
        <f>IFERROR(__xludf.DUMMYFUNCTION("""COMPUTED_VALUE"""),"Hot")</f>
        <v>Hot</v>
      </c>
      <c r="E74" s="276" t="str">
        <f>IFERROR(__xludf.DUMMYFUNCTION("""COMPUTED_VALUE"""),"Andheri ")</f>
        <v>Andheri </v>
      </c>
      <c r="F74" s="276" t="str">
        <f>IFERROR(__xludf.DUMMYFUNCTION("""COMPUTED_VALUE"""),"LinkedIn")</f>
        <v>LinkedIn</v>
      </c>
      <c r="G74" s="276" t="str">
        <f>IFERROR(__xludf.DUMMYFUNCTION("""COMPUTED_VALUE"""),"Shubham ")</f>
        <v>Shubham </v>
      </c>
      <c r="H74" s="276" t="str">
        <f>IFERROR(__xludf.DUMMYFUNCTION("""COMPUTED_VALUE"""),"11 June: Spoke. He is looking for a 25 seater with 4 cabins and 1 conference room. Micro-markets preferred are  Goregaon, Jogeshwari and Malad. His current office is in Borivali (E) they are relocating because building is going under redevelopment. It's a"&amp;"n IT company. Their Client base is Co-Working companies to help and manage the Entire IT set-up. One of his client is Awfis.")</f>
        <v>11 June: Spoke. He is looking for a 25 seater with 4 cabins and 1 conference room. Micro-markets preferred are  Goregaon, Jogeshwari and Malad. His current office is in Borivali (E) they are relocating because building is going under redevelopment. It's an IT company. Their Client base is Co-Working companies to help and manage the Entire IT set-up. One of his client is Awfis.</v>
      </c>
    </row>
    <row r="75">
      <c r="A75" s="402">
        <f>IFERROR(__xludf.DUMMYFUNCTION("""COMPUTED_VALUE"""),46185.0)</f>
        <v>46185</v>
      </c>
      <c r="B75" s="276" t="str">
        <f>IFERROR(__xludf.DUMMYFUNCTION("""COMPUTED_VALUE"""),"Devarajan Ramachandran")</f>
        <v>Devarajan Ramachandran</v>
      </c>
      <c r="C75" s="276" t="str">
        <f>IFERROR(__xludf.DUMMYFUNCTION("""COMPUTED_VALUE""")," Bazaar247 MCommerce Pvt. Ltd.")</f>
        <v> Bazaar247 MCommerce Pvt. Ltd.</v>
      </c>
      <c r="D75" s="276" t="str">
        <f>IFERROR(__xludf.DUMMYFUNCTION("""COMPUTED_VALUE"""),"Hot")</f>
        <v>Hot</v>
      </c>
      <c r="E75" s="276" t="str">
        <f>IFERROR(__xludf.DUMMYFUNCTION("""COMPUTED_VALUE"""),"Andheri ")</f>
        <v>Andheri </v>
      </c>
      <c r="F75" s="276" t="str">
        <f>IFERROR(__xludf.DUMMYFUNCTION("""COMPUTED_VALUE"""),"LinkedIn")</f>
        <v>LinkedIn</v>
      </c>
      <c r="G75" s="276" t="str">
        <f>IFERROR(__xludf.DUMMYFUNCTION("""COMPUTED_VALUE"""),"Shubham ")</f>
        <v>Shubham </v>
      </c>
      <c r="H75" s="276" t="str">
        <f>IFERROR(__xludf.DUMMYFUNCTION("""COMPUTED_VALUE"""),"12 June: Spoke, He wants a co working space for about or less then 25 people.I have pitched Crescent Solitaire and shared the details over wp. He said he will visit today or tomorrow. ")</f>
        <v>12 June: Spoke, He wants a co working space for about or less then 25 people.I have pitched Crescent Solitaire and shared the details over wp. He said he will visit today or tomorrow. </v>
      </c>
    </row>
    <row r="76">
      <c r="A76" s="402">
        <f>IFERROR(__xludf.DUMMYFUNCTION("""COMPUTED_VALUE"""),46185.0)</f>
        <v>46185</v>
      </c>
      <c r="B76" s="276" t="str">
        <f>IFERROR(__xludf.DUMMYFUNCTION("""COMPUTED_VALUE"""),"Bhavyan  Kothari ")</f>
        <v>Bhavyan  Kothari </v>
      </c>
      <c r="C76" s="276" t="str">
        <f>IFERROR(__xludf.DUMMYFUNCTION("""COMPUTED_VALUE"""),"Infinity Systems")</f>
        <v>Infinity Systems</v>
      </c>
      <c r="D76" s="276" t="str">
        <f>IFERROR(__xludf.DUMMYFUNCTION("""COMPUTED_VALUE"""),"Hot")</f>
        <v>Hot</v>
      </c>
      <c r="E76" s="276" t="str">
        <f>IFERROR(__xludf.DUMMYFUNCTION("""COMPUTED_VALUE"""),"Andheri ")</f>
        <v>Andheri </v>
      </c>
      <c r="F76" s="276" t="str">
        <f>IFERROR(__xludf.DUMMYFUNCTION("""COMPUTED_VALUE"""),"LinkedIn")</f>
        <v>LinkedIn</v>
      </c>
      <c r="G76" s="276" t="str">
        <f>IFERROR(__xludf.DUMMYFUNCTION("""COMPUTED_VALUE"""),"Shubham ")</f>
        <v>Shubham </v>
      </c>
      <c r="H76" s="276" t="str">
        <f>IFERROR(__xludf.DUMMYFUNCTION("""COMPUTED_VALUE"""),"12 June: Busy on another call, dropped a text He called back and he is looking for a Turnkey solution he took a new office in Ghatopar of arond 700 sqft. I asked for a meeting he has send me an address and we can meet in Vidyavihar in their current office"&amp;". ")</f>
        <v>12 June: Busy on another call, dropped a text He called back and he is looking for a Turnkey solution he took a new office in Ghatopar of arond 700 sqft. I asked for a meeting he has send me an address and we can meet in Vidyavihar in their current office. </v>
      </c>
    </row>
    <row r="77">
      <c r="A77" s="400">
        <f>IFERROR(__xludf.DUMMYFUNCTION("""COMPUTED_VALUE"""),46118.0)</f>
        <v>46118</v>
      </c>
      <c r="B77" s="276" t="str">
        <f>IFERROR(__xludf.DUMMYFUNCTION("""COMPUTED_VALUE"""),"Sagar  Shelar")</f>
        <v>Sagar  Shelar</v>
      </c>
      <c r="C77" s="276" t="str">
        <f>IFERROR(__xludf.DUMMYFUNCTION("""COMPUTED_VALUE"""),"Homesfy")</f>
        <v>Homesfy</v>
      </c>
      <c r="D77" s="276" t="str">
        <f>IFERROR(__xludf.DUMMYFUNCTION("""COMPUTED_VALUE"""),"Lost")</f>
        <v>Lost</v>
      </c>
      <c r="E77" s="276" t="str">
        <f>IFERROR(__xludf.DUMMYFUNCTION("""COMPUTED_VALUE"""),"Lower parel")</f>
        <v>Lower parel</v>
      </c>
      <c r="F77" s="276" t="str">
        <f>IFERROR(__xludf.DUMMYFUNCTION("""COMPUTED_VALUE"""),"Meta")</f>
        <v>Meta</v>
      </c>
      <c r="G77" s="276" t="str">
        <f>IFERROR(__xludf.DUMMYFUNCTION("""COMPUTED_VALUE"""),"Shravani")</f>
        <v>Shravani</v>
      </c>
      <c r="H77" s="276" t="str">
        <f>IFERROR(__xludf.DUMMYFUNCTION("""COMPUTED_VALUE"""),"12 May: Their requirement is on hold for now. 8th May: The CFO will visit on Monday maybe. 5th May: He will call me in a while. 4 May: Ringing, Dropped a text saying we can close the deal at 10.5k. 2 May: Ringing. 30 April: He has a budget of 10,500 and i"&amp;"s open to go ahead with Flexible seats. 28 April: The sales head visited the space. 27 April: Today he will discuss with his boss and will get back to me by EOD. 24 April: Ringing, Dropped a text. 23 April: Spoke to sushil (admin) he mentioned that his bo"&amp;"ss is not in town and might come back today and will try to visit the space in the coming week. 22 April: He will update me by today EOD. 21 April: Ringing. 20 April: Their management has still not come to a conclusion. 18 April: He wants 11 open workstat"&amp;"ions and he is offering 3 months lockin. I have asked him for atleast 6 months of lockin. He will check with his management and will get back to me. 17 April: He have not received any feedack from his management on visit. 16 April: Ringing. 15 April: He n"&amp;"eeds a video of the space we are offering him to show his management, post that he will be able to visit. 13 April: Ringing, dropped a text. 12 April: Followup msg asking about the visit plans for this week. 10 April: Spoke to Mr. Sushil (Admin), shared w"&amp;"ith him the images and commercials. He will let me know about the visit plans soon. 8 April: Their Budget is 10k to 11k not more than that. 7 April: Sushil (Admin) is expected to visit either today or tomorrow. 6 April: He needs the quotation based on tha"&amp;"t he will come for a visit tomorrow.")</f>
        <v>12 May: Their requirement is on hold for now. 8th May: The CFO will visit on Monday maybe. 5th May: He will call me in a while. 4 May: Ringing, Dropped a text saying we can close the deal at 10.5k. 2 May: Ringing. 30 April: He has a budget of 10,500 and is open to go ahead with Flexible seats. 28 April: The sales head visited the space. 27 April: Today he will discuss with his boss and will get back to me by EOD. 24 April: Ringing, Dropped a text. 23 April: Spoke to sushil (admin) he mentioned that his boss is not in town and might come back today and will try to visit the space in the coming week. 22 April: He will update me by today EOD. 21 April: Ringing. 20 April: Their management has still not come to a conclusion. 18 April: He wants 11 open workstations and he is offering 3 months lockin. I have asked him for atleast 6 months of lockin. He will check with his management and will get back to me. 17 April: He have not received any feedack from his management on visit. 16 April: Ringing. 15 April: He needs a video of the space we are offering him to show his management, post that he will be able to visit. 13 April: Ringing, dropped a text. 12 April: Followup msg asking about the visit plans for this week. 10 April: Spoke to Mr. Sushil (Admin), shared with him the images and commercials. He will let me know about the visit plans soon. 8 April: Their Budget is 10k to 11k not more than that. 7 April: Sushil (Admin) is expected to visit either today or tomorrow. 6 April: He needs the quotation based on that he will come for a visit tomorrow.</v>
      </c>
    </row>
    <row r="78">
      <c r="A78" s="400">
        <f>IFERROR(__xludf.DUMMYFUNCTION("""COMPUTED_VALUE"""),46118.0)</f>
        <v>46118</v>
      </c>
      <c r="B78" s="276" t="str">
        <f>IFERROR(__xludf.DUMMYFUNCTION("""COMPUTED_VALUE"""),"Rajesh  Gupta")</f>
        <v>Rajesh  Gupta</v>
      </c>
      <c r="C78" s="276"/>
      <c r="D78" s="276" t="str">
        <f>IFERROR(__xludf.DUMMYFUNCTION("""COMPUTED_VALUE"""),"Lost")</f>
        <v>Lost</v>
      </c>
      <c r="E78" s="276" t="str">
        <f>IFERROR(__xludf.DUMMYFUNCTION("""COMPUTED_VALUE"""),"Lower parel")</f>
        <v>Lower parel</v>
      </c>
      <c r="F78" s="276" t="str">
        <f>IFERROR(__xludf.DUMMYFUNCTION("""COMPUTED_VALUE"""),"Meta")</f>
        <v>Meta</v>
      </c>
      <c r="G78" s="276" t="str">
        <f>IFERROR(__xludf.DUMMYFUNCTION("""COMPUTED_VALUE"""),"Shravani")</f>
        <v>Shravani</v>
      </c>
      <c r="H78" s="276" t="str">
        <f>IFERROR(__xludf.DUMMYFUNCTION("""COMPUTED_VALUE"""),"18 April: He said he is not interested in shared space. 17 April: Ringing. 16 April: He needs a conventional office but he have asked me to share the images of the space.15April: Ringing. 14 April: Ringing. 13 April: Ringing. 12 April: Declined the call. "&amp;"10 April: Ringing. 9 April: Ringing. 8th April: 7 April: Switch off. 6 April: Ringing, Dropped a text.")</f>
        <v>18 April: He said he is not interested in shared space. 17 April: Ringing. 16 April: He needs a conventional office but he have asked me to share the images of the space.15April: Ringing. 14 April: Ringing. 13 April: Ringing. 12 April: Declined the call. 10 April: Ringing. 9 April: Ringing. 8th April: 7 April: Switch off. 6 April: Ringing, Dropped a text.</v>
      </c>
    </row>
    <row r="79">
      <c r="A79" s="400">
        <f>IFERROR(__xludf.DUMMYFUNCTION("""COMPUTED_VALUE"""),46118.0)</f>
        <v>46118</v>
      </c>
      <c r="B79" s="276" t="str">
        <f>IFERROR(__xludf.DUMMYFUNCTION("""COMPUTED_VALUE"""),"Bharat  Zaveri")</f>
        <v>Bharat  Zaveri</v>
      </c>
      <c r="C79" s="276" t="str">
        <f>IFERROR(__xludf.DUMMYFUNCTION("""COMPUTED_VALUE"""),"The Royal Group")</f>
        <v>The Royal Group</v>
      </c>
      <c r="D79" s="276" t="str">
        <f>IFERROR(__xludf.DUMMYFUNCTION("""COMPUTED_VALUE"""),"Lost")</f>
        <v>Lost</v>
      </c>
      <c r="E79" s="276" t="str">
        <f>IFERROR(__xludf.DUMMYFUNCTION("""COMPUTED_VALUE"""),"Lower parel")</f>
        <v>Lower parel</v>
      </c>
      <c r="F79" s="276" t="str">
        <f>IFERROR(__xludf.DUMMYFUNCTION("""COMPUTED_VALUE"""),"Meta")</f>
        <v>Meta</v>
      </c>
      <c r="G79" s="276" t="str">
        <f>IFERROR(__xludf.DUMMYFUNCTION("""COMPUTED_VALUE"""),"Shravani")</f>
        <v>Shravani</v>
      </c>
      <c r="H79" s="276" t="str">
        <f>IFERROR(__xludf.DUMMYFUNCTION("""COMPUTED_VALUE"""),"8th April: 6 April: He need a 4 seater cabin in Lower Parel West.")</f>
        <v>8th April: 6 April: He need a 4 seater cabin in Lower Parel West.</v>
      </c>
    </row>
    <row r="80">
      <c r="A80" s="400">
        <f>IFERROR(__xludf.DUMMYFUNCTION("""COMPUTED_VALUE"""),46118.0)</f>
        <v>46118</v>
      </c>
      <c r="B80" s="276" t="str">
        <f>IFERROR(__xludf.DUMMYFUNCTION("""COMPUTED_VALUE"""),"Akhil. ")</f>
        <v>Akhil. </v>
      </c>
      <c r="C80" s="276" t="str">
        <f>IFERROR(__xludf.DUMMYFUNCTION("""COMPUTED_VALUE"""),"Inspiring Life Communities")</f>
        <v>Inspiring Life Communities</v>
      </c>
      <c r="D80" s="276" t="str">
        <f>IFERROR(__xludf.DUMMYFUNCTION("""COMPUTED_VALUE"""),"Warm")</f>
        <v>Warm</v>
      </c>
      <c r="E80" s="276" t="str">
        <f>IFERROR(__xludf.DUMMYFUNCTION("""COMPUTED_VALUE"""),"Lower parel")</f>
        <v>Lower parel</v>
      </c>
      <c r="F80" s="276" t="str">
        <f>IFERROR(__xludf.DUMMYFUNCTION("""COMPUTED_VALUE"""),"Meta")</f>
        <v>Meta</v>
      </c>
      <c r="G80" s="276" t="str">
        <f>IFERROR(__xludf.DUMMYFUNCTION("""COMPUTED_VALUE"""),"Shravani")</f>
        <v>Shravani</v>
      </c>
      <c r="H80" s="276" t="str">
        <f>IFERROR(__xludf.DUMMYFUNCTION("""COMPUTED_VALUE"""),"27th May: Visit is on Saturday. 23 May: Ringing. 13 May: Declined my call dropped a text. 11 May: Ringing. 8th May: Dropped him a text. 5th May: He will try to visit in this coming weekend. 28 April: He will get back to me on 4th May. 27 April: Ringing. H"&amp;"e is not answering my call from past 1 week. 24 April: Ringing, dropped a text. 23 April:Ringing, Dropped a text. 22 April: Dropped a text. 21 April: Ringing. 20 April: Dropped him a text. 18 April: He wants to visit the space tomorrow (Sunday). 17 April:"&amp;" Ringing. 16 April: Dropped a followup msg. 15 April: He will try to visit this coming Friday or Saturday. 14 April: Ringing, dropped a text. 13 April: Ringing, dropped a text. 12 April: Ringing, Followup msg asking about the vist plans for this coming we"&amp;"ek. 10 April: Followed up with him regarding the visit for today. 9 April: He will visit tomorrow at 6:30 pm. 8 April: Ringing, dropped a text. 7 April: Followed up on WhatsApp regarding this week’s visit plan; no response yet. 6 April: 26 Seater requirem"&amp;"ent he has asked me to share the commercials and images of the space on whatsapp.")</f>
        <v>27th May: Visit is on Saturday. 23 May: Ringing. 13 May: Declined my call dropped a text. 11 May: Ringing. 8th May: Dropped him a text. 5th May: He will try to visit in this coming weekend. 28 April: He will get back to me on 4th May. 27 April: Ringing. He is not answering my call from past 1 week. 24 April: Ringing, dropped a text. 23 April:Ringing, Dropped a text. 22 April: Dropped a text. 21 April: Ringing. 20 April: Dropped him a text. 18 April: He wants to visit the space tomorrow (Sunday). 17 April: Ringing. 16 April: Dropped a followup msg. 15 April: He will try to visit this coming Friday or Saturday. 14 April: Ringing, dropped a text. 13 April: Ringing, dropped a text. 12 April: Ringing, Followup msg asking about the vist plans for this coming week. 10 April: Followed up with him regarding the visit for today. 9 April: He will visit tomorrow at 6:30 pm. 8 April: Ringing, dropped a text. 7 April: Followed up on WhatsApp regarding this week’s visit plan; no response yet. 6 April: 26 Seater requirement he has asked me to share the commercials and images of the space on whatsapp.</v>
      </c>
    </row>
    <row r="81">
      <c r="A81" s="400">
        <f>IFERROR(__xludf.DUMMYFUNCTION("""COMPUTED_VALUE"""),46118.0)</f>
        <v>46118</v>
      </c>
      <c r="B81" s="276" t="str">
        <f>IFERROR(__xludf.DUMMYFUNCTION("""COMPUTED_VALUE"""),"Vaibhav  Shinde")</f>
        <v>Vaibhav  Shinde</v>
      </c>
      <c r="C81" s="276" t="str">
        <f>IFERROR(__xludf.DUMMYFUNCTION("""COMPUTED_VALUE"""),"Eureka Forbes Limited")</f>
        <v>Eureka Forbes Limited</v>
      </c>
      <c r="D81" s="276" t="str">
        <f>IFERROR(__xludf.DUMMYFUNCTION("""COMPUTED_VALUE"""),"Lost")</f>
        <v>Lost</v>
      </c>
      <c r="E81" s="276" t="str">
        <f>IFERROR(__xludf.DUMMYFUNCTION("""COMPUTED_VALUE"""),"Lower parel")</f>
        <v>Lower parel</v>
      </c>
      <c r="F81" s="276" t="str">
        <f>IFERROR(__xludf.DUMMYFUNCTION("""COMPUTED_VALUE"""),"Meta")</f>
        <v>Meta</v>
      </c>
      <c r="G81" s="276" t="str">
        <f>IFERROR(__xludf.DUMMYFUNCTION("""COMPUTED_VALUE"""),"Shravani")</f>
        <v>Shravani</v>
      </c>
      <c r="H81" s="276" t="str">
        <f>IFERROR(__xludf.DUMMYFUNCTION("""COMPUTED_VALUE"""),"9 April: They feel that lower parel is expensive and are now interested in Ghatkopar but still they are not sure about the budget. 8 April: Not Answering the call, dropped a text. April: Busy on Call. 6 April: Declined the call, dropped him a text.")</f>
        <v>9 April: They feel that lower parel is expensive and are now interested in Ghatkopar but still they are not sure about the budget. 8 April: Not Answering the call, dropped a text. April: Busy on Call. 6 April: Declined the call, dropped him a text.</v>
      </c>
    </row>
    <row r="82">
      <c r="A82" s="400">
        <f>IFERROR(__xludf.DUMMYFUNCTION("""COMPUTED_VALUE"""),46121.0)</f>
        <v>46121</v>
      </c>
      <c r="B82" s="276" t="str">
        <f>IFERROR(__xludf.DUMMYFUNCTION("""COMPUTED_VALUE"""),"Dr Sabyasachi
 Banerjee")</f>
        <v>Dr Sabyasachi
 Banerjee</v>
      </c>
      <c r="C82" s="276" t="str">
        <f>IFERROR(__xludf.DUMMYFUNCTION("""COMPUTED_VALUE"""),"SabHub Industries")</f>
        <v>SabHub Industries</v>
      </c>
      <c r="D82" s="276" t="str">
        <f>IFERROR(__xludf.DUMMYFUNCTION("""COMPUTED_VALUE"""),"Lost")</f>
        <v>Lost</v>
      </c>
      <c r="E82" s="276" t="str">
        <f>IFERROR(__xludf.DUMMYFUNCTION("""COMPUTED_VALUE"""),"Lower parel")</f>
        <v>Lower parel</v>
      </c>
      <c r="F82" s="276" t="str">
        <f>IFERROR(__xludf.DUMMYFUNCTION("""COMPUTED_VALUE"""),"Meta")</f>
        <v>Meta</v>
      </c>
      <c r="G82" s="276" t="str">
        <f>IFERROR(__xludf.DUMMYFUNCTION("""COMPUTED_VALUE"""),"Shravani")</f>
        <v>Shravani</v>
      </c>
      <c r="H82" s="276" t="str">
        <f>IFERROR(__xludf.DUMMYFUNCTION("""COMPUTED_VALUE"""),"10 April: Today we have a virtual call at 5:30 PM. (As discussed with Mehul Sir we can not work on this lead)")</f>
        <v>10 April: Today we have a virtual call at 5:30 PM. (As discussed with Mehul Sir we can not work on this lead)</v>
      </c>
    </row>
    <row r="83">
      <c r="A83" s="400">
        <f>IFERROR(__xludf.DUMMYFUNCTION("""COMPUTED_VALUE"""),46121.0)</f>
        <v>46121</v>
      </c>
      <c r="B83" s="276" t="str">
        <f>IFERROR(__xludf.DUMMYFUNCTION("""COMPUTED_VALUE"""),"Yogini Patil")</f>
        <v>Yogini Patil</v>
      </c>
      <c r="C83" s="276" t="str">
        <f>IFERROR(__xludf.DUMMYFUNCTION("""COMPUTED_VALUE"""),"Slimwell Complete Fitness Club")</f>
        <v>Slimwell Complete Fitness Club</v>
      </c>
      <c r="D83" s="276" t="str">
        <f>IFERROR(__xludf.DUMMYFUNCTION("""COMPUTED_VALUE"""),"Lost")</f>
        <v>Lost</v>
      </c>
      <c r="E83" s="276" t="str">
        <f>IFERROR(__xludf.DUMMYFUNCTION("""COMPUTED_VALUE"""),"Lower parel")</f>
        <v>Lower parel</v>
      </c>
      <c r="F83" s="276" t="str">
        <f>IFERROR(__xludf.DUMMYFUNCTION("""COMPUTED_VALUE"""),"Meta")</f>
        <v>Meta</v>
      </c>
      <c r="G83" s="276" t="str">
        <f>IFERROR(__xludf.DUMMYFUNCTION("""COMPUTED_VALUE"""),"Shravani")</f>
        <v>Shravani</v>
      </c>
      <c r="H83" s="276" t="str">
        <f>IFERROR(__xludf.DUMMYFUNCTION("""COMPUTED_VALUE"""),"14 April: The founder of her company is not interested in a shared office and want to go ahead with a conventional setup. 13 April: She needs a enclosed space with 15 workstation shared her the images of the space. 12 April: Ringing, dropped a voice note."&amp;" 10 April: Call was ringing but unanswered; have shared a text for follow-up.")</f>
        <v>14 April: The founder of her company is not interested in a shared office and want to go ahead with a conventional setup. 13 April: She needs a enclosed space with 15 workstation shared her the images of the space. 12 April: Ringing, dropped a voice note. 10 April: Call was ringing but unanswered; have shared a text for follow-up.</v>
      </c>
    </row>
    <row r="84">
      <c r="A84" s="400">
        <f>IFERROR(__xludf.DUMMYFUNCTION("""COMPUTED_VALUE"""),46122.0)</f>
        <v>46122</v>
      </c>
      <c r="B84" s="276" t="str">
        <f>IFERROR(__xludf.DUMMYFUNCTION("""COMPUTED_VALUE"""),"Kamlesh Sanghvi")</f>
        <v>Kamlesh Sanghvi</v>
      </c>
      <c r="C84" s="276" t="str">
        <f>IFERROR(__xludf.DUMMYFUNCTION("""COMPUTED_VALUE"""),"Simplex Metal and Alloys")</f>
        <v>Simplex Metal and Alloys</v>
      </c>
      <c r="D84" s="276" t="str">
        <f>IFERROR(__xludf.DUMMYFUNCTION("""COMPUTED_VALUE"""),"Lost")</f>
        <v>Lost</v>
      </c>
      <c r="E84" s="276" t="str">
        <f>IFERROR(__xludf.DUMMYFUNCTION("""COMPUTED_VALUE"""),"Lower parel")</f>
        <v>Lower parel</v>
      </c>
      <c r="F84" s="276" t="str">
        <f>IFERROR(__xludf.DUMMYFUNCTION("""COMPUTED_VALUE"""),"Meta")</f>
        <v>Meta</v>
      </c>
      <c r="G84" s="276" t="str">
        <f>IFERROR(__xludf.DUMMYFUNCTION("""COMPUTED_VALUE"""),"Shravani")</f>
        <v>Shravani</v>
      </c>
      <c r="H84" s="276" t="str">
        <f>IFERROR(__xludf.DUMMYFUNCTION("""COMPUTED_VALUE"""),"13 April: He needs a 1000sq.ft conventional office. 12 April: Shared with him the images of our space as he is not responding the calls. 10 April: He mentioned he is not comfortable sharing requirements over a call with a new contact and declined the call"&amp;". I have dropped him a message instead.
")</f>
        <v>13 April: He needs a 1000sq.ft conventional office. 12 April: Shared with him the images of our space as he is not responding the calls. 10 April: He mentioned he is not comfortable sharing requirements over a call with a new contact and declined the call. I have dropped him a message instead.
</v>
      </c>
    </row>
    <row r="85">
      <c r="A85" s="400">
        <f>IFERROR(__xludf.DUMMYFUNCTION("""COMPUTED_VALUE"""),46122.0)</f>
        <v>46122</v>
      </c>
      <c r="B85" s="276" t="str">
        <f>IFERROR(__xludf.DUMMYFUNCTION("""COMPUTED_VALUE"""),"Aldrin Alphonso")</f>
        <v>Aldrin Alphonso</v>
      </c>
      <c r="C85" s="276" t="str">
        <f>IFERROR(__xludf.DUMMYFUNCTION("""COMPUTED_VALUE"""),"Future Wave Technologies")</f>
        <v>Future Wave Technologies</v>
      </c>
      <c r="D85" s="276" t="str">
        <f>IFERROR(__xludf.DUMMYFUNCTION("""COMPUTED_VALUE"""),"Cold")</f>
        <v>Cold</v>
      </c>
      <c r="E85" s="276" t="str">
        <f>IFERROR(__xludf.DUMMYFUNCTION("""COMPUTED_VALUE"""),"Lower parel")</f>
        <v>Lower parel</v>
      </c>
      <c r="F85" s="276" t="str">
        <f>IFERROR(__xludf.DUMMYFUNCTION("""COMPUTED_VALUE"""),"Meta")</f>
        <v>Meta</v>
      </c>
      <c r="G85" s="276" t="str">
        <f>IFERROR(__xludf.DUMMYFUNCTION("""COMPUTED_VALUE"""),"Shravani")</f>
        <v>Shravani</v>
      </c>
      <c r="H85" s="276" t="str">
        <f>IFERROR(__xludf.DUMMYFUNCTION("""COMPUTED_VALUE"""),"10 April: Shubham is already in touch with him.")</f>
        <v>10 April: Shubham is already in touch with him.</v>
      </c>
    </row>
    <row r="86">
      <c r="A86" s="400">
        <f>IFERROR(__xludf.DUMMYFUNCTION("""COMPUTED_VALUE"""),46122.0)</f>
        <v>46122</v>
      </c>
      <c r="B86" s="276" t="str">
        <f>IFERROR(__xludf.DUMMYFUNCTION("""COMPUTED_VALUE"""),"Vijay Kadam")</f>
        <v>Vijay Kadam</v>
      </c>
      <c r="C86" s="276" t="str">
        <f>IFERROR(__xludf.DUMMYFUNCTION("""COMPUTED_VALUE"""),"Clix Capital")</f>
        <v>Clix Capital</v>
      </c>
      <c r="D86" s="276" t="str">
        <f>IFERROR(__xludf.DUMMYFUNCTION("""COMPUTED_VALUE"""),"Lost")</f>
        <v>Lost</v>
      </c>
      <c r="E86" s="276" t="str">
        <f>IFERROR(__xludf.DUMMYFUNCTION("""COMPUTED_VALUE"""),"Lower parel")</f>
        <v>Lower parel</v>
      </c>
      <c r="F86" s="276" t="str">
        <f>IFERROR(__xludf.DUMMYFUNCTION("""COMPUTED_VALUE"""),"Meta")</f>
        <v>Meta</v>
      </c>
      <c r="G86" s="276" t="str">
        <f>IFERROR(__xludf.DUMMYFUNCTION("""COMPUTED_VALUE"""),"Shravani")</f>
        <v>Shravani</v>
      </c>
      <c r="H86" s="276" t="str">
        <f>IFERROR(__xludf.DUMMYFUNCTION("""COMPUTED_VALUE"""),"12 April: He is looking for a office space in Andheri. He needs 3000sq.ft and his budget is 4 Lacs")</f>
        <v>12 April: He is looking for a office space in Andheri. He needs 3000sq.ft and his budget is 4 Lacs</v>
      </c>
    </row>
    <row r="87">
      <c r="A87" s="402">
        <f>IFERROR(__xludf.DUMMYFUNCTION("""COMPUTED_VALUE"""),46123.0)</f>
        <v>46123</v>
      </c>
      <c r="B87" s="276" t="str">
        <f>IFERROR(__xludf.DUMMYFUNCTION("""COMPUTED_VALUE"""),"Punit Jain")</f>
        <v>Punit Jain</v>
      </c>
      <c r="C87" s="276" t="str">
        <f>IFERROR(__xludf.DUMMYFUNCTION("""COMPUTED_VALUE"""),"Avp Money Advantage")</f>
        <v>Avp Money Advantage</v>
      </c>
      <c r="D87" s="276" t="str">
        <f>IFERROR(__xludf.DUMMYFUNCTION("""COMPUTED_VALUE"""),"Hold")</f>
        <v>Hold</v>
      </c>
      <c r="E87" s="276" t="str">
        <f>IFERROR(__xludf.DUMMYFUNCTION("""COMPUTED_VALUE"""),"Lower parel")</f>
        <v>Lower parel</v>
      </c>
      <c r="F87" s="276" t="str">
        <f>IFERROR(__xludf.DUMMYFUNCTION("""COMPUTED_VALUE"""),"Meta")</f>
        <v>Meta</v>
      </c>
      <c r="G87" s="276" t="str">
        <f>IFERROR(__xludf.DUMMYFUNCTION("""COMPUTED_VALUE"""),"Shravani")</f>
        <v>Shravani</v>
      </c>
      <c r="H87" s="276" t="str">
        <f>IFERROR(__xludf.DUMMYFUNCTION("""COMPUTED_VALUE"""),"13 May: Reachout to him on 1st June. 15 April: His requirement will be active post 2 months. 14 April: I checked with him about his visit plans, he mentioned that he will let me know soon. 13 April: He needs a 4 seater cabin. He wants to move-in within 2 "&amp;"months. 12 April: Ringing, dropped a text.")</f>
        <v>13 May: Reachout to him on 1st June. 15 April: His requirement will be active post 2 months. 14 April: I checked with him about his visit plans, he mentioned that he will let me know soon. 13 April: He needs a 4 seater cabin. He wants to move-in within 2 months. 12 April: Ringing, dropped a text.</v>
      </c>
    </row>
    <row r="88">
      <c r="A88" s="402">
        <f>IFERROR(__xludf.DUMMYFUNCTION("""COMPUTED_VALUE"""),46124.0)</f>
        <v>46124</v>
      </c>
      <c r="B88" s="276" t="str">
        <f>IFERROR(__xludf.DUMMYFUNCTION("""COMPUTED_VALUE"""),"Pavan  Java")</f>
        <v>Pavan  Java</v>
      </c>
      <c r="C88" s="276" t="str">
        <f>IFERROR(__xludf.DUMMYFUNCTION("""COMPUTED_VALUE"""),"Pavan Java Design Studio")</f>
        <v>Pavan Java Design Studio</v>
      </c>
      <c r="D88" s="276" t="str">
        <f>IFERROR(__xludf.DUMMYFUNCTION("""COMPUTED_VALUE"""),"Lost")</f>
        <v>Lost</v>
      </c>
      <c r="E88" s="276" t="str">
        <f>IFERROR(__xludf.DUMMYFUNCTION("""COMPUTED_VALUE"""),"Lower parel")</f>
        <v>Lower parel</v>
      </c>
      <c r="F88" s="276" t="str">
        <f>IFERROR(__xludf.DUMMYFUNCTION("""COMPUTED_VALUE"""),"Meta")</f>
        <v>Meta</v>
      </c>
      <c r="G88" s="276" t="str">
        <f>IFERROR(__xludf.DUMMYFUNCTION("""COMPUTED_VALUE"""),"Shravani")</f>
        <v>Shravani</v>
      </c>
      <c r="H88" s="276" t="str">
        <f>IFERROR(__xludf.DUMMYFUNCTION("""COMPUTED_VALUE"""),"28 April: His requirement is fulfilled and he is going ahead with a conventional space. 27 April: Ringing. 24 April: Dropped him a text. 23 April: Dropped a text. 22 April: He is not respoding the calls, dropped a text. 20 April: Dropped him a text. 18 Ap"&amp;"ril: Ringing, dropped him a text. 17 April: Ringing. 16 April: He declined the call. 15th April: Ringing, dropped a voice note. 14 April: Ringing, dropped a text. 13 April: Shared with him the images and commercials. ")</f>
        <v>28 April: His requirement is fulfilled and he is going ahead with a conventional space. 27 April: Ringing. 24 April: Dropped him a text. 23 April: Dropped a text. 22 April: He is not respoding the calls, dropped a text. 20 April: Dropped him a text. 18 April: Ringing, dropped him a text. 17 April: Ringing. 16 April: He declined the call. 15th April: Ringing, dropped a voice note. 14 April: Ringing, dropped a text. 13 April: Shared with him the images and commercials. </v>
      </c>
    </row>
    <row r="89">
      <c r="A89" s="402">
        <f>IFERROR(__xludf.DUMMYFUNCTION("""COMPUTED_VALUE"""),46124.0)</f>
        <v>46124</v>
      </c>
      <c r="B89" s="276" t="str">
        <f>IFERROR(__xludf.DUMMYFUNCTION("""COMPUTED_VALUE"""),"HK Bhattad")</f>
        <v>HK Bhattad</v>
      </c>
      <c r="C89" s="276" t="str">
        <f>IFERROR(__xludf.DUMMYFUNCTION("""COMPUTED_VALUE"""),"RMB Event")</f>
        <v>RMB Event</v>
      </c>
      <c r="D89" s="276" t="str">
        <f>IFERROR(__xludf.DUMMYFUNCTION("""COMPUTED_VALUE"""),"Lost")</f>
        <v>Lost</v>
      </c>
      <c r="E89" s="276" t="str">
        <f>IFERROR(__xludf.DUMMYFUNCTION("""COMPUTED_VALUE"""),"Lower parel")</f>
        <v>Lower parel</v>
      </c>
      <c r="F89" s="276" t="str">
        <f>IFERROR(__xludf.DUMMYFUNCTION("""COMPUTED_VALUE"""),"Meta")</f>
        <v>Meta</v>
      </c>
      <c r="G89" s="276" t="str">
        <f>IFERROR(__xludf.DUMMYFUNCTION("""COMPUTED_VALUE"""),"Shravani")</f>
        <v>Shravani</v>
      </c>
      <c r="H89" s="276" t="str">
        <f>IFERROR(__xludf.DUMMYFUNCTION("""COMPUTED_VALUE"""),"15th April: He is not interested in shared space. 14 April: Ringing, Dropped a text. 13 April: Need to share images.")</f>
        <v>15th April: He is not interested in shared space. 14 April: Ringing, Dropped a text. 13 April: Need to share images.</v>
      </c>
    </row>
    <row r="90">
      <c r="A90" s="402">
        <f>IFERROR(__xludf.DUMMYFUNCTION("""COMPUTED_VALUE"""),46126.0)</f>
        <v>46126</v>
      </c>
      <c r="B90" s="276" t="str">
        <f>IFERROR(__xludf.DUMMYFUNCTION("""COMPUTED_VALUE"""),"Mamta Joshi")</f>
        <v>Mamta Joshi</v>
      </c>
      <c r="C90" s="276" t="str">
        <f>IFERROR(__xludf.DUMMYFUNCTION("""COMPUTED_VALUE"""),"Olamor")</f>
        <v>Olamor</v>
      </c>
      <c r="D90" s="276" t="str">
        <f>IFERROR(__xludf.DUMMYFUNCTION("""COMPUTED_VALUE"""),"Hold")</f>
        <v>Hold</v>
      </c>
      <c r="E90" s="276" t="str">
        <f>IFERROR(__xludf.DUMMYFUNCTION("""COMPUTED_VALUE"""),"Lower parel")</f>
        <v>Lower parel</v>
      </c>
      <c r="F90" s="276" t="str">
        <f>IFERROR(__xludf.DUMMYFUNCTION("""COMPUTED_VALUE"""),"Meta")</f>
        <v>Meta</v>
      </c>
      <c r="G90" s="276" t="str">
        <f>IFERROR(__xludf.DUMMYFUNCTION("""COMPUTED_VALUE"""),"Shravani")</f>
        <v>Shravani</v>
      </c>
      <c r="H90" s="276" t="str">
        <f>IFERROR(__xludf.DUMMYFUNCTION("""COMPUTED_VALUE"""),"18 April: She has postponded her plan. 17 April: She will call me after sometime. 16 April: Sent a followup msg. 15 April: She needs a Boad Room for 3 Hours on Monday. for 14 People. Sharing with her the images of the space and commercials.")</f>
        <v>18 April: She has postponded her plan. 17 April: She will call me after sometime. 16 April: Sent a followup msg. 15 April: She needs a Boad Room for 3 Hours on Monday. for 14 People. Sharing with her the images of the space and commercials.</v>
      </c>
    </row>
    <row r="91">
      <c r="A91" s="402">
        <f>IFERROR(__xludf.DUMMYFUNCTION("""COMPUTED_VALUE"""),46126.0)</f>
        <v>46126</v>
      </c>
      <c r="B91" s="276" t="str">
        <f>IFERROR(__xludf.DUMMYFUNCTION("""COMPUTED_VALUE"""),"Hardik  Shah")</f>
        <v>Hardik  Shah</v>
      </c>
      <c r="C91" s="276" t="str">
        <f>IFERROR(__xludf.DUMMYFUNCTION("""COMPUTED_VALUE"""),"na")</f>
        <v>na</v>
      </c>
      <c r="D91" s="276" t="str">
        <f>IFERROR(__xludf.DUMMYFUNCTION("""COMPUTED_VALUE"""),"Warm")</f>
        <v>Warm</v>
      </c>
      <c r="E91" s="276" t="str">
        <f>IFERROR(__xludf.DUMMYFUNCTION("""COMPUTED_VALUE"""),"Lower parel")</f>
        <v>Lower parel</v>
      </c>
      <c r="F91" s="276" t="str">
        <f>IFERROR(__xludf.DUMMYFUNCTION("""COMPUTED_VALUE"""),"Meta")</f>
        <v>Meta</v>
      </c>
      <c r="G91" s="276" t="str">
        <f>IFERROR(__xludf.DUMMYFUNCTION("""COMPUTED_VALUE"""),"Shravani")</f>
        <v>Shravani</v>
      </c>
      <c r="H91" s="276" t="str">
        <f>IFERROR(__xludf.DUMMYFUNCTION("""COMPUTED_VALUE"""),"2 May: Vikesh and Mehul need to have a call.                                                                                                                                                         29 April: Visited their office in Marathon. They have prop"&amp;"osed 10k, and we can close around 12k.
28 April: The founder visited the space . 24 April: The HR Head visited the space. They want 2D layout and the requirement is 20 Seats + 1 Boss Cabin + 1 Meeting Room. 23 April: Arjuman visited the space. Need to sha"&amp;"re 2D layouts. 22 April: Declined the call. 20 April: Dropped him a text asking for a convinient time for a con call with Saniel Sir. 19 April: He needs 25 Seats + 1 Cabin. His budget is 10k to 11k per seat. Shared with him the images of the space. 18 Apr"&amp;"il: Ringing, dropped a text. 17 April: Ringing. 16 April: Ringing. 15 April: Ringing, dropped a text.")</f>
        <v>2 May: Vikesh and Mehul need to have a call.                                                                                                                                                         29 April: Visited their office in Marathon. They have proposed 10k, and we can close around 12k.
28 April: The founder visited the space . 24 April: The HR Head visited the space. They want 2D layout and the requirement is 20 Seats + 1 Boss Cabin + 1 Meeting Room. 23 April: Arjuman visited the space. Need to share 2D layouts. 22 April: Declined the call. 20 April: Dropped him a text asking for a convinient time for a con call with Saniel Sir. 19 April: He needs 25 Seats + 1 Cabin. His budget is 10k to 11k per seat. Shared with him the images of the space. 18 April: Ringing, dropped a text. 17 April: Ringing. 16 April: Ringing. 15 April: Ringing, dropped a text.</v>
      </c>
    </row>
    <row r="92">
      <c r="A92" s="402">
        <f>IFERROR(__xludf.DUMMYFUNCTION("""COMPUTED_VALUE"""),46126.0)</f>
        <v>46126</v>
      </c>
      <c r="B92" s="276" t="str">
        <f>IFERROR(__xludf.DUMMYFUNCTION("""COMPUTED_VALUE"""),"Rishikesh Mishra")</f>
        <v>Rishikesh Mishra</v>
      </c>
      <c r="C92" s="276" t="str">
        <f>IFERROR(__xludf.DUMMYFUNCTION("""COMPUTED_VALUE"""),"Skybound")</f>
        <v>Skybound</v>
      </c>
      <c r="D92" s="276" t="str">
        <f>IFERROR(__xludf.DUMMYFUNCTION("""COMPUTED_VALUE"""),"Lost")</f>
        <v>Lost</v>
      </c>
      <c r="E92" s="276" t="str">
        <f>IFERROR(__xludf.DUMMYFUNCTION("""COMPUTED_VALUE"""),"Lower parel")</f>
        <v>Lower parel</v>
      </c>
      <c r="F92" s="276" t="str">
        <f>IFERROR(__xludf.DUMMYFUNCTION("""COMPUTED_VALUE"""),"Meta")</f>
        <v>Meta</v>
      </c>
      <c r="G92" s="276" t="str">
        <f>IFERROR(__xludf.DUMMYFUNCTION("""COMPUTED_VALUE"""),"Shravani")</f>
        <v>Shravani</v>
      </c>
      <c r="H92" s="276" t="str">
        <f>IFERROR(__xludf.DUMMYFUNCTION("""COMPUTED_VALUE"""),"27 April: He have decided to go ahead with a conventional space. 24 April: Ringing, Dropped a text. 23 April: Ringing, dropped a text. 22 April: Ringing, dropped a text. 20 April: Ringing, dropped a text. 18 April: Shared with him the images of the space."&amp;" 17 April: Dropped him a text. 16 April: He will call me back once he is available for a call. 15 April: Ringing, dropped a text.")</f>
        <v>27 April: He have decided to go ahead with a conventional space. 24 April: Ringing, Dropped a text. 23 April: Ringing, dropped a text. 22 April: Ringing, dropped a text. 20 April: Ringing, dropped a text. 18 April: Shared with him the images of the space. 17 April: Dropped him a text. 16 April: He will call me back once he is available for a call. 15 April: Ringing, dropped a text.</v>
      </c>
    </row>
    <row r="93">
      <c r="A93" s="402">
        <f>IFERROR(__xludf.DUMMYFUNCTION("""COMPUTED_VALUE"""),46128.0)</f>
        <v>46128</v>
      </c>
      <c r="B93" s="276" t="str">
        <f>IFERROR(__xludf.DUMMYFUNCTION("""COMPUTED_VALUE"""),"Swapnil  Tambe")</f>
        <v>Swapnil  Tambe</v>
      </c>
      <c r="C93" s="276" t="str">
        <f>IFERROR(__xludf.DUMMYFUNCTION("""COMPUTED_VALUE"""),"Planning Labs")</f>
        <v>Planning Labs</v>
      </c>
      <c r="D93" s="276" t="str">
        <f>IFERROR(__xludf.DUMMYFUNCTION("""COMPUTED_VALUE"""),"Lost")</f>
        <v>Lost</v>
      </c>
      <c r="E93" s="276" t="str">
        <f>IFERROR(__xludf.DUMMYFUNCTION("""COMPUTED_VALUE"""),"Lower parel")</f>
        <v>Lower parel</v>
      </c>
      <c r="F93" s="276" t="str">
        <f>IFERROR(__xludf.DUMMYFUNCTION("""COMPUTED_VALUE"""),"Meta")</f>
        <v>Meta</v>
      </c>
      <c r="G93" s="276" t="str">
        <f>IFERROR(__xludf.DUMMYFUNCTION("""COMPUTED_VALUE"""),"Shravani")</f>
        <v>Shravani</v>
      </c>
      <c r="H93" s="276" t="str">
        <f>IFERROR(__xludf.DUMMYFUNCTION("""COMPUTED_VALUE"""),"20 April: His overall budget is 80k and our space is out of his budget. 18 April: Ringing, dropped him a text. 17 April: Ringing, dropped him a text. 16 April: He need 20 Seats + 1 Cabin.")</f>
        <v>20 April: His overall budget is 80k and our space is out of his budget. 18 April: Ringing, dropped him a text. 17 April: Ringing, dropped him a text. 16 April: He need 20 Seats + 1 Cabin.</v>
      </c>
    </row>
    <row r="94">
      <c r="A94" s="402">
        <f>IFERROR(__xludf.DUMMYFUNCTION("""COMPUTED_VALUE"""),46128.0)</f>
        <v>46128</v>
      </c>
      <c r="B94" s="276" t="str">
        <f>IFERROR(__xludf.DUMMYFUNCTION("""COMPUTED_VALUE"""),"Geetendra  Dhhanawat")</f>
        <v>Geetendra  Dhhanawat</v>
      </c>
      <c r="C94" s="276" t="str">
        <f>IFERROR(__xludf.DUMMYFUNCTION("""COMPUTED_VALUE"""),"Episenz skin science")</f>
        <v>Episenz skin science</v>
      </c>
      <c r="D94" s="276" t="str">
        <f>IFERROR(__xludf.DUMMYFUNCTION("""COMPUTED_VALUE"""),"Lost")</f>
        <v>Lost</v>
      </c>
      <c r="E94" s="276" t="str">
        <f>IFERROR(__xludf.DUMMYFUNCTION("""COMPUTED_VALUE"""),"Lower parel")</f>
        <v>Lower parel</v>
      </c>
      <c r="F94" s="276" t="str">
        <f>IFERROR(__xludf.DUMMYFUNCTION("""COMPUTED_VALUE"""),"Meta")</f>
        <v>Meta</v>
      </c>
      <c r="G94" s="276" t="str">
        <f>IFERROR(__xludf.DUMMYFUNCTION("""COMPUTED_VALUE"""),"Shravani")</f>
        <v>Shravani</v>
      </c>
      <c r="H94" s="276" t="str">
        <f>IFERROR(__xludf.DUMMYFUNCTION("""COMPUTED_VALUE"""),"17 April: He needs a conventional space. 16 April: Ringing, dropped a voice note.")</f>
        <v>17 April: He needs a conventional space. 16 April: Ringing, dropped a voice note.</v>
      </c>
    </row>
    <row r="95">
      <c r="A95" s="402">
        <f>IFERROR(__xludf.DUMMYFUNCTION("""COMPUTED_VALUE"""),46129.0)</f>
        <v>46129</v>
      </c>
      <c r="B95" s="276" t="str">
        <f>IFERROR(__xludf.DUMMYFUNCTION("""COMPUTED_VALUE"""),"Krishi Patel")</f>
        <v>Krishi Patel</v>
      </c>
      <c r="C95" s="276" t="str">
        <f>IFERROR(__xludf.DUMMYFUNCTION("""COMPUTED_VALUE"""),"Reimagine Studio")</f>
        <v>Reimagine Studio</v>
      </c>
      <c r="D95" s="276" t="str">
        <f>IFERROR(__xludf.DUMMYFUNCTION("""COMPUTED_VALUE"""),"Hold")</f>
        <v>Hold</v>
      </c>
      <c r="E95" s="276" t="str">
        <f>IFERROR(__xludf.DUMMYFUNCTION("""COMPUTED_VALUE"""),"Lower parel")</f>
        <v>Lower parel</v>
      </c>
      <c r="F95" s="276" t="str">
        <f>IFERROR(__xludf.DUMMYFUNCTION("""COMPUTED_VALUE"""),"Meta")</f>
        <v>Meta</v>
      </c>
      <c r="G95" s="276" t="str">
        <f>IFERROR(__xludf.DUMMYFUNCTION("""COMPUTED_VALUE"""),"Shravani")</f>
        <v>Shravani</v>
      </c>
      <c r="H95" s="276" t="str">
        <f>IFERROR(__xludf.DUMMYFUNCTION("""COMPUTED_VALUE"""),"24 April: His requirement is on hold. 20 April: The visit is schedueled on Saturday between 4pm to 5pm. 18 April: He will revert back on Monday. 17 April: He needs a 5 seater cabin.")</f>
        <v>24 April: His requirement is on hold. 20 April: The visit is schedueled on Saturday between 4pm to 5pm. 18 April: He will revert back on Monday. 17 April: He needs a 5 seater cabin.</v>
      </c>
    </row>
    <row r="96">
      <c r="A96" s="402">
        <f>IFERROR(__xludf.DUMMYFUNCTION("""COMPUTED_VALUE"""),46130.0)</f>
        <v>46130</v>
      </c>
      <c r="B96" s="276" t="str">
        <f>IFERROR(__xludf.DUMMYFUNCTION("""COMPUTED_VALUE"""),"Gaurav Sethi")</f>
        <v>Gaurav Sethi</v>
      </c>
      <c r="C96" s="276" t="str">
        <f>IFERROR(__xludf.DUMMYFUNCTION("""COMPUTED_VALUE"""),"Intercontliner")</f>
        <v>Intercontliner</v>
      </c>
      <c r="D96" s="276" t="str">
        <f>IFERROR(__xludf.DUMMYFUNCTION("""COMPUTED_VALUE"""),"Hot")</f>
        <v>Hot</v>
      </c>
      <c r="E96" s="276" t="str">
        <f>IFERROR(__xludf.DUMMYFUNCTION("""COMPUTED_VALUE"""),"Lower parel")</f>
        <v>Lower parel</v>
      </c>
      <c r="F96" s="276" t="str">
        <f>IFERROR(__xludf.DUMMYFUNCTION("""COMPUTED_VALUE"""),"Meta")</f>
        <v>Meta</v>
      </c>
      <c r="G96" s="276" t="str">
        <f>IFERROR(__xludf.DUMMYFUNCTION("""COMPUTED_VALUE"""),"Shravani")</f>
        <v>Shravani</v>
      </c>
      <c r="H96" s="276" t="str">
        <f>IFERROR(__xludf.DUMMYFUNCTION("""COMPUTED_VALUE"""),"2 May: Meeting is done and need to share a MOM. 29 April: Sadhana will get back to me by today EOD with the timings for the meeting on Saturday. 28th April: Ringing. 27th April: Spoke with Sadhana (PA). She will get back regarding the meeting timings for "&amp;"Thursday or Friday. 24 April: The meeting has been postponed to next thursday or friday. 22 April: Meeting is schedueled for Friday or Saturday. 20 April: Declined the call, dropped a text. 18 April: He has a requirement of 100 seats. Shared with him the "&amp;"images of the 7000sq.ft ")</f>
        <v>2 May: Meeting is done and need to share a MOM. 29 April: Sadhana will get back to me by today EOD with the timings for the meeting on Saturday. 28th April: Ringing. 27th April: Spoke with Sadhana (PA). She will get back regarding the meeting timings for Thursday or Friday. 24 April: The meeting has been postponed to next thursday or friday. 22 April: Meeting is schedueled for Friday or Saturday. 20 April: Declined the call, dropped a text. 18 April: He has a requirement of 100 seats. Shared with him the images of the 7000sq.ft </v>
      </c>
    </row>
    <row r="97">
      <c r="A97" s="402">
        <f>IFERROR(__xludf.DUMMYFUNCTION("""COMPUTED_VALUE"""),46131.0)</f>
        <v>46131</v>
      </c>
      <c r="B97" s="276" t="str">
        <f>IFERROR(__xludf.DUMMYFUNCTION("""COMPUTED_VALUE"""),"Abhishek Mishra")</f>
        <v>Abhishek Mishra</v>
      </c>
      <c r="C97" s="276" t="str">
        <f>IFERROR(__xludf.DUMMYFUNCTION("""COMPUTED_VALUE"""),"Earthful")</f>
        <v>Earthful</v>
      </c>
      <c r="D97" s="276" t="str">
        <f>IFERROR(__xludf.DUMMYFUNCTION("""COMPUTED_VALUE"""),"Lost")</f>
        <v>Lost</v>
      </c>
      <c r="E97" s="276" t="str">
        <f>IFERROR(__xludf.DUMMYFUNCTION("""COMPUTED_VALUE"""),"Lower parel")</f>
        <v>Lower parel</v>
      </c>
      <c r="F97" s="276" t="str">
        <f>IFERROR(__xludf.DUMMYFUNCTION("""COMPUTED_VALUE"""),"Meta")</f>
        <v>Meta</v>
      </c>
      <c r="G97" s="276" t="str">
        <f>IFERROR(__xludf.DUMMYFUNCTION("""COMPUTED_VALUE"""),"Shravani")</f>
        <v>Shravani</v>
      </c>
      <c r="H97" s="276" t="str">
        <f>IFERROR(__xludf.DUMMYFUNCTION("""COMPUTED_VALUE"""),"22 April: They have decided to continue in their existing coworking space. 19 April: He wants a space only for 45 days. Shared with him the images of the space.")</f>
        <v>22 April: They have decided to continue in their existing coworking space. 19 April: He wants a space only for 45 days. Shared with him the images of the space.</v>
      </c>
    </row>
    <row r="98">
      <c r="A98" s="402">
        <f>IFERROR(__xludf.DUMMYFUNCTION("""COMPUTED_VALUE"""),46131.0)</f>
        <v>46131</v>
      </c>
      <c r="B98" s="276" t="str">
        <f>IFERROR(__xludf.DUMMYFUNCTION("""COMPUTED_VALUE"""),"Sadhana Shanbhag")</f>
        <v>Sadhana Shanbhag</v>
      </c>
      <c r="C98" s="276" t="str">
        <f>IFERROR(__xludf.DUMMYFUNCTION("""COMPUTED_VALUE"""),"Forecast Advertising")</f>
        <v>Forecast Advertising</v>
      </c>
      <c r="D98" s="276" t="str">
        <f>IFERROR(__xludf.DUMMYFUNCTION("""COMPUTED_VALUE"""),"Lost")</f>
        <v>Lost</v>
      </c>
      <c r="E98" s="276" t="str">
        <f>IFERROR(__xludf.DUMMYFUNCTION("""COMPUTED_VALUE"""),"Lower parel")</f>
        <v>Lower parel</v>
      </c>
      <c r="F98" s="276" t="str">
        <f>IFERROR(__xludf.DUMMYFUNCTION("""COMPUTED_VALUE"""),"Meta")</f>
        <v>Meta</v>
      </c>
      <c r="G98" s="276" t="str">
        <f>IFERROR(__xludf.DUMMYFUNCTION("""COMPUTED_VALUE"""),"Shravani")</f>
        <v>Shravani</v>
      </c>
      <c r="H98" s="276" t="str">
        <f>IFERROR(__xludf.DUMMYFUNCTION("""COMPUTED_VALUE"""),"20 April: She is looking for around 800sq.ft only for purchase purpose. He budget is 1.5 Cr")</f>
        <v>20 April: She is looking for around 800sq.ft only for purchase purpose. He budget is 1.5 Cr</v>
      </c>
    </row>
    <row r="99">
      <c r="A99" s="402">
        <f>IFERROR(__xludf.DUMMYFUNCTION("""COMPUTED_VALUE"""),46131.0)</f>
        <v>46131</v>
      </c>
      <c r="B99" s="276" t="str">
        <f>IFERROR(__xludf.DUMMYFUNCTION("""COMPUTED_VALUE"""),"Mohit  Jain")</f>
        <v>Mohit  Jain</v>
      </c>
      <c r="C99" s="276" t="str">
        <f>IFERROR(__xludf.DUMMYFUNCTION("""COMPUTED_VALUE"""),"K S Technogroups Pvt Ltd")</f>
        <v>K S Technogroups Pvt Ltd</v>
      </c>
      <c r="D99" s="276" t="str">
        <f>IFERROR(__xludf.DUMMYFUNCTION("""COMPUTED_VALUE"""),"Not Responding")</f>
        <v>Not Responding</v>
      </c>
      <c r="E99" s="276" t="str">
        <f>IFERROR(__xludf.DUMMYFUNCTION("""COMPUTED_VALUE"""),"Lower parel")</f>
        <v>Lower parel</v>
      </c>
      <c r="F99" s="276" t="str">
        <f>IFERROR(__xludf.DUMMYFUNCTION("""COMPUTED_VALUE"""),"Meta")</f>
        <v>Meta</v>
      </c>
      <c r="G99" s="276" t="str">
        <f>IFERROR(__xludf.DUMMYFUNCTION("""COMPUTED_VALUE"""),"Shravani")</f>
        <v>Shravani</v>
      </c>
      <c r="H99" s="276" t="str">
        <f>IFERROR(__xludf.DUMMYFUNCTION("""COMPUTED_VALUE"""),"28th May: Ringing.27th May: OS. 25 May: Busy on call. 23 May: Busy on call. 20 May: Ringing. 18 May: OS. 13 May: Dropped him a text. 11 May: Ringing, Dropped a text. 8 May: Dropped a Mail. 5 May: He is not looking for an office on an immediate basis. He i"&amp;"s currently travelling and will get back to me once he returns to Mumbai.                                                                                                                                                                                      "&amp;"                                 2 May: He is not in town currently and will get back to me after few days. 30 April: Dropped him a text. 27 April: He is currently travelling and will be able to reconnect by mid of this week.
24 April: Dropped him a follo"&amp;"wup text. 23 April: He is currently out of town and will get back to me once he returns. 22 April: He needs some time to discuss on this with his team. 20 April: Need to share the images of the space.")</f>
        <v>28th May: Ringing.27th May: OS. 25 May: Busy on call. 23 May: Busy on call. 20 May: Ringing. 18 May: OS. 13 May: Dropped him a text. 11 May: Ringing, Dropped a text. 8 May: Dropped a Mail. 5 May: He is not looking for an office on an immediate basis. He is currently travelling and will get back to me once he returns to Mumbai.                                                                                                                                                                                                                       2 May: He is not in town currently and will get back to me after few days. 30 April: Dropped him a text. 27 April: He is currently travelling and will be able to reconnect by mid of this week.
24 April: Dropped him a followup text. 23 April: He is currently out of town and will get back to me once he returns. 22 April: He needs some time to discuss on this with his team. 20 April: Need to share the images of the space.</v>
      </c>
    </row>
    <row r="100">
      <c r="A100" s="402">
        <f>IFERROR(__xludf.DUMMYFUNCTION("""COMPUTED_VALUE"""),46132.0)</f>
        <v>46132</v>
      </c>
      <c r="B100" s="276" t="str">
        <f>IFERROR(__xludf.DUMMYFUNCTION("""COMPUTED_VALUE"""),"Raj Shetye")</f>
        <v>Raj Shetye</v>
      </c>
      <c r="C100" s="276" t="str">
        <f>IFERROR(__xludf.DUMMYFUNCTION("""COMPUTED_VALUE"""),"White Background Studio")</f>
        <v>White Background Studio</v>
      </c>
      <c r="D100" s="276" t="str">
        <f>IFERROR(__xludf.DUMMYFUNCTION("""COMPUTED_VALUE"""),"Lost")</f>
        <v>Lost</v>
      </c>
      <c r="E100" s="276" t="str">
        <f>IFERROR(__xludf.DUMMYFUNCTION("""COMPUTED_VALUE"""),"Lower parel")</f>
        <v>Lower parel</v>
      </c>
      <c r="F100" s="276" t="str">
        <f>IFERROR(__xludf.DUMMYFUNCTION("""COMPUTED_VALUE"""),"Meta")</f>
        <v>Meta</v>
      </c>
      <c r="G100" s="276" t="str">
        <f>IFERROR(__xludf.DUMMYFUNCTION("""COMPUTED_VALUE"""),"Shravani")</f>
        <v>Shravani</v>
      </c>
      <c r="H100" s="276" t="str">
        <f>IFERROR(__xludf.DUMMYFUNCTION("""COMPUTED_VALUE"""),"22 April: His budget is not more than 2.75 lacs. 20 April: he needs a studio space currently he is operating from marol and is paying 3.25 lacs for a 4500sq.ft space but still he will check with his management and will get back to me.")</f>
        <v>22 April: His budget is not more than 2.75 lacs. 20 April: he needs a studio space currently he is operating from marol and is paying 3.25 lacs for a 4500sq.ft space but still he will check with his management and will get back to me.</v>
      </c>
    </row>
    <row r="101">
      <c r="A101" s="402">
        <f>IFERROR(__xludf.DUMMYFUNCTION("""COMPUTED_VALUE"""),46133.0)</f>
        <v>46133</v>
      </c>
      <c r="B101" s="276" t="str">
        <f>IFERROR(__xludf.DUMMYFUNCTION("""COMPUTED_VALUE"""),"Ankit Mehta")</f>
        <v>Ankit Mehta</v>
      </c>
      <c r="C101" s="276" t="str">
        <f>IFERROR(__xludf.DUMMYFUNCTION("""COMPUTED_VALUE"""),"Fleet Operator to Uber and OLA India")</f>
        <v>Fleet Operator to Uber and OLA India</v>
      </c>
      <c r="D101" s="276" t="str">
        <f>IFERROR(__xludf.DUMMYFUNCTION("""COMPUTED_VALUE"""),"Lost")</f>
        <v>Lost</v>
      </c>
      <c r="E101" s="276" t="str">
        <f>IFERROR(__xludf.DUMMYFUNCTION("""COMPUTED_VALUE"""),"Lower parel")</f>
        <v>Lower parel</v>
      </c>
      <c r="F101" s="276" t="str">
        <f>IFERROR(__xludf.DUMMYFUNCTION("""COMPUTED_VALUE"""),"Meta")</f>
        <v>Meta</v>
      </c>
      <c r="G101" s="276" t="str">
        <f>IFERROR(__xludf.DUMMYFUNCTION("""COMPUTED_VALUE"""),"Shravani")</f>
        <v>Shravani</v>
      </c>
      <c r="H101" s="276" t="str">
        <f>IFERROR(__xludf.DUMMYFUNCTION("""COMPUTED_VALUE"""),"22 April: He don't need any office. 20 April: Ringing, dropped ")</f>
        <v>22 April: He don't need any office. 20 April: Ringing, dropped </v>
      </c>
    </row>
    <row r="102">
      <c r="A102" s="402">
        <f>IFERROR(__xludf.DUMMYFUNCTION("""COMPUTED_VALUE"""),46134.0)</f>
        <v>46134</v>
      </c>
      <c r="B102" s="276" t="str">
        <f>IFERROR(__xludf.DUMMYFUNCTION("""COMPUTED_VALUE"""),"Girish Gholap")</f>
        <v>Girish Gholap</v>
      </c>
      <c r="C102" s="276" t="str">
        <f>IFERROR(__xludf.DUMMYFUNCTION("""COMPUTED_VALUE"""),"Rolta")</f>
        <v>Rolta</v>
      </c>
      <c r="D102" s="276" t="str">
        <f>IFERROR(__xludf.DUMMYFUNCTION("""COMPUTED_VALUE"""),"Lost")</f>
        <v>Lost</v>
      </c>
      <c r="E102" s="276" t="str">
        <f>IFERROR(__xludf.DUMMYFUNCTION("""COMPUTED_VALUE"""),"Lower parel")</f>
        <v>Lower parel</v>
      </c>
      <c r="F102" s="276" t="str">
        <f>IFERROR(__xludf.DUMMYFUNCTION("""COMPUTED_VALUE"""),"Meta")</f>
        <v>Meta</v>
      </c>
      <c r="G102" s="276" t="str">
        <f>IFERROR(__xludf.DUMMYFUNCTION("""COMPUTED_VALUE"""),"Shravani")</f>
        <v>Shravani</v>
      </c>
      <c r="H102" s="276" t="str">
        <f>IFERROR(__xludf.DUMMYFUNCTION("""COMPUTED_VALUE"""),"28th May : Ringing 25 May: Ringing. 23 May: He will get back to me on Monday. 20 May: Ringing. 13 May: Declined the call.                                                                                                                                      "&amp;"                                        5 May: Dropped a followup text.                                                                                                                                                                     30 April: He has no"&amp;"t got any feedback from his management yet. Asked me to call after 1 week. 27 April: Declined the call. 24 April: Ringing, Dropped a text. 23 April: He will propose it to his management today and will get back to me tomorrow. 22 April: His current office "&amp;"is in Mahalaxmi. Need to share images with his management and will get back to me on this in a day or two.")</f>
        <v>28th May : Ringing 25 May: Ringing. 23 May: He will get back to me on Monday. 20 May: Ringing. 13 May: Declined the call.                                                                                                                                                                              5 May: Dropped a followup text.                                                                                                                                                                     30 April: He has not got any feedback from his management yet. Asked me to call after 1 week. 27 April: Declined the call. 24 April: Ringing, Dropped a text. 23 April: He will propose it to his management today and will get back to me tomorrow. 22 April: His current office is in Mahalaxmi. Need to share images with his management and will get back to me on this in a day or two.</v>
      </c>
    </row>
    <row r="103">
      <c r="A103" s="402">
        <f>IFERROR(__xludf.DUMMYFUNCTION("""COMPUTED_VALUE"""),46134.0)</f>
        <v>46134</v>
      </c>
      <c r="B103" s="276" t="str">
        <f>IFERROR(__xludf.DUMMYFUNCTION("""COMPUTED_VALUE"""),"Jinang Dhami")</f>
        <v>Jinang Dhami</v>
      </c>
      <c r="C103" s="276" t="str">
        <f>IFERROR(__xludf.DUMMYFUNCTION("""COMPUTED_VALUE"""),"Mitocon Biomed ")</f>
        <v>Mitocon Biomed </v>
      </c>
      <c r="D103" s="276" t="str">
        <f>IFERROR(__xludf.DUMMYFUNCTION("""COMPUTED_VALUE"""),"Lost")</f>
        <v>Lost</v>
      </c>
      <c r="E103" s="276" t="str">
        <f>IFERROR(__xludf.DUMMYFUNCTION("""COMPUTED_VALUE"""),"Lower parel")</f>
        <v>Lower parel</v>
      </c>
      <c r="F103" s="276" t="str">
        <f>IFERROR(__xludf.DUMMYFUNCTION("""COMPUTED_VALUE"""),"Meta")</f>
        <v>Meta</v>
      </c>
      <c r="G103" s="276" t="str">
        <f>IFERROR(__xludf.DUMMYFUNCTION("""COMPUTED_VALUE"""),"Shravani")</f>
        <v>Shravani</v>
      </c>
      <c r="H103" s="276" t="str">
        <f>IFERROR(__xludf.DUMMYFUNCTION("""COMPUTED_VALUE"""),"14 May: He is looking for a office space in Borivali and Kandivali. 13 May: Ringing, Dropped a text. 5 May: Ringing, Shared a voice note. 2nd May: Ringing, dropped a text. 30 April: Ringing, dropped a text. 28 April: Ringing. 27 April: He have asked me to"&amp;" share details of Lower Parel and Andheri. 24 April: Ringing, Dropped a text. 23 April: Ringing, Dropped a text.")</f>
        <v>14 May: He is looking for a office space in Borivali and Kandivali. 13 May: Ringing, Dropped a text. 5 May: Ringing, Shared a voice note. 2nd May: Ringing, dropped a text. 30 April: Ringing, dropped a text. 28 April: Ringing. 27 April: He have asked me to share details of Lower Parel and Andheri. 24 April: Ringing, Dropped a text. 23 April: Ringing, Dropped a text.</v>
      </c>
    </row>
    <row r="104">
      <c r="A104" s="402">
        <f>IFERROR(__xludf.DUMMYFUNCTION("""COMPUTED_VALUE"""),46134.0)</f>
        <v>46134</v>
      </c>
      <c r="B104" s="276" t="str">
        <f>IFERROR(__xludf.DUMMYFUNCTION("""COMPUTED_VALUE"""),"Leena Dabholkar")</f>
        <v>Leena Dabholkar</v>
      </c>
      <c r="C104" s="276" t="str">
        <f>IFERROR(__xludf.DUMMYFUNCTION("""COMPUTED_VALUE"""),"Moloobhoys Group of Companies")</f>
        <v>Moloobhoys Group of Companies</v>
      </c>
      <c r="D104" s="276" t="str">
        <f>IFERROR(__xludf.DUMMYFUNCTION("""COMPUTED_VALUE"""),"Not Responding")</f>
        <v>Not Responding</v>
      </c>
      <c r="E104" s="276" t="str">
        <f>IFERROR(__xludf.DUMMYFUNCTION("""COMPUTED_VALUE"""),"Lower parel")</f>
        <v>Lower parel</v>
      </c>
      <c r="F104" s="276" t="str">
        <f>IFERROR(__xludf.DUMMYFUNCTION("""COMPUTED_VALUE"""),"Meta")</f>
        <v>Meta</v>
      </c>
      <c r="G104" s="276" t="str">
        <f>IFERROR(__xludf.DUMMYFUNCTION("""COMPUTED_VALUE"""),"Shravani")</f>
        <v>Shravani</v>
      </c>
      <c r="H104" s="276" t="str">
        <f>IFERROR(__xludf.DUMMYFUNCTION("""COMPUTED_VALUE"""),"28th May: Ringing 25 May: Ringing. 23 May: 20 May: Ringing. 16 May: Dropped a followup mail. 13 May: Busy on call. 11 May: Ringing. 8 May: Ringing. 5 May: Ringing. 2 May: Declined the call. 30 April: Ringing. 28 April: Ringing. 27 April: Ringing, Dropped "&amp;"a text. 24 April: Ringing, Dropped a text. 23 April: Ringing, Dropped a text.")</f>
        <v>28th May: Ringing 25 May: Ringing. 23 May: 20 May: Ringing. 16 May: Dropped a followup mail. 13 May: Busy on call. 11 May: Ringing. 8 May: Ringing. 5 May: Ringing. 2 May: Declined the call. 30 April: Ringing. 28 April: Ringing. 27 April: Ringing, Dropped a text. 24 April: Ringing, Dropped a text. 23 April: Ringing, Dropped a text.</v>
      </c>
    </row>
    <row r="105">
      <c r="A105" s="402">
        <f>IFERROR(__xludf.DUMMYFUNCTION("""COMPUTED_VALUE"""),46135.0)</f>
        <v>46135</v>
      </c>
      <c r="B105" s="276" t="str">
        <f>IFERROR(__xludf.DUMMYFUNCTION("""COMPUTED_VALUE"""),"Vinod Kanore")</f>
        <v>Vinod Kanore</v>
      </c>
      <c r="C105" s="276" t="str">
        <f>IFERROR(__xludf.DUMMYFUNCTION("""COMPUTED_VALUE"""),"echartered systems")</f>
        <v>echartered systems</v>
      </c>
      <c r="D105" s="276" t="str">
        <f>IFERROR(__xludf.DUMMYFUNCTION("""COMPUTED_VALUE"""),"Lost")</f>
        <v>Lost</v>
      </c>
      <c r="E105" s="276" t="str">
        <f>IFERROR(__xludf.DUMMYFUNCTION("""COMPUTED_VALUE"""),"Lower parel")</f>
        <v>Lower parel</v>
      </c>
      <c r="F105" s="276" t="str">
        <f>IFERROR(__xludf.DUMMYFUNCTION("""COMPUTED_VALUE"""),"Meta")</f>
        <v>Meta</v>
      </c>
      <c r="G105" s="276" t="str">
        <f>IFERROR(__xludf.DUMMYFUNCTION("""COMPUTED_VALUE"""),"Shravani")</f>
        <v>Shravani</v>
      </c>
      <c r="H105" s="276" t="str">
        <f>IFERROR(__xludf.DUMMYFUNCTION("""COMPUTED_VALUE"""),"2 May: Ringing. 30 April: Dropped him a text. 28 April: Ringing. 27 April: Spoke with him over call; he mentioned he is not interested currently. Have shared a follow-up message. 24 April: He need 12 - 15 Seats and might increase upto to 20 Seats. Shared "&amp;"with him the images and location of our space. 23 April: Ringing, dropped a text.")</f>
        <v>2 May: Ringing. 30 April: Dropped him a text. 28 April: Ringing. 27 April: Spoke with him over call; he mentioned he is not interested currently. Have shared a follow-up message. 24 April: He need 12 - 15 Seats and might increase upto to 20 Seats. Shared with him the images and location of our space. 23 April: Ringing, dropped a text.</v>
      </c>
    </row>
    <row r="106">
      <c r="A106" s="402">
        <f>IFERROR(__xludf.DUMMYFUNCTION("""COMPUTED_VALUE"""),46135.0)</f>
        <v>46135</v>
      </c>
      <c r="B106" s="276" t="str">
        <f>IFERROR(__xludf.DUMMYFUNCTION("""COMPUTED_VALUE"""),"Nishi Jain")</f>
        <v>Nishi Jain</v>
      </c>
      <c r="C106" s="276" t="str">
        <f>IFERROR(__xludf.DUMMYFUNCTION("""COMPUTED_VALUE"""),"Mercalix business solutions private limited")</f>
        <v>Mercalix business solutions private limited</v>
      </c>
      <c r="D106" s="276" t="str">
        <f>IFERROR(__xludf.DUMMYFUNCTION("""COMPUTED_VALUE"""),"Lost")</f>
        <v>Lost</v>
      </c>
      <c r="E106" s="276" t="str">
        <f>IFERROR(__xludf.DUMMYFUNCTION("""COMPUTED_VALUE"""),"Lower parel")</f>
        <v>Lower parel</v>
      </c>
      <c r="F106" s="276" t="str">
        <f>IFERROR(__xludf.DUMMYFUNCTION("""COMPUTED_VALUE"""),"Meta")</f>
        <v>Meta</v>
      </c>
      <c r="G106" s="276" t="str">
        <f>IFERROR(__xludf.DUMMYFUNCTION("""COMPUTED_VALUE"""),"Shravani")</f>
        <v>Shravani</v>
      </c>
      <c r="H106" s="276" t="str">
        <f>IFERROR(__xludf.DUMMYFUNCTION("""COMPUTED_VALUE"""),"27 April: She is specifically looking for an office in Lalbaug, hence she won’t be able to proceed with the Lower Parel option. 25 April: Ringing. 24 April: Dropped her a text. 23 April: She needs 15 Seater enclosed cabin. Shared with her the images of th"&amp;"e space.")</f>
        <v>27 April: She is specifically looking for an office in Lalbaug, hence she won’t be able to proceed with the Lower Parel option. 25 April: Ringing. 24 April: Dropped her a text. 23 April: She needs 15 Seater enclosed cabin. Shared with her the images of the space.</v>
      </c>
    </row>
    <row r="107">
      <c r="A107" s="402">
        <f>IFERROR(__xludf.DUMMYFUNCTION("""COMPUTED_VALUE"""),46135.0)</f>
        <v>46135</v>
      </c>
      <c r="B107" s="276" t="str">
        <f>IFERROR(__xludf.DUMMYFUNCTION("""COMPUTED_VALUE"""),"Samit Jham")</f>
        <v>Samit Jham</v>
      </c>
      <c r="C107" s="276" t="str">
        <f>IFERROR(__xludf.DUMMYFUNCTION("""COMPUTED_VALUE"""),"VRS")</f>
        <v>VRS</v>
      </c>
      <c r="D107" s="276" t="str">
        <f>IFERROR(__xludf.DUMMYFUNCTION("""COMPUTED_VALUE"""),"Warm")</f>
        <v>Warm</v>
      </c>
      <c r="E107" s="276" t="str">
        <f>IFERROR(__xludf.DUMMYFUNCTION("""COMPUTED_VALUE"""),"Lower parel")</f>
        <v>Lower parel</v>
      </c>
      <c r="F107" s="276" t="str">
        <f>IFERROR(__xludf.DUMMYFUNCTION("""COMPUTED_VALUE"""),"Meta")</f>
        <v>Meta</v>
      </c>
      <c r="G107" s="276" t="str">
        <f>IFERROR(__xludf.DUMMYFUNCTION("""COMPUTED_VALUE"""),"Shravani")</f>
        <v>Shravani</v>
      </c>
      <c r="H107" s="276" t="str">
        <f>IFERROR(__xludf.DUMMYFUNCTION("""COMPUTED_VALUE"""),"28th May: He will call me when he is interested for a visit. 27th May: Ringing, Dropped a text. 25 May: Rining. 23 May: Dropped a text. 18 May: He has a requirement of 4 Seater cabin and will to visit soon. 16 May: Dropped a text. 13 May: Dropped a text a"&amp;"sking for a visit. 5 May: Dropped him a text. 2nd May: He have asked me to share details on whatsapp. 30 April: Ringing, Dropped a text. 28 April: Ringing. 27 April: Ringing, Dropped a text. 24 April: Ringing, Dropped a text. 23 April: Ringing, Dropped a "&amp;"text.")</f>
        <v>28th May: He will call me when he is interested for a visit. 27th May: Ringing, Dropped a text. 25 May: Rining. 23 May: Dropped a text. 18 May: He has a requirement of 4 Seater cabin and will to visit soon. 16 May: Dropped a text. 13 May: Dropped a text asking for a visit. 5 May: Dropped him a text. 2nd May: He have asked me to share details on whatsapp. 30 April: Ringing, Dropped a text. 28 April: Ringing. 27 April: Ringing, Dropped a text. 24 April: Ringing, Dropped a text. 23 April: Ringing, Dropped a text.</v>
      </c>
    </row>
    <row r="108">
      <c r="A108" s="402">
        <f>IFERROR(__xludf.DUMMYFUNCTION("""COMPUTED_VALUE"""),46135.0)</f>
        <v>46135</v>
      </c>
      <c r="B108" s="276" t="str">
        <f>IFERROR(__xludf.DUMMYFUNCTION("""COMPUTED_VALUE"""),"Shailesh Jain")</f>
        <v>Shailesh Jain</v>
      </c>
      <c r="C108" s="276" t="str">
        <f>IFERROR(__xludf.DUMMYFUNCTION("""COMPUTED_VALUE"""),"Mirraw")</f>
        <v>Mirraw</v>
      </c>
      <c r="D108" s="276" t="str">
        <f>IFERROR(__xludf.DUMMYFUNCTION("""COMPUTED_VALUE"""),"Not Responding")</f>
        <v>Not Responding</v>
      </c>
      <c r="E108" s="276" t="str">
        <f>IFERROR(__xludf.DUMMYFUNCTION("""COMPUTED_VALUE"""),"Lower parel")</f>
        <v>Lower parel</v>
      </c>
      <c r="F108" s="276" t="str">
        <f>IFERROR(__xludf.DUMMYFUNCTION("""COMPUTED_VALUE"""),"Meta")</f>
        <v>Meta</v>
      </c>
      <c r="G108" s="276" t="str">
        <f>IFERROR(__xludf.DUMMYFUNCTION("""COMPUTED_VALUE"""),"Shravani")</f>
        <v>Shravani</v>
      </c>
      <c r="H108" s="276" t="str">
        <f>IFERROR(__xludf.DUMMYFUNCTION("""COMPUTED_VALUE"""),"28th May: Ringing. 27th may: Ringing. 25 May: Ringing. 23 May: Ringing. 16 May: Dropped a text. 5 May: Ringing, dropped a text. 2nd May: Ringing, dropped a text. 30 April: Busy on call, Dropped a text. 28 April: Ringing. 27 April: Replied on msg. 24 April"&amp;": Ringing, Dropped a text.")</f>
        <v>28th May: Ringing. 27th may: Ringing. 25 May: Ringing. 23 May: Ringing. 16 May: Dropped a text. 5 May: Ringing, dropped a text. 2nd May: Ringing, dropped a text. 30 April: Busy on call, Dropped a text. 28 April: Ringing. 27 April: Replied on msg. 24 April: Ringing, Dropped a text.</v>
      </c>
    </row>
    <row r="109">
      <c r="A109" s="402">
        <f>IFERROR(__xludf.DUMMYFUNCTION("""COMPUTED_VALUE"""),46136.0)</f>
        <v>46136</v>
      </c>
      <c r="B109" s="276" t="str">
        <f>IFERROR(__xludf.DUMMYFUNCTION("""COMPUTED_VALUE"""),"Snehkumar P")</f>
        <v>Snehkumar P</v>
      </c>
      <c r="C109" s="276" t="str">
        <f>IFERROR(__xludf.DUMMYFUNCTION("""COMPUTED_VALUE"""),"EVM")</f>
        <v>EVM</v>
      </c>
      <c r="D109" s="276" t="str">
        <f>IFERROR(__xludf.DUMMYFUNCTION("""COMPUTED_VALUE"""),"Lost")</f>
        <v>Lost</v>
      </c>
      <c r="E109" s="276" t="str">
        <f>IFERROR(__xludf.DUMMYFUNCTION("""COMPUTED_VALUE"""),"Lower parel")</f>
        <v>Lower parel</v>
      </c>
      <c r="F109" s="276" t="str">
        <f>IFERROR(__xludf.DUMMYFUNCTION("""COMPUTED_VALUE"""),"Meta")</f>
        <v>Meta</v>
      </c>
      <c r="G109" s="276" t="str">
        <f>IFERROR(__xludf.DUMMYFUNCTION("""COMPUTED_VALUE"""),"Shravani")</f>
        <v>Shravani</v>
      </c>
      <c r="H109" s="276" t="str">
        <f>IFERROR(__xludf.DUMMYFUNCTION("""COMPUTED_VALUE"""),"29th May : Got the spaces 27th May: Ringing. 25 May: Ringing. 23 May: Ringing, dropped a text. 16 May: Dropped a mail. 13 May: Ringing, Dropped a text. 5 May: Ringing, dropped him a text.                                                                    "&amp;"                                                                                         2 May: He will come on Monday 4PM. 28 April: He is currently in Bangalore and will be back after 1st May. Hence, he will be available for the site visit post that. 27"&amp;" April: Ringing, Dropped a text. 24 April: He needs 15 Seats and will try to visit on Monday.")</f>
        <v>29th May : Got the spaces 27th May: Ringing. 25 May: Ringing. 23 May: Ringing, dropped a text. 16 May: Dropped a mail. 13 May: Ringing, Dropped a text. 5 May: Ringing, dropped him a text.                                                                                                                                                             2 May: He will come on Monday 4PM. 28 April: He is currently in Bangalore and will be back after 1st May. Hence, he will be available for the site visit post that. 27 April: Ringing, Dropped a text. 24 April: He needs 15 Seats and will try to visit on Monday.</v>
      </c>
    </row>
    <row r="110">
      <c r="A110" s="402">
        <f>IFERROR(__xludf.DUMMYFUNCTION("""COMPUTED_VALUE"""),46136.0)</f>
        <v>46136</v>
      </c>
      <c r="B110" s="276" t="str">
        <f>IFERROR(__xludf.DUMMYFUNCTION("""COMPUTED_VALUE"""),"Pritam  Soni")</f>
        <v>Pritam  Soni</v>
      </c>
      <c r="C110" s="276" t="str">
        <f>IFERROR(__xludf.DUMMYFUNCTION("""COMPUTED_VALUE"""),"Workora India")</f>
        <v>Workora India</v>
      </c>
      <c r="D110" s="276" t="str">
        <f>IFERROR(__xludf.DUMMYFUNCTION("""COMPUTED_VALUE"""),"Lost")</f>
        <v>Lost</v>
      </c>
      <c r="E110" s="276" t="str">
        <f>IFERROR(__xludf.DUMMYFUNCTION("""COMPUTED_VALUE"""),"Lower parel")</f>
        <v>Lower parel</v>
      </c>
      <c r="F110" s="276" t="str">
        <f>IFERROR(__xludf.DUMMYFUNCTION("""COMPUTED_VALUE"""),"Meta")</f>
        <v>Meta</v>
      </c>
      <c r="G110" s="276" t="str">
        <f>IFERROR(__xludf.DUMMYFUNCTION("""COMPUTED_VALUE"""),"Shravani")</f>
        <v>Shravani</v>
      </c>
      <c r="H110" s="276" t="str">
        <f>IFERROR(__xludf.DUMMYFUNCTION("""COMPUTED_VALUE"""),"29 April: His budget is 7k per seat. 27 April: Busy on call, dropped a text. 25 April: Declined the call.")</f>
        <v>29 April: His budget is 7k per seat. 27 April: Busy on call, dropped a text. 25 April: Declined the call.</v>
      </c>
    </row>
    <row r="111">
      <c r="A111" s="402">
        <f>IFERROR(__xludf.DUMMYFUNCTION("""COMPUTED_VALUE"""),46137.0)</f>
        <v>46137</v>
      </c>
      <c r="B111" s="276" t="str">
        <f>IFERROR(__xludf.DUMMYFUNCTION("""COMPUTED_VALUE"""),"Tushar Topale")</f>
        <v>Tushar Topale</v>
      </c>
      <c r="C111" s="276" t="str">
        <f>IFERROR(__xludf.DUMMYFUNCTION("""COMPUTED_VALUE"""),"Cloud Counselage Pvt. Ltd.")</f>
        <v>Cloud Counselage Pvt. Ltd.</v>
      </c>
      <c r="D111" s="276"/>
      <c r="E111" s="276" t="str">
        <f>IFERROR(__xludf.DUMMYFUNCTION("""COMPUTED_VALUE"""),"Lower parel")</f>
        <v>Lower parel</v>
      </c>
      <c r="F111" s="276" t="str">
        <f>IFERROR(__xludf.DUMMYFUNCTION("""COMPUTED_VALUE"""),"Meta")</f>
        <v>Meta</v>
      </c>
      <c r="G111" s="276" t="str">
        <f>IFERROR(__xludf.DUMMYFUNCTION("""COMPUTED_VALUE"""),"Shravani")</f>
        <v>Shravani</v>
      </c>
      <c r="H111" s="276" t="str">
        <f>IFERROR(__xludf.DUMMYFUNCTION("""COMPUTED_VALUE"""),"Note: Saniel Sir took this up.")</f>
        <v>Note: Saniel Sir took this up.</v>
      </c>
    </row>
    <row r="112">
      <c r="A112" s="402">
        <f>IFERROR(__xludf.DUMMYFUNCTION("""COMPUTED_VALUE"""),46138.0)</f>
        <v>46138</v>
      </c>
      <c r="B112" s="276" t="str">
        <f>IFERROR(__xludf.DUMMYFUNCTION("""COMPUTED_VALUE"""),"Chetan Todi")</f>
        <v>Chetan Todi</v>
      </c>
      <c r="C112" s="276" t="str">
        <f>IFERROR(__xludf.DUMMYFUNCTION("""COMPUTED_VALUE"""),"Goenka INC")</f>
        <v>Goenka INC</v>
      </c>
      <c r="D112" s="276" t="str">
        <f>IFERROR(__xludf.DUMMYFUNCTION("""COMPUTED_VALUE"""),"Hot")</f>
        <v>Hot</v>
      </c>
      <c r="E112" s="276" t="str">
        <f>IFERROR(__xludf.DUMMYFUNCTION("""COMPUTED_VALUE"""),"Lower parel")</f>
        <v>Lower parel</v>
      </c>
      <c r="F112" s="276" t="str">
        <f>IFERROR(__xludf.DUMMYFUNCTION("""COMPUTED_VALUE"""),"Meta")</f>
        <v>Meta</v>
      </c>
      <c r="G112" s="276" t="str">
        <f>IFERROR(__xludf.DUMMYFUNCTION("""COMPUTED_VALUE"""),"Shravani")</f>
        <v>Shravani</v>
      </c>
      <c r="H112" s="276" t="str">
        <f>IFERROR(__xludf.DUMMYFUNCTION("""COMPUTED_VALUE"""),"22 May: We have made some changes in the layout shared the revised the commercials. 18 May: He has a budget of 2 lacs. 15 May: Shared a 2D Layout and Commercials. 13 May: Visit is done. 5 May: He will visit today at 5pm.                                   "&amp;"                                                                                                                              2 May: Declined the call. 30 April: Dropped him a text. 28 April: Ringing, Dropped a text. 27 April: 4 Seater Cabin + 3 Seater Ca"&amp;"bin + 2 Single seater cabin.")</f>
        <v>22 May: We have made some changes in the layout shared the revised the commercials. 18 May: He has a budget of 2 lacs. 15 May: Shared a 2D Layout and Commercials. 13 May: Visit is done. 5 May: He will visit today at 5pm.                                                                                                                                                                 2 May: Declined the call. 30 April: Dropped him a text. 28 April: Ringing, Dropped a text. 27 April: 4 Seater Cabin + 3 Seater Cabin + 2 Single seater cabin.</v>
      </c>
    </row>
    <row r="113">
      <c r="A113" s="402">
        <f>IFERROR(__xludf.DUMMYFUNCTION("""COMPUTED_VALUE"""),46138.0)</f>
        <v>46138</v>
      </c>
      <c r="B113" s="276" t="str">
        <f>IFERROR(__xludf.DUMMYFUNCTION("""COMPUTED_VALUE"""),"Archana Tarsty")</f>
        <v>Archana Tarsty</v>
      </c>
      <c r="C113" s="276"/>
      <c r="D113" s="276" t="str">
        <f>IFERROR(__xludf.DUMMYFUNCTION("""COMPUTED_VALUE"""),"Cold")</f>
        <v>Cold</v>
      </c>
      <c r="E113" s="276" t="str">
        <f>IFERROR(__xludf.DUMMYFUNCTION("""COMPUTED_VALUE"""),"Lower parel")</f>
        <v>Lower parel</v>
      </c>
      <c r="F113" s="276" t="str">
        <f>IFERROR(__xludf.DUMMYFUNCTION("""COMPUTED_VALUE"""),"Meta")</f>
        <v>Meta</v>
      </c>
      <c r="G113" s="276" t="str">
        <f>IFERROR(__xludf.DUMMYFUNCTION("""COMPUTED_VALUE"""),"Shravani")</f>
        <v>Shravani</v>
      </c>
      <c r="H113" s="276" t="str">
        <f>IFERROR(__xludf.DUMMYFUNCTION("""COMPUTED_VALUE"""),"27 April: Her budget is 45k over all for 6 Seats")</f>
        <v>27 April: Her budget is 45k over all for 6 Seats</v>
      </c>
    </row>
    <row r="114">
      <c r="A114" s="402">
        <f>IFERROR(__xludf.DUMMYFUNCTION("""COMPUTED_VALUE"""),46139.0)</f>
        <v>46139</v>
      </c>
      <c r="B114" s="276" t="str">
        <f>IFERROR(__xludf.DUMMYFUNCTION("""COMPUTED_VALUE"""),"PK Kalnawat")</f>
        <v>PK Kalnawat</v>
      </c>
      <c r="C114" s="276" t="str">
        <f>IFERROR(__xludf.DUMMYFUNCTION("""COMPUTED_VALUE"""),"Topps")</f>
        <v>Topps</v>
      </c>
      <c r="D114" s="276" t="str">
        <f>IFERROR(__xludf.DUMMYFUNCTION("""COMPUTED_VALUE"""),"Lost")</f>
        <v>Lost</v>
      </c>
      <c r="E114" s="276" t="str">
        <f>IFERROR(__xludf.DUMMYFUNCTION("""COMPUTED_VALUE"""),"Lower parel")</f>
        <v>Lower parel</v>
      </c>
      <c r="F114" s="276" t="str">
        <f>IFERROR(__xludf.DUMMYFUNCTION("""COMPUTED_VALUE"""),"Meta")</f>
        <v>Meta</v>
      </c>
      <c r="G114" s="276" t="str">
        <f>IFERROR(__xludf.DUMMYFUNCTION("""COMPUTED_VALUE"""),"Shravani")</f>
        <v>Shravani</v>
      </c>
      <c r="H114" s="276" t="str">
        <f>IFERROR(__xludf.DUMMYFUNCTION("""COMPUTED_VALUE"""),"25 May: He took a office in in BKC.                                                                                                                                                             23 May: Ringing, dropped a text. 16 May: Dropped a mail. 13 May"&amp;": Ringing, Dropped a text. 5 May: Ringing, shared a voice note.                                                                                                                                                                                                "&amp;"              2 May: He was busy in a meeting. 30 April: He has 10 seater requirement. Shared images and commercials with him on text. 29 April: Followup msg. 28 April: Ringing, dropped a text.")</f>
        <v>25 May: He took a office in in BKC.                                                                                                                                                             23 May: Ringing, dropped a text. 16 May: Dropped a mail. 13 May: Ringing, Dropped a text. 5 May: Ringing, shared a voice note.                                                                                                                                                                                                              2 May: He was busy in a meeting. 30 April: He has 10 seater requirement. Shared images and commercials with him on text. 29 April: Followup msg. 28 April: Ringing, dropped a text.</v>
      </c>
    </row>
    <row r="115">
      <c r="A115" s="402">
        <f>IFERROR(__xludf.DUMMYFUNCTION("""COMPUTED_VALUE"""),46139.0)</f>
        <v>46139</v>
      </c>
      <c r="B115" s="276" t="str">
        <f>IFERROR(__xludf.DUMMYFUNCTION("""COMPUTED_VALUE"""),"Vismit ")</f>
        <v>Vismit </v>
      </c>
      <c r="C115" s="276" t="str">
        <f>IFERROR(__xludf.DUMMYFUNCTION("""COMPUTED_VALUE"""),"Jewel Trendz")</f>
        <v>Jewel Trendz</v>
      </c>
      <c r="D115" s="276" t="str">
        <f>IFERROR(__xludf.DUMMYFUNCTION("""COMPUTED_VALUE"""),"Not Responding")</f>
        <v>Not Responding</v>
      </c>
      <c r="E115" s="276" t="str">
        <f>IFERROR(__xludf.DUMMYFUNCTION("""COMPUTED_VALUE"""),"Lower parel")</f>
        <v>Lower parel</v>
      </c>
      <c r="F115" s="276" t="str">
        <f>IFERROR(__xludf.DUMMYFUNCTION("""COMPUTED_VALUE"""),"Meta")</f>
        <v>Meta</v>
      </c>
      <c r="G115" s="276" t="str">
        <f>IFERROR(__xludf.DUMMYFUNCTION("""COMPUTED_VALUE"""),"Shravani")</f>
        <v>Shravani</v>
      </c>
      <c r="H115" s="276" t="str">
        <f>IFERROR(__xludf.DUMMYFUNCTION("""COMPUTED_VALUE"""),"28th May: Ringing. 27th May:he has asked me to msg. 25 May: Ringing. 23 May: Ringing. 16 May: Dropped a text. 13 May: Dropped a text.  5 May: Ringing, dropped a voice note.                                                                                   "&amp;"                                                                      4 May: He will call me in 30 min to confirm the timings. 2 May: He will try to visit on Tuesday. 30 April: Ringing, Dropped him a text. 28 April: He has a requirement for 40–45 seats an"&amp;"d is currently operating from a conventional office setup. I have shared the images and relevant details with him. He will review them and get back to me.")</f>
        <v>28th May: Ringing. 27th May:he has asked me to msg. 25 May: Ringing. 23 May: Ringing. 16 May: Dropped a text. 13 May: Dropped a text.  5 May: Ringing, dropped a voice note.                                                                                                                                                         4 May: He will call me in 30 min to confirm the timings. 2 May: He will try to visit on Tuesday. 30 April: Ringing, Dropped him a text. 28 April: He has a requirement for 40–45 seats and is currently operating from a conventional office setup. I have shared the images and relevant details with him. He will review them and get back to me.</v>
      </c>
    </row>
    <row r="116">
      <c r="A116" s="402">
        <f>IFERROR(__xludf.DUMMYFUNCTION("""COMPUTED_VALUE"""),46140.0)</f>
        <v>46140</v>
      </c>
      <c r="B116" s="276" t="str">
        <f>IFERROR(__xludf.DUMMYFUNCTION("""COMPUTED_VALUE"""),"V Shrivastava")</f>
        <v>V Shrivastava</v>
      </c>
      <c r="C116" s="276" t="str">
        <f>IFERROR(__xludf.DUMMYFUNCTION("""COMPUTED_VALUE"""),"Vitalpro")</f>
        <v>Vitalpro</v>
      </c>
      <c r="D116" s="276" t="str">
        <f>IFERROR(__xludf.DUMMYFUNCTION("""COMPUTED_VALUE"""),"Lost")</f>
        <v>Lost</v>
      </c>
      <c r="E116" s="276"/>
      <c r="F116" s="276" t="str">
        <f>IFERROR(__xludf.DUMMYFUNCTION("""COMPUTED_VALUE"""),"Meta")</f>
        <v>Meta</v>
      </c>
      <c r="G116" s="276" t="str">
        <f>IFERROR(__xludf.DUMMYFUNCTION("""COMPUTED_VALUE"""),"Shravani")</f>
        <v>Shravani</v>
      </c>
      <c r="H116" s="276" t="str">
        <f>IFERROR(__xludf.DUMMYFUNCTION("""COMPUTED_VALUE"""),"17 May: He got a office in Kamla Mills. 15 May: Ringing, Dropped him a text. 13 May: Ringing. 5 May: Shared with him the commercials, he will think on it and will get back to me.                                                                            2"&amp;" May: Ringing. 30 April: The client is looking for a conventional office setup as he is currently operating from a coworking space and now prefers a more dedicated working atmosphere along with an affordable option. He has asked me to share a lump sum cos"&amp;"ting. He will compare the commercials and get back to me. 28 April: He requires 25 workstations, 1 conference room, and 2 cabins. He is currently operating from a conventional office setup. I have quoted ₹16,000 per seat. I requested him to visit the spac"&amp;"e today; however, he is occupied and will get back to me tomorrow to confirm his availability for a site visit.")</f>
        <v>17 May: He got a office in Kamla Mills. 15 May: Ringing, Dropped him a text. 13 May: Ringing. 5 May: Shared with him the commercials, he will think on it and will get back to me.                                                                            2 May: Ringing. 30 April: The client is looking for a conventional office setup as he is currently operating from a coworking space and now prefers a more dedicated working atmosphere along with an affordable option. He has asked me to share a lump sum costing. He will compare the commercials and get back to me. 28 April: He requires 25 workstations, 1 conference room, and 2 cabins. He is currently operating from a conventional office setup. I have quoted ₹16,000 per seat. I requested him to visit the space today; however, he is occupied and will get back to me tomorrow to confirm his availability for a site visit.</v>
      </c>
    </row>
    <row r="117">
      <c r="A117" s="402">
        <f>IFERROR(__xludf.DUMMYFUNCTION("""COMPUTED_VALUE"""),46140.0)</f>
        <v>46140</v>
      </c>
      <c r="B117" s="276" t="str">
        <f>IFERROR(__xludf.DUMMYFUNCTION("""COMPUTED_VALUE"""),"Rinku Appalwar")</f>
        <v>Rinku Appalwar</v>
      </c>
      <c r="C117" s="276" t="str">
        <f>IFERROR(__xludf.DUMMYFUNCTION("""COMPUTED_VALUE"""),"Emmbi Industries Limited")</f>
        <v>Emmbi Industries Limited</v>
      </c>
      <c r="D117" s="276" t="str">
        <f>IFERROR(__xludf.DUMMYFUNCTION("""COMPUTED_VALUE"""),"Not Responding")</f>
        <v>Not Responding</v>
      </c>
      <c r="E117" s="276" t="str">
        <f>IFERROR(__xludf.DUMMYFUNCTION("""COMPUTED_VALUE"""),"Lower parel")</f>
        <v>Lower parel</v>
      </c>
      <c r="F117" s="276" t="str">
        <f>IFERROR(__xludf.DUMMYFUNCTION("""COMPUTED_VALUE"""),"Meta")</f>
        <v>Meta</v>
      </c>
      <c r="G117" s="276" t="str">
        <f>IFERROR(__xludf.DUMMYFUNCTION("""COMPUTED_VALUE"""),"Shravani")</f>
        <v>Shravani</v>
      </c>
      <c r="H117" s="276" t="str">
        <f>IFERROR(__xludf.DUMMYFUNCTION("""COMPUTED_VALUE"""),"28th May: Ringing. 27th May: Ringing. 23 May: Ringing. 16 May: Dropped a mail. 15 May: Declined the call, dropped her a text. 13 May: Busy on Call. 11 May: Declined the call. 5 May: Declined the call.                                                       "&amp;"                                                                                                                             2 May: Declined the call, Dropped her a text. 30 April: Ringing, Dropped him a text")</f>
        <v>28th May: Ringing. 27th May: Ringing. 23 May: Ringing. 16 May: Dropped a mail. 15 May: Declined the call, dropped her a text. 13 May: Busy on Call. 11 May: Declined the call. 5 May: Declined the call.                                                                                                                                                                                    2 May: Declined the call, Dropped her a text. 30 April: Ringing, Dropped him a text</v>
      </c>
    </row>
    <row r="118">
      <c r="A118" s="402">
        <f>IFERROR(__xludf.DUMMYFUNCTION("""COMPUTED_VALUE"""),46141.0)</f>
        <v>46141</v>
      </c>
      <c r="B118" s="276" t="str">
        <f>IFERROR(__xludf.DUMMYFUNCTION("""COMPUTED_VALUE"""),"Pritesh Poddar")</f>
        <v>Pritesh Poddar</v>
      </c>
      <c r="C118" s="276" t="str">
        <f>IFERROR(__xludf.DUMMYFUNCTION("""COMPUTED_VALUE"""),"UBS")</f>
        <v>UBS</v>
      </c>
      <c r="D118" s="276" t="str">
        <f>IFERROR(__xludf.DUMMYFUNCTION("""COMPUTED_VALUE"""),"Lost")</f>
        <v>Lost</v>
      </c>
      <c r="E118" s="276" t="str">
        <f>IFERROR(__xludf.DUMMYFUNCTION("""COMPUTED_VALUE"""),"Lower parel")</f>
        <v>Lower parel</v>
      </c>
      <c r="F118" s="276" t="str">
        <f>IFERROR(__xludf.DUMMYFUNCTION("""COMPUTED_VALUE"""),"Meta")</f>
        <v>Meta</v>
      </c>
      <c r="G118" s="276" t="str">
        <f>IFERROR(__xludf.DUMMYFUNCTION("""COMPUTED_VALUE"""),"Shravani")</f>
        <v>Shravani</v>
      </c>
      <c r="H118" s="276" t="str">
        <f>IFERROR(__xludf.DUMMYFUNCTION("""COMPUTED_VALUE"""),"15 May: He has a budget of 2 Lacs.                                                                                                                                                                13 May: He need some time to discuss internally. 11 May: Need"&amp;" to share the Layouts today. 6 May: 20 Seats + 3 Cabins + 1 Meeting Room. His current office is in Mittal Industrial Estate. He wantsa some lyout options also he mentioned his budget is low.                                                                 "&amp;"                                                                    5 May: He mentioned that he was in a meeting and will call me back after some time.
2 May: Ringing, Dropped a text. 30 April: He will call me back after some time. 29 April: Ringing")</f>
        <v>15 May: He has a budget of 2 Lacs.                                                                                                                                                                13 May: He need some time to discuss internally. 11 May: Need to share the Layouts today. 6 May: 20 Seats + 3 Cabins + 1 Meeting Room. His current office is in Mittal Industrial Estate. He wantsa some lyout options also he mentioned his budget is low.                                                                                                                                     5 May: He mentioned that he was in a meeting and will call me back after some time.
2 May: Ringing, Dropped a text. 30 April: He will call me back after some time. 29 April: Ringing</v>
      </c>
    </row>
    <row r="119">
      <c r="A119" s="402">
        <f>IFERROR(__xludf.DUMMYFUNCTION("""COMPUTED_VALUE"""),46141.0)</f>
        <v>46141</v>
      </c>
      <c r="B119" s="276" t="str">
        <f>IFERROR(__xludf.DUMMYFUNCTION("""COMPUTED_VALUE"""),"Saurabh  Singh")</f>
        <v>Saurabh  Singh</v>
      </c>
      <c r="C119" s="276" t="str">
        <f>IFERROR(__xludf.DUMMYFUNCTION("""COMPUTED_VALUE"""),"Nirmal Bang Wealth")</f>
        <v>Nirmal Bang Wealth</v>
      </c>
      <c r="D119" s="276" t="str">
        <f>IFERROR(__xludf.DUMMYFUNCTION("""COMPUTED_VALUE"""),"Not Responding")</f>
        <v>Not Responding</v>
      </c>
      <c r="E119" s="276" t="str">
        <f>IFERROR(__xludf.DUMMYFUNCTION("""COMPUTED_VALUE"""),"Lower parel")</f>
        <v>Lower parel</v>
      </c>
      <c r="F119" s="276" t="str">
        <f>IFERROR(__xludf.DUMMYFUNCTION("""COMPUTED_VALUE"""),"Meta")</f>
        <v>Meta</v>
      </c>
      <c r="G119" s="276" t="str">
        <f>IFERROR(__xludf.DUMMYFUNCTION("""COMPUTED_VALUE"""),"Shravani")</f>
        <v>Shravani</v>
      </c>
      <c r="H119" s="276" t="str">
        <f>IFERROR(__xludf.DUMMYFUNCTION("""COMPUTED_VALUE"""),"11 May: Ringing. 6th May: Dropped text. R2 May: Ringing, dropped him a text.                                                                                                                                                                                   "&amp;"                                                   30 April: Ringing. 29 April: Saniel SIr Spoke to him and asked me to share details on Whatsapp 20 seater + 2 Cabin + 1 Meeting Room")</f>
        <v>11 May: Ringing. 6th May: Dropped text. R2 May: Ringing, dropped him a text.                                                                                                                                                                                                                                      30 April: Ringing. 29 April: Saniel SIr Spoke to him and asked me to share details on Whatsapp 20 seater + 2 Cabin + 1 Meeting Room</v>
      </c>
    </row>
    <row r="120">
      <c r="A120" s="402">
        <f>IFERROR(__xludf.DUMMYFUNCTION("""COMPUTED_VALUE"""),46141.0)</f>
        <v>46141</v>
      </c>
      <c r="B120" s="276" t="str">
        <f>IFERROR(__xludf.DUMMYFUNCTION("""COMPUTED_VALUE"""),"Madhurr Jhaawar")</f>
        <v>Madhurr Jhaawar</v>
      </c>
      <c r="C120" s="276" t="str">
        <f>IFERROR(__xludf.DUMMYFUNCTION("""COMPUTED_VALUE"""),"OPML Group")</f>
        <v>OPML Group</v>
      </c>
      <c r="D120" s="276" t="str">
        <f>IFERROR(__xludf.DUMMYFUNCTION("""COMPUTED_VALUE"""),"Not Responding")</f>
        <v>Not Responding</v>
      </c>
      <c r="E120" s="276" t="str">
        <f>IFERROR(__xludf.DUMMYFUNCTION("""COMPUTED_VALUE"""),"Lower parel")</f>
        <v>Lower parel</v>
      </c>
      <c r="F120" s="276" t="str">
        <f>IFERROR(__xludf.DUMMYFUNCTION("""COMPUTED_VALUE"""),"Meta")</f>
        <v>Meta</v>
      </c>
      <c r="G120" s="276" t="str">
        <f>IFERROR(__xludf.DUMMYFUNCTION("""COMPUTED_VALUE"""),"Shravani")</f>
        <v>Shravani</v>
      </c>
      <c r="H120" s="276" t="str">
        <f>IFERROR(__xludf.DUMMYFUNCTION("""COMPUTED_VALUE"""),"28th May: Ringing. 27th May: Ringing. 25 May: Dropped a followup text. 23 May: He is a bit busy and will get back to me in few days. 20 May: Ringing. 16 May: Dropped a text. 15 May: Dropped him text.  13 May: Ringng, Dropped a text, 11 May: He has asked m"&amp;"e to share the location and will try to visit in this week.. 5 May: Shared with the images of RDK's Cabin. 4th May: He wants 1 Cabin &amp; 2 Workstation and his budget is 65k. 2nd May: He will call on Monday. 30 April: He needs 400sq.ft and rest 300sq.ft work"&amp;"station. 29 April: Ringing. ")</f>
        <v>28th May: Ringing. 27th May: Ringing. 25 May: Dropped a followup text. 23 May: He is a bit busy and will get back to me in few days. 20 May: Ringing. 16 May: Dropped a text. 15 May: Dropped him text.  13 May: Ringng, Dropped a text, 11 May: He has asked me to share the location and will try to visit in this week.. 5 May: Shared with the images of RDK's Cabin. 4th May: He wants 1 Cabin &amp; 2 Workstation and his budget is 65k. 2nd May: He will call on Monday. 30 April: He needs 400sq.ft and rest 300sq.ft workstation. 29 April: Ringing. </v>
      </c>
    </row>
    <row r="121">
      <c r="A121" s="402">
        <f>IFERROR(__xludf.DUMMYFUNCTION("""COMPUTED_VALUE"""),46141.0)</f>
        <v>46141</v>
      </c>
      <c r="B121" s="276" t="str">
        <f>IFERROR(__xludf.DUMMYFUNCTION("""COMPUTED_VALUE"""),"Tushar Jani")</f>
        <v>Tushar Jani</v>
      </c>
      <c r="C121" s="276" t="str">
        <f>IFERROR(__xludf.DUMMYFUNCTION("""COMPUTED_VALUE"""),"Self Employed")</f>
        <v>Self Employed</v>
      </c>
      <c r="D121" s="276" t="str">
        <f>IFERROR(__xludf.DUMMYFUNCTION("""COMPUTED_VALUE"""),"Not Responding")</f>
        <v>Not Responding</v>
      </c>
      <c r="E121" s="276" t="str">
        <f>IFERROR(__xludf.DUMMYFUNCTION("""COMPUTED_VALUE"""),"Lower parel")</f>
        <v>Lower parel</v>
      </c>
      <c r="F121" s="276" t="str">
        <f>IFERROR(__xludf.DUMMYFUNCTION("""COMPUTED_VALUE"""),"Meta")</f>
        <v>Meta</v>
      </c>
      <c r="G121" s="276" t="str">
        <f>IFERROR(__xludf.DUMMYFUNCTION("""COMPUTED_VALUE"""),"Shravani")</f>
        <v>Shravani</v>
      </c>
      <c r="H121" s="276" t="str">
        <f>IFERROR(__xludf.DUMMYFUNCTION("""COMPUTED_VALUE"""),"28th May : Ringing. 27th May: Ringing. 25 May: Ringing, Dropped a text. 23 May: Ringing. 20 May: Ringing. 16 May: Dropped a text. 15 May: Ringing, Dropped a text.  11 May: Ringing, dropped a text.  6 May: Ringing, dropped a text. 5 May: Ringing, dropped a"&amp;" text. 29April: He has asked me to call him on 4th May.")</f>
        <v>28th May : Ringing. 27th May: Ringing. 25 May: Ringing, Dropped a text. 23 May: Ringing. 20 May: Ringing. 16 May: Dropped a text. 15 May: Ringing, Dropped a text.  11 May: Ringing, dropped a text.  6 May: Ringing, dropped a text. 5 May: Ringing, dropped a text. 29April: He has asked me to call him on 4th May.</v>
      </c>
    </row>
    <row r="122">
      <c r="A122" s="402">
        <f>IFERROR(__xludf.DUMMYFUNCTION("""COMPUTED_VALUE"""),46142.0)</f>
        <v>46142</v>
      </c>
      <c r="B122" s="276" t="str">
        <f>IFERROR(__xludf.DUMMYFUNCTION("""COMPUTED_VALUE"""),"Rajesh  ")</f>
        <v>Rajesh  </v>
      </c>
      <c r="C122" s="276" t="str">
        <f>IFERROR(__xludf.DUMMYFUNCTION("""COMPUTED_VALUE"""),"Site Invention ")</f>
        <v>Site Invention </v>
      </c>
      <c r="D122" s="276" t="str">
        <f>IFERROR(__xludf.DUMMYFUNCTION("""COMPUTED_VALUE"""),"Lost")</f>
        <v>Lost</v>
      </c>
      <c r="E122" s="276" t="str">
        <f>IFERROR(__xludf.DUMMYFUNCTION("""COMPUTED_VALUE"""),"Lower parel")</f>
        <v>Lower parel</v>
      </c>
      <c r="F122" s="276" t="str">
        <f>IFERROR(__xludf.DUMMYFUNCTION("""COMPUTED_VALUE"""),"Meta")</f>
        <v>Meta</v>
      </c>
      <c r="G122" s="276" t="str">
        <f>IFERROR(__xludf.DUMMYFUNCTION("""COMPUTED_VALUE"""),"Shravani")</f>
        <v>Shravani</v>
      </c>
      <c r="H122" s="276" t="str">
        <f>IFERROR(__xludf.DUMMYFUNCTION("""COMPUTED_VALUE"""),"2 May: His management is planning to go ahead with their existing office. 30 April: He needs 10 workstations + 2 Cabin. His current office is in Prabhadevi and is in a conventional office. Shared with him the images of our space. He will get back to me on"&amp;" Monday after speaking to his management.")</f>
        <v>2 May: His management is planning to go ahead with their existing office. 30 April: He needs 10 workstations + 2 Cabin. His current office is in Prabhadevi and is in a conventional office. Shared with him the images of our space. He will get back to me on Monday after speaking to his management.</v>
      </c>
    </row>
    <row r="123">
      <c r="A123" s="402">
        <f>IFERROR(__xludf.DUMMYFUNCTION("""COMPUTED_VALUE"""),46142.0)</f>
        <v>46142</v>
      </c>
      <c r="B123" s="276" t="str">
        <f>IFERROR(__xludf.DUMMYFUNCTION("""COMPUTED_VALUE"""),"Narayan  Ingole")</f>
        <v>Narayan  Ingole</v>
      </c>
      <c r="C123" s="276" t="str">
        <f>IFERROR(__xludf.DUMMYFUNCTION("""COMPUTED_VALUE"""),"ETC Engineering Technology")</f>
        <v>ETC Engineering Technology</v>
      </c>
      <c r="D123" s="276" t="str">
        <f>IFERROR(__xludf.DUMMYFUNCTION("""COMPUTED_VALUE"""),"Closed")</f>
        <v>Closed</v>
      </c>
      <c r="E123" s="276" t="str">
        <f>IFERROR(__xludf.DUMMYFUNCTION("""COMPUTED_VALUE"""),"Lower parel")</f>
        <v>Lower parel</v>
      </c>
      <c r="F123" s="276" t="str">
        <f>IFERROR(__xludf.DUMMYFUNCTION("""COMPUTED_VALUE"""),"Meta")</f>
        <v>Meta</v>
      </c>
      <c r="G123" s="276" t="str">
        <f>IFERROR(__xludf.DUMMYFUNCTION("""COMPUTED_VALUE"""),"Shravani")</f>
        <v>Shravani</v>
      </c>
      <c r="H123" s="276" t="str">
        <f>IFERROR(__xludf.DUMMYFUNCTION("""COMPUTED_VALUE"""),"21 May: We have received the deposit. 15 May: LOI is in Process. 11 May: 4 Seater Cabin Layout is already shared. he is asking for 3 Seater Cabin as well. 6 May: He visited the space. Need a layout.                                                         "&amp;"                                                                                       5 May: He will try to visit tomorrow.                                                                                                                                   "&amp;"                                           2 May: He will try to visit in this coming week. 30 April: He requires a 4-seater cabin. He is looking for options in Dadar but will try to visit our space to check the feasibility.")</f>
        <v>21 May: We have received the deposit. 15 May: LOI is in Process. 11 May: 4 Seater Cabin Layout is already shared. he is asking for 3 Seater Cabin as well. 6 May: He visited the space. Need a layout.                                                                                                                                                5 May: He will try to visit tomorrow.                                                                                                                                                                              2 May: He will try to visit in this coming week. 30 April: He requires a 4-seater cabin. He is looking for options in Dadar but will try to visit our space to check the feasibility.</v>
      </c>
    </row>
    <row r="124">
      <c r="A124" s="402">
        <f>IFERROR(__xludf.DUMMYFUNCTION("""COMPUTED_VALUE"""),46143.0)</f>
        <v>46143</v>
      </c>
      <c r="B124" s="276" t="str">
        <f>IFERROR(__xludf.DUMMYFUNCTION("""COMPUTED_VALUE"""),"Shailendra Mahulkar")</f>
        <v>Shailendra Mahulkar</v>
      </c>
      <c r="C124" s="276" t="str">
        <f>IFERROR(__xludf.DUMMYFUNCTION("""COMPUTED_VALUE"""),"InsuranceDekho")</f>
        <v>InsuranceDekho</v>
      </c>
      <c r="D124" s="276"/>
      <c r="E124" s="276" t="str">
        <f>IFERROR(__xludf.DUMMYFUNCTION("""COMPUTED_VALUE"""),"Lower parel")</f>
        <v>Lower parel</v>
      </c>
      <c r="F124" s="276" t="str">
        <f>IFERROR(__xludf.DUMMYFUNCTION("""COMPUTED_VALUE"""),"Meta")</f>
        <v>Meta</v>
      </c>
      <c r="G124" s="276" t="str">
        <f>IFERROR(__xludf.DUMMYFUNCTION("""COMPUTED_VALUE"""),"Shravani")</f>
        <v>Shravani</v>
      </c>
      <c r="H124" s="276" t="str">
        <f>IFERROR(__xludf.DUMMYFUNCTION("""COMPUTED_VALUE"""),"30 April: Need 30 Seats in Pune.")</f>
        <v>30 April: Need 30 Seats in Pune.</v>
      </c>
    </row>
    <row r="125">
      <c r="A125" s="402">
        <f>IFERROR(__xludf.DUMMYFUNCTION("""COMPUTED_VALUE"""),46143.0)</f>
        <v>46143</v>
      </c>
      <c r="B125" s="276" t="str">
        <f>IFERROR(__xludf.DUMMYFUNCTION("""COMPUTED_VALUE"""),"Gauri Chheda")</f>
        <v>Gauri Chheda</v>
      </c>
      <c r="C125" s="276" t="str">
        <f>IFERROR(__xludf.DUMMYFUNCTION("""COMPUTED_VALUE"""),"Getafixx")</f>
        <v>Getafixx</v>
      </c>
      <c r="D125" s="276" t="str">
        <f>IFERROR(__xludf.DUMMYFUNCTION("""COMPUTED_VALUE"""),"Hold")</f>
        <v>Hold</v>
      </c>
      <c r="E125" s="276" t="str">
        <f>IFERROR(__xludf.DUMMYFUNCTION("""COMPUTED_VALUE"""),"Lower parel")</f>
        <v>Lower parel</v>
      </c>
      <c r="F125" s="276" t="str">
        <f>IFERROR(__xludf.DUMMYFUNCTION("""COMPUTED_VALUE"""),"Meta")</f>
        <v>Meta</v>
      </c>
      <c r="G125" s="276" t="str">
        <f>IFERROR(__xludf.DUMMYFUNCTION("""COMPUTED_VALUE"""),"Shravani")</f>
        <v>Shravani</v>
      </c>
      <c r="H125" s="276" t="str">
        <f>IFERROR(__xludf.DUMMYFUNCTION("""COMPUTED_VALUE"""),"5 May: She is not looking for any office in present. 1 May: Ringing, dropped a text. ")</f>
        <v>5 May: She is not looking for any office in present. 1 May: Ringing, dropped a text. </v>
      </c>
    </row>
    <row r="126">
      <c r="A126" s="402">
        <f>IFERROR(__xludf.DUMMYFUNCTION("""COMPUTED_VALUE"""),46144.0)</f>
        <v>46144</v>
      </c>
      <c r="B126" s="276" t="str">
        <f>IFERROR(__xludf.DUMMYFUNCTION("""COMPUTED_VALUE"""),"Pulak  Roy")</f>
        <v>Pulak  Roy</v>
      </c>
      <c r="C126" s="276" t="str">
        <f>IFERROR(__xludf.DUMMYFUNCTION("""COMPUTED_VALUE"""),"Enzonomix Biotech LLP")</f>
        <v>Enzonomix Biotech LLP</v>
      </c>
      <c r="D126" s="276" t="str">
        <f>IFERROR(__xludf.DUMMYFUNCTION("""COMPUTED_VALUE"""),"Lost")</f>
        <v>Lost</v>
      </c>
      <c r="E126" s="276" t="str">
        <f>IFERROR(__xludf.DUMMYFUNCTION("""COMPUTED_VALUE"""),"Lower parel")</f>
        <v>Lower parel</v>
      </c>
      <c r="F126" s="276" t="str">
        <f>IFERROR(__xludf.DUMMYFUNCTION("""COMPUTED_VALUE"""),"Meta")</f>
        <v>Meta</v>
      </c>
      <c r="G126" s="276" t="str">
        <f>IFERROR(__xludf.DUMMYFUNCTION("""COMPUTED_VALUE"""),"Shravani")</f>
        <v>Shravani</v>
      </c>
      <c r="H126" s="276" t="str">
        <f>IFERROR(__xludf.DUMMYFUNCTION("""COMPUTED_VALUE"""),"11 May: He don't need an office space. 6 May: Ringing, dropped a text. 5 May: Ringing. 2 May: Ringing, dropped a text.")</f>
        <v>11 May: He don't need an office space. 6 May: Ringing, dropped a text. 5 May: Ringing. 2 May: Ringing, dropped a text.</v>
      </c>
    </row>
    <row r="127">
      <c r="A127" s="402">
        <f>IFERROR(__xludf.DUMMYFUNCTION("""COMPUTED_VALUE"""),46144.0)</f>
        <v>46144</v>
      </c>
      <c r="B127" s="276" t="str">
        <f>IFERROR(__xludf.DUMMYFUNCTION("""COMPUTED_VALUE"""),"Murtaza Patanwala")</f>
        <v>Murtaza Patanwala</v>
      </c>
      <c r="C127" s="276" t="str">
        <f>IFERROR(__xludf.DUMMYFUNCTION("""COMPUTED_VALUE"""),"Prodige Digital Pvt Ltd")</f>
        <v>Prodige Digital Pvt Ltd</v>
      </c>
      <c r="D127" s="276" t="str">
        <f>IFERROR(__xludf.DUMMYFUNCTION("""COMPUTED_VALUE"""),"Lost")</f>
        <v>Lost</v>
      </c>
      <c r="E127" s="276" t="str">
        <f>IFERROR(__xludf.DUMMYFUNCTION("""COMPUTED_VALUE"""),"Lower parel")</f>
        <v>Lower parel</v>
      </c>
      <c r="F127" s="276" t="str">
        <f>IFERROR(__xludf.DUMMYFUNCTION("""COMPUTED_VALUE"""),"Meta")</f>
        <v>Meta</v>
      </c>
      <c r="G127" s="276" t="str">
        <f>IFERROR(__xludf.DUMMYFUNCTION("""COMPUTED_VALUE"""),"Shravani")</f>
        <v>Shravani</v>
      </c>
      <c r="H127" s="276" t="str">
        <f>IFERROR(__xludf.DUMMYFUNCTION("""COMPUTED_VALUE"""),"23 May: They went ahead with a conventional office.                                                                                                                              20 May: His management has not yet responded. 15 May: Dropped a followup mail."&amp;"  13 May: He is awaiting response from his management. 11 May: His management has not yet reverted on the proposal he shared with them. 6 May: His management is currently exploring other options as well. Once they shortlist our property for a visit, he wi"&amp;"ll get back to me.                                                                                                                                                                                                                       5 May: Droppe a text. "&amp;"2 May: 10 Seater Cabin. He wants images of the space and will try to visit next week.")</f>
        <v>23 May: They went ahead with a conventional office.                                                                                                                              20 May: His management has not yet responded. 15 May: Dropped a followup mail.  13 May: He is awaiting response from his management. 11 May: His management has not yet reverted on the proposal he shared with them. 6 May: His management is currently exploring other options as well. Once they shortlist our property for a visit, he will get back to me.                                                                                                                                                                                                                       5 May: Droppe a text. 2 May: 10 Seater Cabin. He wants images of the space and will try to visit next week.</v>
      </c>
    </row>
    <row r="128">
      <c r="A128" s="402">
        <f>IFERROR(__xludf.DUMMYFUNCTION("""COMPUTED_VALUE"""),46144.0)</f>
        <v>46144</v>
      </c>
      <c r="B128" s="276" t="str">
        <f>IFERROR(__xludf.DUMMYFUNCTION("""COMPUTED_VALUE"""),"Rajesh  Chaturvedi")</f>
        <v>Rajesh  Chaturvedi</v>
      </c>
      <c r="C128" s="276" t="str">
        <f>IFERROR(__xludf.DUMMYFUNCTION("""COMPUTED_VALUE"""),"Aditya Systems")</f>
        <v>Aditya Systems</v>
      </c>
      <c r="D128" s="276" t="str">
        <f>IFERROR(__xludf.DUMMYFUNCTION("""COMPUTED_VALUE"""),"Lost")</f>
        <v>Lost</v>
      </c>
      <c r="E128" s="276" t="str">
        <f>IFERROR(__xludf.DUMMYFUNCTION("""COMPUTED_VALUE"""),"Lower parel")</f>
        <v>Lower parel</v>
      </c>
      <c r="F128" s="276" t="str">
        <f>IFERROR(__xludf.DUMMYFUNCTION("""COMPUTED_VALUE"""),"Meta")</f>
        <v>Meta</v>
      </c>
      <c r="G128" s="276" t="str">
        <f>IFERROR(__xludf.DUMMYFUNCTION("""COMPUTED_VALUE"""),"Shravani")</f>
        <v>Shravani</v>
      </c>
      <c r="H128" s="276" t="str">
        <f>IFERROR(__xludf.DUMMYFUNCTION("""COMPUTED_VALUE"""),"2 May: He need a virtual Office.")</f>
        <v>2 May: He need a virtual Office.</v>
      </c>
    </row>
    <row r="129">
      <c r="A129" s="402">
        <f>IFERROR(__xludf.DUMMYFUNCTION("""COMPUTED_VALUE"""),46144.0)</f>
        <v>46144</v>
      </c>
      <c r="B129" s="276" t="str">
        <f>IFERROR(__xludf.DUMMYFUNCTION("""COMPUTED_VALUE"""),"Vijay Naraayanan")</f>
        <v>Vijay Naraayanan</v>
      </c>
      <c r="C129" s="276" t="str">
        <f>IFERROR(__xludf.DUMMYFUNCTION("""COMPUTED_VALUE"""),"Altellect")</f>
        <v>Altellect</v>
      </c>
      <c r="D129" s="276" t="str">
        <f>IFERROR(__xludf.DUMMYFUNCTION("""COMPUTED_VALUE"""),"Not Responding")</f>
        <v>Not Responding</v>
      </c>
      <c r="E129" s="276" t="str">
        <f>IFERROR(__xludf.DUMMYFUNCTION("""COMPUTED_VALUE"""),"Lower parel")</f>
        <v>Lower parel</v>
      </c>
      <c r="F129" s="276" t="str">
        <f>IFERROR(__xludf.DUMMYFUNCTION("""COMPUTED_VALUE"""),"Meta")</f>
        <v>Meta</v>
      </c>
      <c r="G129" s="276" t="str">
        <f>IFERROR(__xludf.DUMMYFUNCTION("""COMPUTED_VALUE"""),"Shravani")</f>
        <v>Shravani</v>
      </c>
      <c r="H129" s="276" t="str">
        <f>IFERROR(__xludf.DUMMYFUNCTION("""COMPUTED_VALUE"""),"28th May : Ringing. 27th May: Ringing. 25 May: Ringing. 23 May: Ringing, Dropped him a text. 16 May: Dropped a mail. 15 May: Declined the call, dropped a text. 11 May: Not answering the calls. 8 May: Dropped a mail. 6 May: Ringing, dropped a text. 5 May: "&amp;"OS, dropped a text.                                                                                                                                                                             4 May: Ringing, Mail sent. 2 May: Ringing, Dropped him a text. ")</f>
        <v>28th May : Ringing. 27th May: Ringing. 25 May: Ringing. 23 May: Ringing, Dropped him a text. 16 May: Dropped a mail. 15 May: Declined the call, dropped a text. 11 May: Not answering the calls. 8 May: Dropped a mail. 6 May: Ringing, dropped a text. 5 May: OS, dropped a text.                                                                                                                                                                             4 May: Ringing, Mail sent. 2 May: Ringing, Dropped him a text. </v>
      </c>
    </row>
    <row r="130">
      <c r="A130" s="402">
        <f>IFERROR(__xludf.DUMMYFUNCTION("""COMPUTED_VALUE"""),46145.0)</f>
        <v>46145</v>
      </c>
      <c r="B130" s="276" t="str">
        <f>IFERROR(__xludf.DUMMYFUNCTION("""COMPUTED_VALUE"""),"Rajagopal Iyer")</f>
        <v>Rajagopal Iyer</v>
      </c>
      <c r="C130" s="276" t="str">
        <f>IFERROR(__xludf.DUMMYFUNCTION("""COMPUTED_VALUE"""),"Setco Automotive Ltd.")</f>
        <v>Setco Automotive Ltd.</v>
      </c>
      <c r="D130" s="276" t="str">
        <f>IFERROR(__xludf.DUMMYFUNCTION("""COMPUTED_VALUE"""),"Lost")</f>
        <v>Lost</v>
      </c>
      <c r="E130" s="276" t="str">
        <f>IFERROR(__xludf.DUMMYFUNCTION("""COMPUTED_VALUE"""),"Lower parel")</f>
        <v>Lower parel</v>
      </c>
      <c r="F130" s="276" t="str">
        <f>IFERROR(__xludf.DUMMYFUNCTION("""COMPUTED_VALUE"""),"Meta")</f>
        <v>Meta</v>
      </c>
      <c r="G130" s="276" t="str">
        <f>IFERROR(__xludf.DUMMYFUNCTION("""COMPUTED_VALUE"""),"Shravani")</f>
        <v>Shravani</v>
      </c>
      <c r="H130" s="276" t="str">
        <f>IFERROR(__xludf.DUMMYFUNCTION("""COMPUTED_VALUE"""),"23 May: He has shared the layout option with his management and will get back to me with the inputs by Wednesday. 20 May: Ringing. 15 May: Followup Mail. 11 May: Commercials and Layout will be shared today. 5 May: Need to share the layouts.               "&amp;"                                                                                                                                                              4 May: Visit Done")</f>
        <v>23 May: He has shared the layout option with his management and will get back to me with the inputs by Wednesday. 20 May: Ringing. 15 May: Followup Mail. 11 May: Commercials and Layout will be shared today. 5 May: Need to share the layouts.                                                                                                                                                                             4 May: Visit Done</v>
      </c>
    </row>
    <row r="131">
      <c r="A131" s="402">
        <f>IFERROR(__xludf.DUMMYFUNCTION("""COMPUTED_VALUE"""),46145.0)</f>
        <v>46145</v>
      </c>
      <c r="B131" s="276" t="str">
        <f>IFERROR(__xludf.DUMMYFUNCTION("""COMPUTED_VALUE"""),"Jignesh Maniar")</f>
        <v>Jignesh Maniar</v>
      </c>
      <c r="C131" s="276" t="str">
        <f>IFERROR(__xludf.DUMMYFUNCTION("""COMPUTED_VALUE"""),"Onads Communications")</f>
        <v>Onads Communications</v>
      </c>
      <c r="D131" s="276" t="str">
        <f>IFERROR(__xludf.DUMMYFUNCTION("""COMPUTED_VALUE"""),"Cold")</f>
        <v>Cold</v>
      </c>
      <c r="E131" s="276" t="str">
        <f>IFERROR(__xludf.DUMMYFUNCTION("""COMPUTED_VALUE"""),"Lower parel")</f>
        <v>Lower parel</v>
      </c>
      <c r="F131" s="276" t="str">
        <f>IFERROR(__xludf.DUMMYFUNCTION("""COMPUTED_VALUE"""),"Meta")</f>
        <v>Meta</v>
      </c>
      <c r="G131" s="276" t="str">
        <f>IFERROR(__xludf.DUMMYFUNCTION("""COMPUTED_VALUE"""),"Shravani")</f>
        <v>Shravani</v>
      </c>
      <c r="H131" s="276" t="str">
        <f>IFERROR(__xludf.DUMMYFUNCTION("""COMPUTED_VALUE"""),"28th May : Will call by himself if he need any office space.27th May: Ringing. 23 May: Dropped a text asking him for a convenient time for a call on 26th May. 16 May: Dropped a followup mail. 15 May: Ringing, Dropped a text. 6 May: He will call me after 2"&amp;"0 days. 5 May: Ringing, dropped a text.                                                                                                                                                                     4 May: Ringing, Dropped a text.")</f>
        <v>28th May : Will call by himself if he need any office space.27th May: Ringing. 23 May: Dropped a text asking him for a convenient time for a call on 26th May. 16 May: Dropped a followup mail. 15 May: Ringing, Dropped a text. 6 May: He will call me after 20 days. 5 May: Ringing, dropped a text.                                                                                                                                                                     4 May: Ringing, Dropped a text.</v>
      </c>
    </row>
    <row r="132">
      <c r="A132" s="402">
        <f>IFERROR(__xludf.DUMMYFUNCTION("""COMPUTED_VALUE"""),46148.0)</f>
        <v>46148</v>
      </c>
      <c r="B132" s="276" t="str">
        <f>IFERROR(__xludf.DUMMYFUNCTION("""COMPUTED_VALUE"""),"Aditya Mehrish")</f>
        <v>Aditya Mehrish</v>
      </c>
      <c r="C132" s="276" t="str">
        <f>IFERROR(__xludf.DUMMYFUNCTION("""COMPUTED_VALUE"""),"Customer Capital")</f>
        <v>Customer Capital</v>
      </c>
      <c r="D132" s="276" t="str">
        <f>IFERROR(__xludf.DUMMYFUNCTION("""COMPUTED_VALUE"""),"Lost")</f>
        <v>Lost</v>
      </c>
      <c r="E132" s="276" t="str">
        <f>IFERROR(__xludf.DUMMYFUNCTION("""COMPUTED_VALUE"""),"Lower parel")</f>
        <v>Lower parel</v>
      </c>
      <c r="F132" s="276" t="str">
        <f>IFERROR(__xludf.DUMMYFUNCTION("""COMPUTED_VALUE"""),"Meta")</f>
        <v>Meta</v>
      </c>
      <c r="G132" s="276" t="str">
        <f>IFERROR(__xludf.DUMMYFUNCTION("""COMPUTED_VALUE"""),"Shravani")</f>
        <v>Shravani</v>
      </c>
      <c r="H132" s="276" t="str">
        <f>IFERROR(__xludf.DUMMYFUNCTION("""COMPUTED_VALUE"""),"23 May: He is not interested. 16 May: Dropped a text. 15 May: Ringing, dropped a text. 11 May: Declined the call. 8 May: Dropped him a mail. 7 May: Dropped a text. 6 May: ringing")</f>
        <v>23 May: He is not interested. 16 May: Dropped a text. 15 May: Ringing, dropped a text. 11 May: Declined the call. 8 May: Dropped him a mail. 7 May: Dropped a text. 6 May: ringing</v>
      </c>
    </row>
    <row r="133">
      <c r="A133" s="402">
        <f>IFERROR(__xludf.DUMMYFUNCTION("""COMPUTED_VALUE"""),46148.0)</f>
        <v>46148</v>
      </c>
      <c r="B133" s="276" t="str">
        <f>IFERROR(__xludf.DUMMYFUNCTION("""COMPUTED_VALUE"""),"Abbas K")</f>
        <v>Abbas K</v>
      </c>
      <c r="C133" s="276" t="str">
        <f>IFERROR(__xludf.DUMMYFUNCTION("""COMPUTED_VALUE"""),"Dimension 6 Dezigns")</f>
        <v>Dimension 6 Dezigns</v>
      </c>
      <c r="D133" s="276" t="str">
        <f>IFERROR(__xludf.DUMMYFUNCTION("""COMPUTED_VALUE"""),"Lost")</f>
        <v>Lost</v>
      </c>
      <c r="E133" s="276" t="str">
        <f>IFERROR(__xludf.DUMMYFUNCTION("""COMPUTED_VALUE"""),"Lower parel")</f>
        <v>Lower parel</v>
      </c>
      <c r="F133" s="276" t="str">
        <f>IFERROR(__xludf.DUMMYFUNCTION("""COMPUTED_VALUE"""),"Meta")</f>
        <v>Meta</v>
      </c>
      <c r="G133" s="276" t="str">
        <f>IFERROR(__xludf.DUMMYFUNCTION("""COMPUTED_VALUE"""),"Shravani")</f>
        <v>Shravani</v>
      </c>
      <c r="H133" s="276" t="str">
        <f>IFERROR(__xludf.DUMMYFUNCTION("""COMPUTED_VALUE"""),"15 May: He is not interested in Managed Space because of Service Agreement. 11 May: Ringing, Dropped him a text. 8 May: Dropped him a mail. 6 May: He is exploring conventional offices.")</f>
        <v>15 May: He is not interested in Managed Space because of Service Agreement. 11 May: Ringing, Dropped him a text. 8 May: Dropped him a mail. 6 May: He is exploring conventional offices.</v>
      </c>
    </row>
    <row r="134">
      <c r="A134" s="402">
        <f>IFERROR(__xludf.DUMMYFUNCTION("""COMPUTED_VALUE"""),46149.0)</f>
        <v>46149</v>
      </c>
      <c r="B134" s="276" t="str">
        <f>IFERROR(__xludf.DUMMYFUNCTION("""COMPUTED_VALUE"""),"Yatin Potnis")</f>
        <v>Yatin Potnis</v>
      </c>
      <c r="C134" s="276"/>
      <c r="D134" s="276" t="str">
        <f>IFERROR(__xludf.DUMMYFUNCTION("""COMPUTED_VALUE"""),"Lost")</f>
        <v>Lost</v>
      </c>
      <c r="E134" s="276" t="str">
        <f>IFERROR(__xludf.DUMMYFUNCTION("""COMPUTED_VALUE"""),"Lower parel")</f>
        <v>Lower parel</v>
      </c>
      <c r="F134" s="276" t="str">
        <f>IFERROR(__xludf.DUMMYFUNCTION("""COMPUTED_VALUE"""),"Meta")</f>
        <v>Meta</v>
      </c>
      <c r="G134" s="276" t="str">
        <f>IFERROR(__xludf.DUMMYFUNCTION("""COMPUTED_VALUE"""),"Shravani")</f>
        <v>Shravani</v>
      </c>
      <c r="H134" s="276" t="str">
        <f>IFERROR(__xludf.DUMMYFUNCTION("""COMPUTED_VALUE"""),"16 May: Dropped a text. 13 May: Ringing. 11 May: Busy on call. 8 May: The client has a budget of ₹10,000 per seat. He also has another option available in Dadar, so he mentioned that if we have something similar or within this budget range, we can connect"&amp;" with him further.
7 May: He needs 2 Seater Cabin.")</f>
        <v>16 May: Dropped a text. 13 May: Ringing. 11 May: Busy on call. 8 May: The client has a budget of ₹10,000 per seat. He also has another option available in Dadar, so he mentioned that if we have something similar or within this budget range, we can connect with him further.
7 May: He needs 2 Seater Cabin.</v>
      </c>
    </row>
    <row r="135">
      <c r="A135" s="402">
        <f>IFERROR(__xludf.DUMMYFUNCTION("""COMPUTED_VALUE"""),46150.0)</f>
        <v>46150</v>
      </c>
      <c r="B135" s="276" t="str">
        <f>IFERROR(__xludf.DUMMYFUNCTION("""COMPUTED_VALUE"""),"Prashant Shetye")</f>
        <v>Prashant Shetye</v>
      </c>
      <c r="C135" s="276" t="str">
        <f>IFERROR(__xludf.DUMMYFUNCTION("""COMPUTED_VALUE"""),"Softel Technologies Inc")</f>
        <v>Softel Technologies Inc</v>
      </c>
      <c r="D135" s="276" t="str">
        <f>IFERROR(__xludf.DUMMYFUNCTION("""COMPUTED_VALUE"""),"Lost")</f>
        <v>Lost</v>
      </c>
      <c r="E135" s="276" t="str">
        <f>IFERROR(__xludf.DUMMYFUNCTION("""COMPUTED_VALUE"""),"Lower parel")</f>
        <v>Lower parel</v>
      </c>
      <c r="F135" s="276" t="str">
        <f>IFERROR(__xludf.DUMMYFUNCTION("""COMPUTED_VALUE"""),"Meta")</f>
        <v>Meta</v>
      </c>
      <c r="G135" s="276" t="str">
        <f>IFERROR(__xludf.DUMMYFUNCTION("""COMPUTED_VALUE"""),"Shravani")</f>
        <v>Shravani</v>
      </c>
      <c r="H135" s="276" t="str">
        <f>IFERROR(__xludf.DUMMYFUNCTION("""COMPUTED_VALUE"""),"16 May: He is not interested because his budget is only 35k for 7 Seats. 15 May: Ringing, Dropped a text. 8 May: He need a 5 seater cabin.")</f>
        <v>16 May: He is not interested because his budget is only 35k for 7 Seats. 15 May: Ringing, Dropped a text. 8 May: He need a 5 seater cabin.</v>
      </c>
    </row>
    <row r="136">
      <c r="A136" s="402">
        <f>IFERROR(__xludf.DUMMYFUNCTION("""COMPUTED_VALUE"""),46150.0)</f>
        <v>46150</v>
      </c>
      <c r="B136" s="276" t="str">
        <f>IFERROR(__xludf.DUMMYFUNCTION("""COMPUTED_VALUE"""),"Mohiyoddin Shaikh")</f>
        <v>Mohiyoddin Shaikh</v>
      </c>
      <c r="C136" s="276" t="str">
        <f>IFERROR(__xludf.DUMMYFUNCTION("""COMPUTED_VALUE"""),"Mint and Gold Global pvt ltd")</f>
        <v>Mint and Gold Global pvt ltd</v>
      </c>
      <c r="D136" s="276" t="str">
        <f>IFERROR(__xludf.DUMMYFUNCTION("""COMPUTED_VALUE"""),"Not Responding")</f>
        <v>Not Responding</v>
      </c>
      <c r="E136" s="276" t="str">
        <f>IFERROR(__xludf.DUMMYFUNCTION("""COMPUTED_VALUE"""),"Lower parel")</f>
        <v>Lower parel</v>
      </c>
      <c r="F136" s="276" t="str">
        <f>IFERROR(__xludf.DUMMYFUNCTION("""COMPUTED_VALUE"""),"Meta")</f>
        <v>Meta</v>
      </c>
      <c r="G136" s="276" t="str">
        <f>IFERROR(__xludf.DUMMYFUNCTION("""COMPUTED_VALUE"""),"Shravani")</f>
        <v>Shravani</v>
      </c>
      <c r="H136" s="276" t="str">
        <f>IFERROR(__xludf.DUMMYFUNCTION("""COMPUTED_VALUE"""),"28th May : Ringing 27th May: 25 May: Ringing. 23 May: Busy on call, dropped a text. 16 May: Dropped him text. 15 May: Ringing, Dropped a text. 8 May: Ringing, dropped a text.")</f>
        <v>28th May : Ringing 27th May: 25 May: Ringing. 23 May: Busy on call, dropped a text. 16 May: Dropped him text. 15 May: Ringing, Dropped a text. 8 May: Ringing, dropped a text.</v>
      </c>
    </row>
    <row r="137">
      <c r="A137" s="402">
        <f>IFERROR(__xludf.DUMMYFUNCTION("""COMPUTED_VALUE"""),46151.0)</f>
        <v>46151</v>
      </c>
      <c r="B137" s="276" t="str">
        <f>IFERROR(__xludf.DUMMYFUNCTION("""COMPUTED_VALUE"""),"Ashwani Awasthi")</f>
        <v>Ashwani Awasthi</v>
      </c>
      <c r="C137" s="276" t="str">
        <f>IFERROR(__xludf.DUMMYFUNCTION("""COMPUTED_VALUE"""),"Usha")</f>
        <v>Usha</v>
      </c>
      <c r="D137" s="276" t="str">
        <f>IFERROR(__xludf.DUMMYFUNCTION("""COMPUTED_VALUE"""),"Lost")</f>
        <v>Lost</v>
      </c>
      <c r="E137" s="276" t="str">
        <f>IFERROR(__xludf.DUMMYFUNCTION("""COMPUTED_VALUE"""),"Lower parel")</f>
        <v>Lower parel</v>
      </c>
      <c r="F137" s="276" t="str">
        <f>IFERROR(__xludf.DUMMYFUNCTION("""COMPUTED_VALUE"""),"Meta")</f>
        <v>Meta</v>
      </c>
      <c r="G137" s="276" t="str">
        <f>IFERROR(__xludf.DUMMYFUNCTION("""COMPUTED_VALUE"""),"Shravani")</f>
        <v>Shravani</v>
      </c>
      <c r="H137" s="276" t="str">
        <f>IFERROR(__xludf.DUMMYFUNCTION("""COMPUTED_VALUE"""),"15 May: He needs 5 Seats in Ludhiana. 9 May: Ringing, dropped a text.")</f>
        <v>15 May: He needs 5 Seats in Ludhiana. 9 May: Ringing, dropped a text.</v>
      </c>
    </row>
    <row r="138">
      <c r="A138" s="402">
        <f>IFERROR(__xludf.DUMMYFUNCTION("""COMPUTED_VALUE"""),46153.0)</f>
        <v>46153</v>
      </c>
      <c r="B138" s="276" t="str">
        <f>IFERROR(__xludf.DUMMYFUNCTION("""COMPUTED_VALUE"""),"Sameer Agarwal")</f>
        <v>Sameer Agarwal</v>
      </c>
      <c r="C138" s="276" t="str">
        <f>IFERROR(__xludf.DUMMYFUNCTION("""COMPUTED_VALUE"""),"Nirmal")</f>
        <v>Nirmal</v>
      </c>
      <c r="D138" s="276" t="str">
        <f>IFERROR(__xludf.DUMMYFUNCTION("""COMPUTED_VALUE"""),"Not Responding")</f>
        <v>Not Responding</v>
      </c>
      <c r="E138" s="276" t="str">
        <f>IFERROR(__xludf.DUMMYFUNCTION("""COMPUTED_VALUE"""),"Lower parel")</f>
        <v>Lower parel</v>
      </c>
      <c r="F138" s="276" t="str">
        <f>IFERROR(__xludf.DUMMYFUNCTION("""COMPUTED_VALUE"""),"Meta")</f>
        <v>Meta</v>
      </c>
      <c r="G138" s="276" t="str">
        <f>IFERROR(__xludf.DUMMYFUNCTION("""COMPUTED_VALUE"""),"Shravani")</f>
        <v>Shravani</v>
      </c>
      <c r="H138" s="276" t="str">
        <f>IFERROR(__xludf.DUMMYFUNCTION("""COMPUTED_VALUE"""),"28th May : Out of Service. 27th May: Ringing. 25 May: Ringing. 23 May: Ringing, dropped a text. 16 May: Dropped a mail. 15 May: Ringing, dropped a text. 12 May: Not Answering the call, dropped him a text and mail")</f>
        <v>28th May : Out of Service. 27th May: Ringing. 25 May: Ringing. 23 May: Ringing, dropped a text. 16 May: Dropped a mail. 15 May: Ringing, dropped a text. 12 May: Not Answering the call, dropped him a text and mail</v>
      </c>
    </row>
    <row r="139">
      <c r="A139" s="402">
        <f>IFERROR(__xludf.DUMMYFUNCTION("""COMPUTED_VALUE"""),46153.0)</f>
        <v>46153</v>
      </c>
      <c r="B139" s="276" t="str">
        <f>IFERROR(__xludf.DUMMYFUNCTION("""COMPUTED_VALUE"""),"Nitin Suvarnapathaki")</f>
        <v>Nitin Suvarnapathaki</v>
      </c>
      <c r="C139" s="276" t="str">
        <f>IFERROR(__xludf.DUMMYFUNCTION("""COMPUTED_VALUE"""),"MDHnano Green Lifespaces Pvt Ltd")</f>
        <v>MDHnano Green Lifespaces Pvt Ltd</v>
      </c>
      <c r="D139" s="276" t="str">
        <f>IFERROR(__xludf.DUMMYFUNCTION("""COMPUTED_VALUE"""),"Warm")</f>
        <v>Warm</v>
      </c>
      <c r="E139" s="276" t="str">
        <f>IFERROR(__xludf.DUMMYFUNCTION("""COMPUTED_VALUE"""),"Lower parel")</f>
        <v>Lower parel</v>
      </c>
      <c r="F139" s="276" t="str">
        <f>IFERROR(__xludf.DUMMYFUNCTION("""COMPUTED_VALUE"""),"Meta")</f>
        <v>Meta</v>
      </c>
      <c r="G139" s="276" t="str">
        <f>IFERROR(__xludf.DUMMYFUNCTION("""COMPUTED_VALUE"""),"Shravani")</f>
        <v>Shravani</v>
      </c>
      <c r="H139" s="276" t="str">
        <f>IFERROR(__xludf.DUMMYFUNCTION("""COMPUTED_VALUE"""),"27th May: He needs a 6 Seater meeting room on hourly basis. 25 May: Ringing, dropped a text. 23 May: OS. 16 May: Dropped a mail. 15 May: Busy on Call. 12 May: He has asked me to call him after 3 PM today.")</f>
        <v>27th May: He needs a 6 Seater meeting room on hourly basis. 25 May: Ringing, dropped a text. 23 May: OS. 16 May: Dropped a mail. 15 May: Busy on Call. 12 May: He has asked me to call him after 3 PM today.</v>
      </c>
    </row>
    <row r="140">
      <c r="A140" s="402">
        <f>IFERROR(__xludf.DUMMYFUNCTION("""COMPUTED_VALUE"""),46154.0)</f>
        <v>46154</v>
      </c>
      <c r="B140" s="276" t="str">
        <f>IFERROR(__xludf.DUMMYFUNCTION("""COMPUTED_VALUE"""),"Rahul Rodrigues")</f>
        <v>Rahul Rodrigues</v>
      </c>
      <c r="C140" s="276" t="str">
        <f>IFERROR(__xludf.DUMMYFUNCTION("""COMPUTED_VALUE"""),"EduBridge Learning Pvt. Ltd")</f>
        <v>EduBridge Learning Pvt. Ltd</v>
      </c>
      <c r="D140" s="276" t="str">
        <f>IFERROR(__xludf.DUMMYFUNCTION("""COMPUTED_VALUE"""),"Warm")</f>
        <v>Warm</v>
      </c>
      <c r="E140" s="276" t="str">
        <f>IFERROR(__xludf.DUMMYFUNCTION("""COMPUTED_VALUE"""),"Lower parel")</f>
        <v>Lower parel</v>
      </c>
      <c r="F140" s="276" t="str">
        <f>IFERROR(__xludf.DUMMYFUNCTION("""COMPUTED_VALUE"""),"Meta")</f>
        <v>Meta</v>
      </c>
      <c r="G140" s="276" t="str">
        <f>IFERROR(__xludf.DUMMYFUNCTION("""COMPUTED_VALUE"""),"Shravani")</f>
        <v>Shravani</v>
      </c>
      <c r="H140" s="276" t="str">
        <f>IFERROR(__xludf.DUMMYFUNCTION("""COMPUTED_VALUE"""),"12 May: He is looking for a space in Andheri. Shubham is already in touch with him, and his budget is around ₹3,000–₹4,000 per seat.")</f>
        <v>12 May: He is looking for a space in Andheri. Shubham is already in touch with him, and his budget is around ₹3,000–₹4,000 per seat.</v>
      </c>
    </row>
    <row r="141">
      <c r="A141" s="402">
        <f>IFERROR(__xludf.DUMMYFUNCTION("""COMPUTED_VALUE"""),46154.0)</f>
        <v>46154</v>
      </c>
      <c r="B141" s="276" t="str">
        <f>IFERROR(__xludf.DUMMYFUNCTION("""COMPUTED_VALUE"""),"Taraprasad Shukla")</f>
        <v>Taraprasad Shukla</v>
      </c>
      <c r="C141" s="276" t="str">
        <f>IFERROR(__xludf.DUMMYFUNCTION("""COMPUTED_VALUE"""),"Shri Kirshna Express")</f>
        <v>Shri Kirshna Express</v>
      </c>
      <c r="D141" s="276" t="str">
        <f>IFERROR(__xludf.DUMMYFUNCTION("""COMPUTED_VALUE"""),"Not Responding")</f>
        <v>Not Responding</v>
      </c>
      <c r="E141" s="276" t="str">
        <f>IFERROR(__xludf.DUMMYFUNCTION("""COMPUTED_VALUE"""),"Lower parel")</f>
        <v>Lower parel</v>
      </c>
      <c r="F141" s="276" t="str">
        <f>IFERROR(__xludf.DUMMYFUNCTION("""COMPUTED_VALUE"""),"Meta")</f>
        <v>Meta</v>
      </c>
      <c r="G141" s="276" t="str">
        <f>IFERROR(__xludf.DUMMYFUNCTION("""COMPUTED_VALUE"""),"Shravani")</f>
        <v>Shravani</v>
      </c>
      <c r="H141" s="276" t="str">
        <f>IFERROR(__xludf.DUMMYFUNCTION("""COMPUTED_VALUE"""),"28th May : Out of Service. 27th May: Busy on Call. 25 May: OS, dropped a mail.  23 May: OS. 16 May: Dropped a mail. 15 May: OS. 12 May: OS. Dropped him a text and mail.")</f>
        <v>28th May : Out of Service. 27th May: Busy on Call. 25 May: OS, dropped a mail.  23 May: OS. 16 May: Dropped a mail. 15 May: OS. 12 May: OS. Dropped him a text and mail.</v>
      </c>
    </row>
    <row r="142">
      <c r="A142" s="402">
        <f>IFERROR(__xludf.DUMMYFUNCTION("""COMPUTED_VALUE"""),46155.0)</f>
        <v>46155</v>
      </c>
      <c r="B142" s="276" t="str">
        <f>IFERROR(__xludf.DUMMYFUNCTION("""COMPUTED_VALUE"""),"Bhaskar Basam")</f>
        <v>Bhaskar Basam</v>
      </c>
      <c r="C142" s="276" t="str">
        <f>IFERROR(__xludf.DUMMYFUNCTION("""COMPUTED_VALUE"""),"Mahindra Group")</f>
        <v>Mahindra Group</v>
      </c>
      <c r="D142" s="276" t="str">
        <f>IFERROR(__xludf.DUMMYFUNCTION("""COMPUTED_VALUE"""),"Warm")</f>
        <v>Warm</v>
      </c>
      <c r="E142" s="276" t="str">
        <f>IFERROR(__xludf.DUMMYFUNCTION("""COMPUTED_VALUE"""),"Lower parel")</f>
        <v>Lower parel</v>
      </c>
      <c r="F142" s="276" t="str">
        <f>IFERROR(__xludf.DUMMYFUNCTION("""COMPUTED_VALUE"""),"Meta")</f>
        <v>Meta</v>
      </c>
      <c r="G142" s="276" t="str">
        <f>IFERROR(__xludf.DUMMYFUNCTION("""COMPUTED_VALUE"""),"Shravani")</f>
        <v>Shravani</v>
      </c>
      <c r="H142" s="276" t="str">
        <f>IFERROR(__xludf.DUMMYFUNCTION("""COMPUTED_VALUE"""),"25 May: Replied to the mail asking for the details and pricing so i have share with him the same. 23 May: Ringing, Dropped a voice note and text. 16 May: Dropped a mail. 15 May: Ringing, Dropped a tex. 14 May: Ringing, Dropped a mail and text. 13 May: Rin"&amp;"ging, Dropped a Voice Note")</f>
        <v>25 May: Replied to the mail asking for the details and pricing so i have share with him the same. 23 May: Ringing, Dropped a voice note and text. 16 May: Dropped a mail. 15 May: Ringing, Dropped a tex. 14 May: Ringing, Dropped a mail and text. 13 May: Ringing, Dropped a Voice Note</v>
      </c>
    </row>
    <row r="143">
      <c r="A143" s="402">
        <f>IFERROR(__xludf.DUMMYFUNCTION("""COMPUTED_VALUE"""),46155.0)</f>
        <v>46155</v>
      </c>
      <c r="B143" s="276" t="str">
        <f>IFERROR(__xludf.DUMMYFUNCTION("""COMPUTED_VALUE"""),"Ketan  Patel")</f>
        <v>Ketan  Patel</v>
      </c>
      <c r="C143" s="276" t="str">
        <f>IFERROR(__xludf.DUMMYFUNCTION("""COMPUTED_VALUE"""),"Reddy Jewellery")</f>
        <v>Reddy Jewellery</v>
      </c>
      <c r="D143" s="276" t="str">
        <f>IFERROR(__xludf.DUMMYFUNCTION("""COMPUTED_VALUE"""),"Lost")</f>
        <v>Lost</v>
      </c>
      <c r="E143" s="276" t="str">
        <f>IFERROR(__xludf.DUMMYFUNCTION("""COMPUTED_VALUE"""),"Lower parel")</f>
        <v>Lower parel</v>
      </c>
      <c r="F143" s="276" t="str">
        <f>IFERROR(__xludf.DUMMYFUNCTION("""COMPUTED_VALUE"""),"Meta")</f>
        <v>Meta</v>
      </c>
      <c r="G143" s="276" t="str">
        <f>IFERROR(__xludf.DUMMYFUNCTION("""COMPUTED_VALUE"""),"Shravani")</f>
        <v>Shravani</v>
      </c>
      <c r="H143" s="276" t="str">
        <f>IFERROR(__xludf.DUMMYFUNCTION("""COMPUTED_VALUE"""),"13 May: He took a conventional office on lease today at Nariman Point.")</f>
        <v>13 May: He took a conventional office on lease today at Nariman Point.</v>
      </c>
    </row>
    <row r="144">
      <c r="A144" s="402">
        <f>IFERROR(__xludf.DUMMYFUNCTION("""COMPUTED_VALUE"""),46157.0)</f>
        <v>46157</v>
      </c>
      <c r="B144" s="276" t="str">
        <f>IFERROR(__xludf.DUMMYFUNCTION("""COMPUTED_VALUE"""),"Priyesh Ganatra")</f>
        <v>Priyesh Ganatra</v>
      </c>
      <c r="C144" s="276" t="str">
        <f>IFERROR(__xludf.DUMMYFUNCTION("""COMPUTED_VALUE"""),"Cloud9 Beverages")</f>
        <v>Cloud9 Beverages</v>
      </c>
      <c r="D144" s="276" t="str">
        <f>IFERROR(__xludf.DUMMYFUNCTION("""COMPUTED_VALUE"""),"Hold")</f>
        <v>Hold</v>
      </c>
      <c r="E144" s="276" t="str">
        <f>IFERROR(__xludf.DUMMYFUNCTION("""COMPUTED_VALUE"""),"Lower parel")</f>
        <v>Lower parel</v>
      </c>
      <c r="F144" s="276" t="str">
        <f>IFERROR(__xludf.DUMMYFUNCTION("""COMPUTED_VALUE"""),"Meta")</f>
        <v>Meta</v>
      </c>
      <c r="G144" s="276" t="str">
        <f>IFERROR(__xludf.DUMMYFUNCTION("""COMPUTED_VALUE"""),"Shravani")</f>
        <v>Shravani</v>
      </c>
      <c r="H144" s="276" t="str">
        <f>IFERROR(__xludf.DUMMYFUNCTION("""COMPUTED_VALUE"""),"27th May: He don't need an office as of now. 23 May: Ringing, Dropped a text. 16 May: Ringing, Dropped a mail. 15 May: Ringing,dropped a text.")</f>
        <v>27th May: He don't need an office as of now. 23 May: Ringing, Dropped a text. 16 May: Ringing, Dropped a mail. 15 May: Ringing,dropped a text.</v>
      </c>
    </row>
    <row r="145">
      <c r="A145" s="402">
        <f>IFERROR(__xludf.DUMMYFUNCTION("""COMPUTED_VALUE"""),46156.0)</f>
        <v>46156</v>
      </c>
      <c r="B145" s="276" t="str">
        <f>IFERROR(__xludf.DUMMYFUNCTION("""COMPUTED_VALUE"""),"Harsh Mehta")</f>
        <v>Harsh Mehta</v>
      </c>
      <c r="C145" s="276" t="str">
        <f>IFERROR(__xludf.DUMMYFUNCTION("""COMPUTED_VALUE"""),"Doable Works")</f>
        <v>Doable Works</v>
      </c>
      <c r="D145" s="276" t="str">
        <f>IFERROR(__xludf.DUMMYFUNCTION("""COMPUTED_VALUE"""),"Lost")</f>
        <v>Lost</v>
      </c>
      <c r="E145" s="276" t="str">
        <f>IFERROR(__xludf.DUMMYFUNCTION("""COMPUTED_VALUE"""),"Lower parel")</f>
        <v>Lower parel</v>
      </c>
      <c r="F145" s="276" t="str">
        <f>IFERROR(__xludf.DUMMYFUNCTION("""COMPUTED_VALUE"""),"Meta")</f>
        <v>Meta</v>
      </c>
      <c r="G145" s="276" t="str">
        <f>IFERROR(__xludf.DUMMYFUNCTION("""COMPUTED_VALUE"""),"Shravani")</f>
        <v>Shravani</v>
      </c>
      <c r="H145" s="276" t="str">
        <f>IFERROR(__xludf.DUMMYFUNCTION("""COMPUTED_VALUE"""),"20 May: He has a budget of 9000 per seat. 15 May: He needs 10 Seats + 1 Cabin. His current office is in Charni Road. We can offer him the area between Uniacco and SafeGold in Area 3.")</f>
        <v>20 May: He has a budget of 9000 per seat. 15 May: He needs 10 Seats + 1 Cabin. His current office is in Charni Road. We can offer him the area between Uniacco and SafeGold in Area 3.</v>
      </c>
    </row>
    <row r="146">
      <c r="A146" s="402">
        <f>IFERROR(__xludf.DUMMYFUNCTION("""COMPUTED_VALUE"""),46158.0)</f>
        <v>46158</v>
      </c>
      <c r="B146" s="276" t="str">
        <f>IFERROR(__xludf.DUMMYFUNCTION("""COMPUTED_VALUE"""),"Abhiman  Kulkarni")</f>
        <v>Abhiman  Kulkarni</v>
      </c>
      <c r="C146" s="276" t="str">
        <f>IFERROR(__xludf.DUMMYFUNCTION("""COMPUTED_VALUE"""),"House of Piranesi")</f>
        <v>House of Piranesi</v>
      </c>
      <c r="D146" s="276" t="str">
        <f>IFERROR(__xludf.DUMMYFUNCTION("""COMPUTED_VALUE"""),"Cold")</f>
        <v>Cold</v>
      </c>
      <c r="E146" s="276" t="str">
        <f>IFERROR(__xludf.DUMMYFUNCTION("""COMPUTED_VALUE"""),"Lower parel")</f>
        <v>Lower parel</v>
      </c>
      <c r="F146" s="276" t="str">
        <f>IFERROR(__xludf.DUMMYFUNCTION("""COMPUTED_VALUE"""),"Meta")</f>
        <v>Meta</v>
      </c>
      <c r="G146" s="276" t="str">
        <f>IFERROR(__xludf.DUMMYFUNCTION("""COMPUTED_VALUE"""),"Shravani")</f>
        <v>Shravani</v>
      </c>
      <c r="H146" s="276" t="str">
        <f>IFERROR(__xludf.DUMMYFUNCTION("""COMPUTED_VALUE"""),"28th May: Requirement is not yet active yet. 27th May: Ringing. 23 May: Ringing, Dropped a text. 20 May: Ringing, Dropped a mail. 19 May: Declined the call. 18 May: Ringing.16 May: Ringing, dropped him a text.")</f>
        <v>28th May: Requirement is not yet active yet. 27th May: Ringing. 23 May: Ringing, Dropped a text. 20 May: Ringing, Dropped a mail. 19 May: Declined the call. 18 May: Ringing.16 May: Ringing, dropped him a text.</v>
      </c>
    </row>
    <row r="147">
      <c r="A147" s="402">
        <f>IFERROR(__xludf.DUMMYFUNCTION("""COMPUTED_VALUE"""),46159.0)</f>
        <v>46159</v>
      </c>
      <c r="B147" s="276" t="str">
        <f>IFERROR(__xludf.DUMMYFUNCTION("""COMPUTED_VALUE"""),"Parag Bhuptani")</f>
        <v>Parag Bhuptani</v>
      </c>
      <c r="C147" s="276" t="str">
        <f>IFERROR(__xludf.DUMMYFUNCTION("""COMPUTED_VALUE"""),"PPD")</f>
        <v>PPD</v>
      </c>
      <c r="D147" s="276" t="str">
        <f>IFERROR(__xludf.DUMMYFUNCTION("""COMPUTED_VALUE"""),"Warm")</f>
        <v>Warm</v>
      </c>
      <c r="E147" s="276" t="str">
        <f>IFERROR(__xludf.DUMMYFUNCTION("""COMPUTED_VALUE"""),"Lower parel")</f>
        <v>Lower parel</v>
      </c>
      <c r="F147" s="276" t="str">
        <f>IFERROR(__xludf.DUMMYFUNCTION("""COMPUTED_VALUE"""),"Meta")</f>
        <v>Meta</v>
      </c>
      <c r="G147" s="276" t="str">
        <f>IFERROR(__xludf.DUMMYFUNCTION("""COMPUTED_VALUE"""),"Shravani")</f>
        <v>Shravani</v>
      </c>
      <c r="H147" s="276" t="str">
        <f>IFERROR(__xludf.DUMMYFUNCTION("""COMPUTED_VALUE"""),"28th May : Call back in few days.27th May: Ringing. 25 May: Declined the call, dropped a text and mail. 23 May: Declined the call. 20 May: Dropped a mail. He has a requirement of 5 Seats. 19 May: Ringing. 18 May: Ringing, dropped him a text.")</f>
        <v>28th May : Call back in few days.27th May: Ringing. 25 May: Declined the call, dropped a text and mail. 23 May: Declined the call. 20 May: Dropped a mail. He has a requirement of 5 Seats. 19 May: Ringing. 18 May: Ringing, dropped him a text.</v>
      </c>
    </row>
    <row r="148">
      <c r="A148" s="402">
        <f>IFERROR(__xludf.DUMMYFUNCTION("""COMPUTED_VALUE"""),46159.0)</f>
        <v>46159</v>
      </c>
      <c r="B148" s="276" t="str">
        <f>IFERROR(__xludf.DUMMYFUNCTION("""COMPUTED_VALUE"""),"Manish Shukla")</f>
        <v>Manish Shukla</v>
      </c>
      <c r="C148" s="276" t="str">
        <f>IFERROR(__xludf.DUMMYFUNCTION("""COMPUTED_VALUE"""),"Premade Innovations Private Limited")</f>
        <v>Premade Innovations Private Limited</v>
      </c>
      <c r="D148" s="276" t="str">
        <f>IFERROR(__xludf.DUMMYFUNCTION("""COMPUTED_VALUE"""),"Warm")</f>
        <v>Warm</v>
      </c>
      <c r="E148" s="276" t="str">
        <f>IFERROR(__xludf.DUMMYFUNCTION("""COMPUTED_VALUE"""),"Lower parel")</f>
        <v>Lower parel</v>
      </c>
      <c r="F148" s="276" t="str">
        <f>IFERROR(__xludf.DUMMYFUNCTION("""COMPUTED_VALUE"""),"Meta")</f>
        <v>Meta</v>
      </c>
      <c r="G148" s="276" t="str">
        <f>IFERROR(__xludf.DUMMYFUNCTION("""COMPUTED_VALUE"""),"Shravani")</f>
        <v>Shravani</v>
      </c>
      <c r="H148" s="276" t="str">
        <f>IFERROR(__xludf.DUMMYFUNCTION("""COMPUTED_VALUE"""),"28th May: Already took an conventional office in ghatkopar. 27th May: Ringing. 25 May: Ringing, dropped a mail. 23 May: Ringing, dropped a text. 20 May: Ringing, dropped a mail. 18 May: Ringing, dropped him a text.")</f>
        <v>28th May: Already took an conventional office in ghatkopar. 27th May: Ringing. 25 May: Ringing, dropped a mail. 23 May: Ringing, dropped a text. 20 May: Ringing, dropped a mail. 18 May: Ringing, dropped him a text.</v>
      </c>
    </row>
    <row r="149">
      <c r="A149" s="402">
        <f>IFERROR(__xludf.DUMMYFUNCTION("""COMPUTED_VALUE"""),46160.0)</f>
        <v>46160</v>
      </c>
      <c r="B149" s="276" t="str">
        <f>IFERROR(__xludf.DUMMYFUNCTION("""COMPUTED_VALUE"""),"Praveen Kumar Tripathi")</f>
        <v>Praveen Kumar Tripathi</v>
      </c>
      <c r="C149" s="276" t="str">
        <f>IFERROR(__xludf.DUMMYFUNCTION("""COMPUTED_VALUE"""),"Sagyana Private Limited")</f>
        <v>Sagyana Private Limited</v>
      </c>
      <c r="D149" s="276" t="str">
        <f>IFERROR(__xludf.DUMMYFUNCTION("""COMPUTED_VALUE"""),"Hot")</f>
        <v>Hot</v>
      </c>
      <c r="E149" s="276" t="str">
        <f>IFERROR(__xludf.DUMMYFUNCTION("""COMPUTED_VALUE"""),"Lower parel")</f>
        <v>Lower parel</v>
      </c>
      <c r="F149" s="276" t="str">
        <f>IFERROR(__xludf.DUMMYFUNCTION("""COMPUTED_VALUE"""),"Meta")</f>
        <v>Meta</v>
      </c>
      <c r="G149" s="276" t="str">
        <f>IFERROR(__xludf.DUMMYFUNCTION("""COMPUTED_VALUE"""),"Shravani")</f>
        <v>Shravani</v>
      </c>
      <c r="H149" s="276" t="str">
        <f>IFERROR(__xludf.DUMMYFUNCTION("""COMPUTED_VALUE""")," 28th May: Ringing. 27th May: Ringing. 25 May: Spoke to Pratik they have a requirement of 20 Seats + 1 Cabin + 1 Meeting Room. Shared with him the deatils of the sapce.  23 May: Ringing, dropped a text. 20 May: Dropped a text to Pratik. 19: He has asked m"&amp;"e to call Mr. Pratik from his team but pratik is not answering the call. 18 May: Ringing, dropped him a text.")</f>
        <v> 28th May: Ringing. 27th May: Ringing. 25 May: Spoke to Pratik they have a requirement of 20 Seats + 1 Cabin + 1 Meeting Room. Shared with him the deatils of the sapce.  23 May: Ringing, dropped a text. 20 May: Dropped a text to Pratik. 19: He has asked me to call Mr. Pratik from his team but pratik is not answering the call. 18 May: Ringing, dropped him a text.</v>
      </c>
    </row>
    <row r="150">
      <c r="A150" s="402">
        <f>IFERROR(__xludf.DUMMYFUNCTION("""COMPUTED_VALUE"""),46162.0)</f>
        <v>46162</v>
      </c>
      <c r="B150" s="276" t="str">
        <f>IFERROR(__xludf.DUMMYFUNCTION("""COMPUTED_VALUE"""),"Siddharth Ahuja")</f>
        <v>Siddharth Ahuja</v>
      </c>
      <c r="C150" s="276" t="str">
        <f>IFERROR(__xludf.DUMMYFUNCTION("""COMPUTED_VALUE"""),"1520 Motion Pictures")</f>
        <v>1520 Motion Pictures</v>
      </c>
      <c r="D150" s="276" t="str">
        <f>IFERROR(__xludf.DUMMYFUNCTION("""COMPUTED_VALUE"""),"Warm")</f>
        <v>Warm</v>
      </c>
      <c r="E150" s="276" t="str">
        <f>IFERROR(__xludf.DUMMYFUNCTION("""COMPUTED_VALUE"""),"Lower parel")</f>
        <v>Lower parel</v>
      </c>
      <c r="F150" s="276" t="str">
        <f>IFERROR(__xludf.DUMMYFUNCTION("""COMPUTED_VALUE"""),"Meta")</f>
        <v>Meta</v>
      </c>
      <c r="G150" s="276" t="str">
        <f>IFERROR(__xludf.DUMMYFUNCTION("""COMPUTED_VALUE"""),"Shravani")</f>
        <v>Shravani</v>
      </c>
      <c r="H150" s="276" t="str">
        <f>IFERROR(__xludf.DUMMYFUNCTION("""COMPUTED_VALUE"""),"27th may: His Budget is 50K. 25 May: Shared with him the details of the space on mail as well. 23 May: He needs 6 Seater Cabin and has asked me to share the images of the space. He is currently travelling so he will try to visit in the 2nd week of June21 "&amp;"May: Ringing. 20 May: Ringing, dropped him a text.")</f>
        <v>27th may: His Budget is 50K. 25 May: Shared with him the details of the space on mail as well. 23 May: He needs 6 Seater Cabin and has asked me to share the images of the space. He is currently travelling so he will try to visit in the 2nd week of June21 May: Ringing. 20 May: Ringing, dropped him a text.</v>
      </c>
    </row>
    <row r="151">
      <c r="A151" s="402">
        <f>IFERROR(__xludf.DUMMYFUNCTION("""COMPUTED_VALUE"""),46162.0)</f>
        <v>46162</v>
      </c>
      <c r="B151" s="276" t="str">
        <f>IFERROR(__xludf.DUMMYFUNCTION("""COMPUTED_VALUE"""),"Ghazal Gupta")</f>
        <v>Ghazal Gupta</v>
      </c>
      <c r="C151" s="276" t="str">
        <f>IFERROR(__xludf.DUMMYFUNCTION("""COMPUTED_VALUE"""),"Unfltrd")</f>
        <v>Unfltrd</v>
      </c>
      <c r="D151" s="276" t="str">
        <f>IFERROR(__xludf.DUMMYFUNCTION("""COMPUTED_VALUE"""),"Not Responding")</f>
        <v>Not Responding</v>
      </c>
      <c r="E151" s="276" t="str">
        <f>IFERROR(__xludf.DUMMYFUNCTION("""COMPUTED_VALUE"""),"Lower parel")</f>
        <v>Lower parel</v>
      </c>
      <c r="F151" s="276" t="str">
        <f>IFERROR(__xludf.DUMMYFUNCTION("""COMPUTED_VALUE"""),"Meta")</f>
        <v>Meta</v>
      </c>
      <c r="G151" s="276" t="str">
        <f>IFERROR(__xludf.DUMMYFUNCTION("""COMPUTED_VALUE"""),"Shravani")</f>
        <v>Shravani</v>
      </c>
      <c r="H151" s="276" t="str">
        <f>IFERROR(__xludf.DUMMYFUNCTION("""COMPUTED_VALUE"""),"25 May: Tried dropping her a mail but the mail id is invalid. 22 May: She declined my call.21 May: She did not mention any requirement but has asked me to share the details of whatever property I have available in Lower Parel. ")</f>
        <v>25 May: Tried dropping her a mail but the mail id is invalid. 22 May: She declined my call.21 May: She did not mention any requirement but has asked me to share the details of whatever property I have available in Lower Parel. </v>
      </c>
    </row>
    <row r="152">
      <c r="A152" s="402">
        <f>IFERROR(__xludf.DUMMYFUNCTION("""COMPUTED_VALUE"""),46165.0)</f>
        <v>46165</v>
      </c>
      <c r="B152" s="276" t="str">
        <f>IFERROR(__xludf.DUMMYFUNCTION("""COMPUTED_VALUE"""),"Sunil Ghadge")</f>
        <v>Sunil Ghadge</v>
      </c>
      <c r="C152" s="276" t="str">
        <f>IFERROR(__xludf.DUMMYFUNCTION("""COMPUTED_VALUE"""),"First Base Solutions Pvt. Ltd")</f>
        <v>First Base Solutions Pvt. Ltd</v>
      </c>
      <c r="D152" s="276" t="str">
        <f>IFERROR(__xludf.DUMMYFUNCTION("""COMPUTED_VALUE"""),"Warm")</f>
        <v>Warm</v>
      </c>
      <c r="E152" s="276" t="str">
        <f>IFERROR(__xludf.DUMMYFUNCTION("""COMPUTED_VALUE"""),"Lower parel")</f>
        <v>Lower parel</v>
      </c>
      <c r="F152" s="276" t="str">
        <f>IFERROR(__xludf.DUMMYFUNCTION("""COMPUTED_VALUE"""),"Meta")</f>
        <v>Meta</v>
      </c>
      <c r="G152" s="276" t="str">
        <f>IFERROR(__xludf.DUMMYFUNCTION("""COMPUTED_VALUE"""),"Harshini")</f>
        <v>Harshini</v>
      </c>
      <c r="H152" s="276" t="str">
        <f>IFERROR(__xludf.DUMMYFUNCTION("""COMPUTED_VALUE"""),"28th May: Ringing. 27th May: He is in a meeting and will call me back tomorrow. 23 May: He is just exploring options and has not stated any requirement. Need to call him on monday to get a meeting.")</f>
        <v>28th May: Ringing. 27th May: He is in a meeting and will call me back tomorrow. 23 May: He is just exploring options and has not stated any requirement. Need to call him on monday to get a meeting.</v>
      </c>
    </row>
    <row r="153">
      <c r="A153" s="402">
        <f>IFERROR(__xludf.DUMMYFUNCTION("""COMPUTED_VALUE"""),46165.0)</f>
        <v>46165</v>
      </c>
      <c r="B153" s="276" t="str">
        <f>IFERROR(__xludf.DUMMYFUNCTION("""COMPUTED_VALUE"""),"Roopashri Sinha")</f>
        <v>Roopashri Sinha</v>
      </c>
      <c r="C153" s="276" t="str">
        <f>IFERROR(__xludf.DUMMYFUNCTION("""COMPUTED_VALUE"""),"Unicorn Author Lab")</f>
        <v>Unicorn Author Lab</v>
      </c>
      <c r="D153" s="276" t="str">
        <f>IFERROR(__xludf.DUMMYFUNCTION("""COMPUTED_VALUE"""),"Hot")</f>
        <v>Hot</v>
      </c>
      <c r="E153" s="276" t="str">
        <f>IFERROR(__xludf.DUMMYFUNCTION("""COMPUTED_VALUE"""),"Lower parel")</f>
        <v>Lower parel</v>
      </c>
      <c r="F153" s="276" t="str">
        <f>IFERROR(__xludf.DUMMYFUNCTION("""COMPUTED_VALUE"""),"Meta")</f>
        <v>Meta</v>
      </c>
      <c r="G153" s="276" t="str">
        <f>IFERROR(__xludf.DUMMYFUNCTION("""COMPUTED_VALUE"""),"Shravani")</f>
        <v>Shravani</v>
      </c>
      <c r="H153" s="276" t="str">
        <f>IFERROR(__xludf.DUMMYFUNCTION("""COMPUTED_VALUE"""),"28th May: 1 seater. 25th Ringing. 23rd May: Ringing.")</f>
        <v>28th May: 1 seater. 25th Ringing. 23rd May: Ringing.</v>
      </c>
    </row>
    <row r="154">
      <c r="A154" s="402">
        <f>IFERROR(__xludf.DUMMYFUNCTION("""COMPUTED_VALUE"""),46167.0)</f>
        <v>46167</v>
      </c>
      <c r="B154" s="276" t="str">
        <f>IFERROR(__xludf.DUMMYFUNCTION("""COMPUTED_VALUE"""),"Vinay Soni")</f>
        <v>Vinay Soni</v>
      </c>
      <c r="C154" s="276"/>
      <c r="D154" s="276" t="str">
        <f>IFERROR(__xludf.DUMMYFUNCTION("""COMPUTED_VALUE"""),"Hot")</f>
        <v>Hot</v>
      </c>
      <c r="E154" s="276" t="str">
        <f>IFERROR(__xludf.DUMMYFUNCTION("""COMPUTED_VALUE"""),"Lower parel")</f>
        <v>Lower parel</v>
      </c>
      <c r="F154" s="276" t="str">
        <f>IFERROR(__xludf.DUMMYFUNCTION("""COMPUTED_VALUE"""),"Meta")</f>
        <v>Meta</v>
      </c>
      <c r="G154" s="276" t="str">
        <f>IFERROR(__xludf.DUMMYFUNCTION("""COMPUTED_VALUE"""),"Shravani")</f>
        <v>Shravani</v>
      </c>
      <c r="H154" s="276" t="str">
        <f>IFERROR(__xludf.DUMMYFUNCTION("""COMPUTED_VALUE"""),"28th May: 1000sq.ft. He wants me to share the details of the space. 27th May: Ringing. 25th May: Ringing")</f>
        <v>28th May: 1000sq.ft. He wants me to share the details of the space. 27th May: Ringing. 25th May: Ringing</v>
      </c>
    </row>
    <row r="155">
      <c r="A155" s="402">
        <f>IFERROR(__xludf.DUMMYFUNCTION("""COMPUTED_VALUE"""),46168.0)</f>
        <v>46168</v>
      </c>
      <c r="B155" s="276" t="str">
        <f>IFERROR(__xludf.DUMMYFUNCTION("""COMPUTED_VALUE"""),"Nitin  Karkote")</f>
        <v>Nitin  Karkote</v>
      </c>
      <c r="C155" s="276" t="str">
        <f>IFERROR(__xludf.DUMMYFUNCTION("""COMPUTED_VALUE"""),"Zensome")</f>
        <v>Zensome</v>
      </c>
      <c r="D155" s="276" t="str">
        <f>IFERROR(__xludf.DUMMYFUNCTION("""COMPUTED_VALUE"""),"Warm")</f>
        <v>Warm</v>
      </c>
      <c r="E155" s="276" t="str">
        <f>IFERROR(__xludf.DUMMYFUNCTION("""COMPUTED_VALUE"""),"Lower parel")</f>
        <v>Lower parel</v>
      </c>
      <c r="F155" s="276" t="str">
        <f>IFERROR(__xludf.DUMMYFUNCTION("""COMPUTED_VALUE"""),"Meta")</f>
        <v>Meta</v>
      </c>
      <c r="G155" s="276" t="str">
        <f>IFERROR(__xludf.DUMMYFUNCTION("""COMPUTED_VALUE"""),"Shravani")</f>
        <v>Shravani</v>
      </c>
      <c r="H155" s="276" t="str">
        <f>IFERROR(__xludf.DUMMYFUNCTION("""COMPUTED_VALUE"""),"29th May: Ringing. 28th May: Declined the call. 26th May: He need 1 Open W.S. ")</f>
        <v>29th May: Ringing. 28th May: Declined the call. 26th May: He need 1 Open W.S. </v>
      </c>
    </row>
    <row r="156">
      <c r="A156" s="402">
        <f>IFERROR(__xludf.DUMMYFUNCTION("""COMPUTED_VALUE"""),46169.0)</f>
        <v>46169</v>
      </c>
      <c r="B156" s="276" t="str">
        <f>IFERROR(__xludf.DUMMYFUNCTION("""COMPUTED_VALUE"""),"Milind  Parab")</f>
        <v>Milind  Parab</v>
      </c>
      <c r="C156" s="276" t="str">
        <f>IFERROR(__xludf.DUMMYFUNCTION("""COMPUTED_VALUE"""),"Ceyone Energy  India Pvt Ltd")</f>
        <v>Ceyone Energy  India Pvt Ltd</v>
      </c>
      <c r="D156" s="276" t="str">
        <f>IFERROR(__xludf.DUMMYFUNCTION("""COMPUTED_VALUE"""),"Not Responding")</f>
        <v>Not Responding</v>
      </c>
      <c r="E156" s="276" t="str">
        <f>IFERROR(__xludf.DUMMYFUNCTION("""COMPUTED_VALUE"""),"Lower parel")</f>
        <v>Lower parel</v>
      </c>
      <c r="F156" s="276" t="str">
        <f>IFERROR(__xludf.DUMMYFUNCTION("""COMPUTED_VALUE"""),"Meta")</f>
        <v>Meta</v>
      </c>
      <c r="G156" s="276" t="str">
        <f>IFERROR(__xludf.DUMMYFUNCTION("""COMPUTED_VALUE"""),"Shravani")</f>
        <v>Shravani</v>
      </c>
      <c r="H156" s="276" t="str">
        <f>IFERROR(__xludf.DUMMYFUNCTION("""COMPUTED_VALUE"""),"28th May: OS. 27th May: Ringing. ")</f>
        <v>28th May: OS. 27th May: Ringing. </v>
      </c>
    </row>
    <row r="157">
      <c r="A157" s="402">
        <f>IFERROR(__xludf.DUMMYFUNCTION("""COMPUTED_VALUE"""),46169.0)</f>
        <v>46169</v>
      </c>
      <c r="B157" s="276" t="str">
        <f>IFERROR(__xludf.DUMMYFUNCTION("""COMPUTED_VALUE"""),"Suzette Denis")</f>
        <v>Suzette Denis</v>
      </c>
      <c r="C157" s="276" t="str">
        <f>IFERROR(__xludf.DUMMYFUNCTION("""COMPUTED_VALUE"""),"Red Ray Engineers")</f>
        <v>Red Ray Engineers</v>
      </c>
      <c r="D157" s="276" t="str">
        <f>IFERROR(__xludf.DUMMYFUNCTION("""COMPUTED_VALUE"""),"Warm")</f>
        <v>Warm</v>
      </c>
      <c r="E157" s="276" t="str">
        <f>IFERROR(__xludf.DUMMYFUNCTION("""COMPUTED_VALUE"""),"Lower parel")</f>
        <v>Lower parel</v>
      </c>
      <c r="F157" s="276" t="str">
        <f>IFERROR(__xludf.DUMMYFUNCTION("""COMPUTED_VALUE"""),"Meta")</f>
        <v>Meta</v>
      </c>
      <c r="G157" s="276" t="str">
        <f>IFERROR(__xludf.DUMMYFUNCTION("""COMPUTED_VALUE"""),"Shravani")</f>
        <v>Shravani</v>
      </c>
      <c r="H157" s="276" t="str">
        <f>IFERROR(__xludf.DUMMYFUNCTION("""COMPUTED_VALUE"""),"29th May : Spoke on a text. 28th May: Ringing.")</f>
        <v>29th May : Spoke on a text. 28th May: Ringing.</v>
      </c>
    </row>
    <row r="158">
      <c r="A158" s="402">
        <f>IFERROR(__xludf.DUMMYFUNCTION("""COMPUTED_VALUE"""),46174.0)</f>
        <v>46174</v>
      </c>
      <c r="B158" s="276" t="str">
        <f>IFERROR(__xludf.DUMMYFUNCTION("""COMPUTED_VALUE"""),"Rajesh  A")</f>
        <v>Rajesh  A</v>
      </c>
      <c r="C158" s="276" t="str">
        <f>IFERROR(__xludf.DUMMYFUNCTION("""COMPUTED_VALUE"""),"Site Invention")</f>
        <v>Site Invention</v>
      </c>
      <c r="D158" s="276" t="str">
        <f>IFERROR(__xludf.DUMMYFUNCTION("""COMPUTED_VALUE"""),"Hot")</f>
        <v>Hot</v>
      </c>
      <c r="E158" s="276" t="str">
        <f>IFERROR(__xludf.DUMMYFUNCTION("""COMPUTED_VALUE"""),"Lower parel")</f>
        <v>Lower parel</v>
      </c>
      <c r="F158" s="276" t="str">
        <f>IFERROR(__xludf.DUMMYFUNCTION("""COMPUTED_VALUE"""),"Meta")</f>
        <v>Meta</v>
      </c>
      <c r="G158" s="276" t="str">
        <f>IFERROR(__xludf.DUMMYFUNCTION("""COMPUTED_VALUE"""),"Shravani")</f>
        <v>Shravani</v>
      </c>
      <c r="H158" s="276" t="str">
        <f>IFERROR(__xludf.DUMMYFUNCTION("""COMPUTED_VALUE"""),"2 June: He need a space only for 3 month from August.")</f>
        <v>2 June: He need a space only for 3 month from August.</v>
      </c>
    </row>
    <row r="159">
      <c r="A159" s="402">
        <f>IFERROR(__xludf.DUMMYFUNCTION("""COMPUTED_VALUE"""),46175.0)</f>
        <v>46175</v>
      </c>
      <c r="B159" s="276" t="str">
        <f>IFERROR(__xludf.DUMMYFUNCTION("""COMPUTED_VALUE"""),"Haneesha Puri")</f>
        <v>Haneesha Puri</v>
      </c>
      <c r="C159" s="276" t="str">
        <f>IFERROR(__xludf.DUMMYFUNCTION("""COMPUTED_VALUE"""),"Ambest Brandcom")</f>
        <v>Ambest Brandcom</v>
      </c>
      <c r="D159" s="276" t="str">
        <f>IFERROR(__xludf.DUMMYFUNCTION("""COMPUTED_VALUE"""),"Hot")</f>
        <v>Hot</v>
      </c>
      <c r="E159" s="276" t="str">
        <f>IFERROR(__xludf.DUMMYFUNCTION("""COMPUTED_VALUE"""),"Lower parel")</f>
        <v>Lower parel</v>
      </c>
      <c r="F159" s="276" t="str">
        <f>IFERROR(__xludf.DUMMYFUNCTION("""COMPUTED_VALUE"""),"Meta")</f>
        <v>Meta</v>
      </c>
      <c r="G159" s="276" t="str">
        <f>IFERROR(__xludf.DUMMYFUNCTION("""COMPUTED_VALUE"""),"Shravani")</f>
        <v>Shravani</v>
      </c>
      <c r="H159" s="276" t="str">
        <f>IFERROR(__xludf.DUMMYFUNCTION("""COMPUTED_VALUE"""),"3 June: She asked me to share the details and images of the available space.")</f>
        <v>3 June: She asked me to share the details and images of the available space.</v>
      </c>
    </row>
    <row r="160">
      <c r="A160" s="402">
        <f>IFERROR(__xludf.DUMMYFUNCTION("""COMPUTED_VALUE"""),46175.0)</f>
        <v>46175</v>
      </c>
      <c r="B160" s="276" t="str">
        <f>IFERROR(__xludf.DUMMYFUNCTION("""COMPUTED_VALUE"""),"Ronit Jain")</f>
        <v>Ronit Jain</v>
      </c>
      <c r="C160" s="276" t="str">
        <f>IFERROR(__xludf.DUMMYFUNCTION("""COMPUTED_VALUE"""),"Mva Healthcare")</f>
        <v>Mva Healthcare</v>
      </c>
      <c r="D160" s="276" t="str">
        <f>IFERROR(__xludf.DUMMYFUNCTION("""COMPUTED_VALUE"""),"Hot")</f>
        <v>Hot</v>
      </c>
      <c r="E160" s="276" t="str">
        <f>IFERROR(__xludf.DUMMYFUNCTION("""COMPUTED_VALUE"""),"Lower parel")</f>
        <v>Lower parel</v>
      </c>
      <c r="F160" s="276" t="str">
        <f>IFERROR(__xludf.DUMMYFUNCTION("""COMPUTED_VALUE"""),"Meta")</f>
        <v>Meta</v>
      </c>
      <c r="G160" s="276" t="str">
        <f>IFERROR(__xludf.DUMMYFUNCTION("""COMPUTED_VALUE"""),"Shravani")</f>
        <v>Shravani</v>
      </c>
      <c r="H160" s="276" t="str">
        <f>IFERROR(__xludf.DUMMYFUNCTION("""COMPUTED_VALUE"""),"3 June: He wants a space in Marathon Futurex and his requirement is around 500sq.ft. He have asked me to share the details of the available space, he will check it and will keep me posted on it.")</f>
        <v>3 June: He wants a space in Marathon Futurex and his requirement is around 500sq.ft. He have asked me to share the details of the available space, he will check it and will keep me posted on it.</v>
      </c>
    </row>
    <row r="161">
      <c r="A161" s="402">
        <f>IFERROR(__xludf.DUMMYFUNCTION("""COMPUTED_VALUE"""),46176.0)</f>
        <v>46176</v>
      </c>
      <c r="B161" s="276" t="str">
        <f>IFERROR(__xludf.DUMMYFUNCTION("""COMPUTED_VALUE"""),"V  Gandhi")</f>
        <v>V  Gandhi</v>
      </c>
      <c r="C161" s="276" t="str">
        <f>IFERROR(__xludf.DUMMYFUNCTION("""COMPUTED_VALUE"""),"KRG")</f>
        <v>KRG</v>
      </c>
      <c r="D161" s="276"/>
      <c r="E161" s="276" t="str">
        <f>IFERROR(__xludf.DUMMYFUNCTION("""COMPUTED_VALUE"""),"Lower parel")</f>
        <v>Lower parel</v>
      </c>
      <c r="F161" s="276" t="str">
        <f>IFERROR(__xludf.DUMMYFUNCTION("""COMPUTED_VALUE"""),"Meta")</f>
        <v>Meta</v>
      </c>
      <c r="G161" s="276" t="str">
        <f>IFERROR(__xludf.DUMMYFUNCTION("""COMPUTED_VALUE"""),"Shravani")</f>
        <v>Shravani</v>
      </c>
      <c r="H161" s="276" t="str">
        <f>IFERROR(__xludf.DUMMYFUNCTION("""COMPUTED_VALUE"""),"3 June: She has asked me to share the details on whatsapp.")</f>
        <v>3 June: She has asked me to share the details on whatsapp.</v>
      </c>
    </row>
    <row r="162">
      <c r="A162" s="402">
        <f>IFERROR(__xludf.DUMMYFUNCTION("""COMPUTED_VALUE"""),46176.0)</f>
        <v>46176</v>
      </c>
      <c r="B162" s="276" t="str">
        <f>IFERROR(__xludf.DUMMYFUNCTION("""COMPUTED_VALUE"""),"Uddhav Seth")</f>
        <v>Uddhav Seth</v>
      </c>
      <c r="C162" s="276" t="str">
        <f>IFERROR(__xludf.DUMMYFUNCTION("""COMPUTED_VALUE"""),"SoftwareHunt")</f>
        <v>SoftwareHunt</v>
      </c>
      <c r="D162" s="276"/>
      <c r="E162" s="276" t="str">
        <f>IFERROR(__xludf.DUMMYFUNCTION("""COMPUTED_VALUE"""),"Lower parel")</f>
        <v>Lower parel</v>
      </c>
      <c r="F162" s="276" t="str">
        <f>IFERROR(__xludf.DUMMYFUNCTION("""COMPUTED_VALUE"""),"Meta")</f>
        <v>Meta</v>
      </c>
      <c r="G162" s="276" t="str">
        <f>IFERROR(__xludf.DUMMYFUNCTION("""COMPUTED_VALUE"""),"Shravani")</f>
        <v>Shravani</v>
      </c>
      <c r="H162" s="276" t="str">
        <f>IFERROR(__xludf.DUMMYFUNCTION("""COMPUTED_VALUE"""),"3 June: ")</f>
        <v>3 June: </v>
      </c>
    </row>
    <row r="163">
      <c r="A163" s="402">
        <f>IFERROR(__xludf.DUMMYFUNCTION("""COMPUTED_VALUE"""),46176.0)</f>
        <v>46176</v>
      </c>
      <c r="B163" s="276" t="str">
        <f>IFERROR(__xludf.DUMMYFUNCTION("""COMPUTED_VALUE"""),"Seema  Shah")</f>
        <v>Seema  Shah</v>
      </c>
      <c r="C163" s="276" t="str">
        <f>IFERROR(__xludf.DUMMYFUNCTION("""COMPUTED_VALUE"""),"Ishwar Pharma")</f>
        <v>Ishwar Pharma</v>
      </c>
      <c r="D163" s="276"/>
      <c r="E163" s="276" t="str">
        <f>IFERROR(__xludf.DUMMYFUNCTION("""COMPUTED_VALUE"""),"Lower parel")</f>
        <v>Lower parel</v>
      </c>
      <c r="F163" s="276" t="str">
        <f>IFERROR(__xludf.DUMMYFUNCTION("""COMPUTED_VALUE"""),"Meta")</f>
        <v>Meta</v>
      </c>
      <c r="G163" s="276" t="str">
        <f>IFERROR(__xludf.DUMMYFUNCTION("""COMPUTED_VALUE"""),"Shravani")</f>
        <v>Shravani</v>
      </c>
      <c r="H163" s="276" t="str">
        <f>IFERROR(__xludf.DUMMYFUNCTION("""COMPUTED_VALUE"""),"3 June: She did not mentioned any requirement. Asked me to share the details of the property we have available with us.")</f>
        <v>3 June: She did not mentioned any requirement. Asked me to share the details of the property we have available with us.</v>
      </c>
    </row>
    <row r="164">
      <c r="A164" s="400">
        <f>IFERROR(__xludf.DUMMYFUNCTION("""COMPUTED_VALUE"""),46129.0)</f>
        <v>46129</v>
      </c>
      <c r="B164" s="276" t="str">
        <f>IFERROR(__xludf.DUMMYFUNCTION("""COMPUTED_VALUE"""),"Sujay  Patil")</f>
        <v>Sujay  Patil</v>
      </c>
      <c r="C164" s="276" t="str">
        <f>IFERROR(__xludf.DUMMYFUNCTION("""COMPUTED_VALUE"""),"Vastu Housing Finance Corporation ")</f>
        <v>Vastu Housing Finance Corporation </v>
      </c>
      <c r="D164" s="276"/>
      <c r="E164" s="276" t="str">
        <f>IFERROR(__xludf.DUMMYFUNCTION("""COMPUTED_VALUE"""),"Lower Parel")</f>
        <v>Lower Parel</v>
      </c>
      <c r="F164" s="276" t="str">
        <f>IFERROR(__xludf.DUMMYFUNCTION("""COMPUTED_VALUE"""),"LinkedIn")</f>
        <v>LinkedIn</v>
      </c>
      <c r="G164" s="276" t="str">
        <f>IFERROR(__xludf.DUMMYFUNCTION("""COMPUTED_VALUE"""),"Shravni / Saniel")</f>
        <v>Shravni / Saniel</v>
      </c>
      <c r="H164" s="276"/>
    </row>
    <row r="165">
      <c r="A165" s="400">
        <f>IFERROR(__xludf.DUMMYFUNCTION("""COMPUTED_VALUE"""),46132.0)</f>
        <v>46132</v>
      </c>
      <c r="B165" s="276" t="str">
        <f>IFERROR(__xludf.DUMMYFUNCTION("""COMPUTED_VALUE"""),"Sonu  Kumar")</f>
        <v>Sonu  Kumar</v>
      </c>
      <c r="C165" s="276" t="str">
        <f>IFERROR(__xludf.DUMMYFUNCTION("""COMPUTED_VALUE"""),"Not Disclosed")</f>
        <v>Not Disclosed</v>
      </c>
      <c r="D165" s="276"/>
      <c r="E165" s="276" t="str">
        <f>IFERROR(__xludf.DUMMYFUNCTION("""COMPUTED_VALUE"""),"Lower Parel")</f>
        <v>Lower Parel</v>
      </c>
      <c r="F165" s="276" t="str">
        <f>IFERROR(__xludf.DUMMYFUNCTION("""COMPUTED_VALUE"""),"LinkedIn")</f>
        <v>LinkedIn</v>
      </c>
      <c r="G165" s="276" t="str">
        <f>IFERROR(__xludf.DUMMYFUNCTION("""COMPUTED_VALUE"""),"Shravni")</f>
        <v>Shravni</v>
      </c>
      <c r="H165" s="276" t="str">
        <f>IFERROR(__xludf.DUMMYFUNCTION("""COMPUTED_VALUE"""),"20 April: Wrong Number")</f>
        <v>20 April: Wrong Number</v>
      </c>
    </row>
    <row r="166">
      <c r="A166" s="400">
        <f>IFERROR(__xludf.DUMMYFUNCTION("""COMPUTED_VALUE"""),46137.0)</f>
        <v>46137</v>
      </c>
      <c r="B166" s="276" t="str">
        <f>IFERROR(__xludf.DUMMYFUNCTION("""COMPUTED_VALUE"""),"Prof. Abhishek Asthana")</f>
        <v>Prof. Abhishek Asthana</v>
      </c>
      <c r="C166" s="276" t="str">
        <f>IFERROR(__xludf.DUMMYFUNCTION("""COMPUTED_VALUE"""),"AY TASKK CONSULTING LLP")</f>
        <v>AY TASKK CONSULTING LLP</v>
      </c>
      <c r="D166" s="276" t="str">
        <f>IFERROR(__xludf.DUMMYFUNCTION("""COMPUTED_VALUE"""),"Hold")</f>
        <v>Hold</v>
      </c>
      <c r="E166" s="276" t="str">
        <f>IFERROR(__xludf.DUMMYFUNCTION("""COMPUTED_VALUE"""),"Lower Parel")</f>
        <v>Lower Parel</v>
      </c>
      <c r="F166" s="276" t="str">
        <f>IFERROR(__xludf.DUMMYFUNCTION("""COMPUTED_VALUE"""),"LinkedIn")</f>
        <v>LinkedIn</v>
      </c>
      <c r="G166" s="276" t="str">
        <f>IFERROR(__xludf.DUMMYFUNCTION("""COMPUTED_VALUE"""),"Shravni")</f>
        <v>Shravni</v>
      </c>
      <c r="H166" s="276" t="str">
        <f>IFERROR(__xludf.DUMMYFUNCTION("""COMPUTED_VALUE"""),"28th May: Ringing. 23 May: Ringing. 16 May:Ringing, dropped a text. 13: Busy on Call. 11 May: Ringing. 8 May: OS. 6 May: Ringing, dropped him a text. 5 May: Ringing. 2 May: Ringing, dropped a text. 30 April: Ringing, Dropped a text. 28 April: Ringing, Dro"&amp;"pped a text. 27 April: Ringing. 26 April: He need 250 sq.ft Cabin and might visit on Wednesday. ")</f>
        <v>28th May: Ringing. 23 May: Ringing. 16 May:Ringing, dropped a text. 13: Busy on Call. 11 May: Ringing. 8 May: OS. 6 May: Ringing, dropped him a text. 5 May: Ringing. 2 May: Ringing, dropped a text. 30 April: Ringing, Dropped a text. 28 April: Ringing, Dropped a text. 27 April: Ringing. 26 April: He need 250 sq.ft Cabin and might visit on Wednesday. </v>
      </c>
    </row>
    <row r="167">
      <c r="A167" s="400">
        <f>IFERROR(__xludf.DUMMYFUNCTION("""COMPUTED_VALUE"""),46138.0)</f>
        <v>46138</v>
      </c>
      <c r="B167" s="276" t="str">
        <f>IFERROR(__xludf.DUMMYFUNCTION("""COMPUTED_VALUE"""),"Vishal Goria")</f>
        <v>Vishal Goria</v>
      </c>
      <c r="C167" s="276" t="str">
        <f>IFERROR(__xludf.DUMMYFUNCTION("""COMPUTED_VALUE"""),"Ignitus Limited")</f>
        <v>Ignitus Limited</v>
      </c>
      <c r="D167" s="276" t="str">
        <f>IFERROR(__xludf.DUMMYFUNCTION("""COMPUTED_VALUE"""),"Lost")</f>
        <v>Lost</v>
      </c>
      <c r="E167" s="276" t="str">
        <f>IFERROR(__xludf.DUMMYFUNCTION("""COMPUTED_VALUE"""),"Lower Parel")</f>
        <v>Lower Parel</v>
      </c>
      <c r="F167" s="276" t="str">
        <f>IFERROR(__xludf.DUMMYFUNCTION("""COMPUTED_VALUE"""),"LinkedIn")</f>
        <v>LinkedIn</v>
      </c>
      <c r="G167" s="276" t="str">
        <f>IFERROR(__xludf.DUMMYFUNCTION("""COMPUTED_VALUE"""),"Shravni")</f>
        <v>Shravni</v>
      </c>
      <c r="H167" s="276" t="str">
        <f>IFERROR(__xludf.DUMMYFUNCTION("""COMPUTED_VALUE"""),"5 May: He is going ahead with a conventional office.                                                 2 May: Busy on Call, dropped a text. 30 April: He needs 15 Seater Cabin and the operations will be 24x7. 28 April: Ringing. 27 April: He is busy with some"&amp;"thing and asked me to call after 1 hour.")</f>
        <v>5 May: He is going ahead with a conventional office.                                                 2 May: Busy on Call, dropped a text. 30 April: He needs 15 Seater Cabin and the operations will be 24x7. 28 April: Ringing. 27 April: He is busy with something and asked me to call after 1 hour.</v>
      </c>
    </row>
    <row r="168">
      <c r="A168" s="400">
        <f>IFERROR(__xludf.DUMMYFUNCTION("""COMPUTED_VALUE"""),46138.0)</f>
        <v>46138</v>
      </c>
      <c r="B168" s="276" t="str">
        <f>IFERROR(__xludf.DUMMYFUNCTION("""COMPUTED_VALUE"""),"Shreya  Mody")</f>
        <v>Shreya  Mody</v>
      </c>
      <c r="C168" s="276" t="str">
        <f>IFERROR(__xludf.DUMMYFUNCTION("""COMPUTED_VALUE"""),"Block Pilot")</f>
        <v>Block Pilot</v>
      </c>
      <c r="D168" s="276" t="str">
        <f>IFERROR(__xludf.DUMMYFUNCTION("""COMPUTED_VALUE"""),"Cold")</f>
        <v>Cold</v>
      </c>
      <c r="E168" s="276" t="str">
        <f>IFERROR(__xludf.DUMMYFUNCTION("""COMPUTED_VALUE"""),"Lower Parel")</f>
        <v>Lower Parel</v>
      </c>
      <c r="F168" s="276" t="str">
        <f>IFERROR(__xludf.DUMMYFUNCTION("""COMPUTED_VALUE"""),"LinkedIn")</f>
        <v>LinkedIn</v>
      </c>
      <c r="G168" s="276" t="str">
        <f>IFERROR(__xludf.DUMMYFUNCTION("""COMPUTED_VALUE"""),"Shravni")</f>
        <v>Shravni</v>
      </c>
      <c r="H168" s="276" t="str">
        <f>IFERROR(__xludf.DUMMYFUNCTION("""COMPUTED_VALUE"""),"6 May: She is looking for 5 seats at 5k per seat. 5 May: Declined the call. 2 May: OS. 30 April: Declined the call.                                                                                                               28 April: Ringing. 27 April: "&amp;"O.S")</f>
        <v>6 May: She is looking for 5 seats at 5k per seat. 5 May: Declined the call. 2 May: OS. 30 April: Declined the call.                                                                                                               28 April: Ringing. 27 April: O.S</v>
      </c>
    </row>
    <row r="169">
      <c r="A169" s="400">
        <f>IFERROR(__xludf.DUMMYFUNCTION("""COMPUTED_VALUE"""),46139.0)</f>
        <v>46139</v>
      </c>
      <c r="B169" s="276" t="str">
        <f>IFERROR(__xludf.DUMMYFUNCTION("""COMPUTED_VALUE"""),"Rahul Kubadia")</f>
        <v>Rahul Kubadia</v>
      </c>
      <c r="C169" s="276" t="str">
        <f>IFERROR(__xludf.DUMMYFUNCTION("""COMPUTED_VALUE"""),"Primeleaf Consulting (P) Ltd")</f>
        <v>Primeleaf Consulting (P) Ltd</v>
      </c>
      <c r="D169" s="276"/>
      <c r="E169" s="276" t="str">
        <f>IFERROR(__xludf.DUMMYFUNCTION("""COMPUTED_VALUE"""),"Lower Parel")</f>
        <v>Lower Parel</v>
      </c>
      <c r="F169" s="276" t="str">
        <f>IFERROR(__xludf.DUMMYFUNCTION("""COMPUTED_VALUE"""),"LinkedIn")</f>
        <v>LinkedIn</v>
      </c>
      <c r="G169" s="276" t="str">
        <f>IFERROR(__xludf.DUMMYFUNCTION("""COMPUTED_VALUE"""),"Shravni")</f>
        <v>Shravni</v>
      </c>
      <c r="H169" s="276" t="str">
        <f>IFERROR(__xludf.DUMMYFUNCTION("""COMPUTED_VALUE"""),"28 April: He needs a office on outright basis. ")</f>
        <v>28 April: He needs a office on outright basis. </v>
      </c>
    </row>
    <row r="170">
      <c r="A170" s="400">
        <f>IFERROR(__xludf.DUMMYFUNCTION("""COMPUTED_VALUE"""),46139.0)</f>
        <v>46139</v>
      </c>
      <c r="B170" s="276" t="str">
        <f>IFERROR(__xludf.DUMMYFUNCTION("""COMPUTED_VALUE"""),"Pradeep  Parab")</f>
        <v>Pradeep  Parab</v>
      </c>
      <c r="C170" s="276" t="str">
        <f>IFERROR(__xludf.DUMMYFUNCTION("""COMPUTED_VALUE"""),"Imageo Media LLP")</f>
        <v>Imageo Media LLP</v>
      </c>
      <c r="D170" s="276" t="str">
        <f>IFERROR(__xludf.DUMMYFUNCTION("""COMPUTED_VALUE"""),"Warm")</f>
        <v>Warm</v>
      </c>
      <c r="E170" s="276" t="str">
        <f>IFERROR(__xludf.DUMMYFUNCTION("""COMPUTED_VALUE"""),"Lower Parel")</f>
        <v>Lower Parel</v>
      </c>
      <c r="F170" s="276" t="str">
        <f>IFERROR(__xludf.DUMMYFUNCTION("""COMPUTED_VALUE"""),"LinkedIn")</f>
        <v>LinkedIn</v>
      </c>
      <c r="G170" s="276" t="str">
        <f>IFERROR(__xludf.DUMMYFUNCTION("""COMPUTED_VALUE"""),"Shravni")</f>
        <v>Shravni</v>
      </c>
      <c r="H170" s="276" t="str">
        <f>IFERROR(__xludf.DUMMYFUNCTION("""COMPUTED_VALUE"""),"23 May: He is travelling and has asked to call post 15 days. 16 May: Ringing, dropped a text. 13 May: Declined the call. 11 May: Busy on call. 8 May: He need some time to discuss with his team. 6 May: Ringing, dropped a text. 5 May: Ringing, dropped a tex"&amp;"t. 4 May: Ringing, Dropped a text. 2 May: Followup msg regarding his visit on Tuesday and Wednesday. 30 April: he will try to visit on Tuesday or Wednesday. 28 April: Spoke to Pradeep regarding his requirement for a 3-seater cabin. Shared images of the sp"&amp;"ace with him; he will review and get back.")</f>
        <v>23 May: He is travelling and has asked to call post 15 days. 16 May: Ringing, dropped a text. 13 May: Declined the call. 11 May: Busy on call. 8 May: He need some time to discuss with his team. 6 May: Ringing, dropped a text. 5 May: Ringing, dropped a text. 4 May: Ringing, Dropped a text. 2 May: Followup msg regarding his visit on Tuesday and Wednesday. 30 April: he will try to visit on Tuesday or Wednesday. 28 April: Spoke to Pradeep regarding his requirement for a 3-seater cabin. Shared images of the space with him; he will review and get back.</v>
      </c>
    </row>
    <row r="171">
      <c r="A171" s="400">
        <f>IFERROR(__xludf.DUMMYFUNCTION("""COMPUTED_VALUE"""),46141.0)</f>
        <v>46141</v>
      </c>
      <c r="B171" s="276" t="str">
        <f>IFERROR(__xludf.DUMMYFUNCTION("""COMPUTED_VALUE"""),"Suresh Kewalramani")</f>
        <v>Suresh Kewalramani</v>
      </c>
      <c r="C171" s="276" t="str">
        <f>IFERROR(__xludf.DUMMYFUNCTION("""COMPUTED_VALUE"""),"GIPS Management &amp; Personnel Consultants")</f>
        <v>GIPS Management &amp; Personnel Consultants</v>
      </c>
      <c r="D171" s="276" t="str">
        <f>IFERROR(__xludf.DUMMYFUNCTION("""COMPUTED_VALUE"""),"Hold")</f>
        <v>Hold</v>
      </c>
      <c r="E171" s="276" t="str">
        <f>IFERROR(__xludf.DUMMYFUNCTION("""COMPUTED_VALUE"""),"Lower Parel")</f>
        <v>Lower Parel</v>
      </c>
      <c r="F171" s="276" t="str">
        <f>IFERROR(__xludf.DUMMYFUNCTION("""COMPUTED_VALUE"""),"LinkedIn")</f>
        <v>LinkedIn</v>
      </c>
      <c r="G171" s="276" t="str">
        <f>IFERROR(__xludf.DUMMYFUNCTION("""COMPUTED_VALUE"""),"Shravni")</f>
        <v>Shravni</v>
      </c>
      <c r="H171" s="276" t="str">
        <f>IFERROR(__xludf.DUMMYFUNCTION("""COMPUTED_VALUE"""),"16 May: The client informed us that his son, who is the decision maker for this office requirement, is currently out of station and will return after 10 days. He has requested us to reconnect once his son is back.13 May: Busy on call. 11 May: Dropped a te"&amp;"xt. 8 May: Ringing. 6 May: He is in a meeting and will get back to me in a while. 5 May: Shared layout with him on mail. 4 May: Share with him the layout. 2 May: He wants layout. 29 April: 6 workstations + 1 cabin + 1 conference room (8–10 seats).")</f>
        <v>16 May: The client informed us that his son, who is the decision maker for this office requirement, is currently out of station and will return after 10 days. He has requested us to reconnect once his son is back.13 May: Busy on call. 11 May: Dropped a text. 8 May: Ringing. 6 May: He is in a meeting and will get back to me in a while. 5 May: Shared layout with him on mail. 4 May: Share with him the layout. 2 May: He wants layout. 29 April: 6 workstations + 1 cabin + 1 conference room (8–10 seats).</v>
      </c>
    </row>
    <row r="172">
      <c r="A172" s="400">
        <f>IFERROR(__xludf.DUMMYFUNCTION("""COMPUTED_VALUE"""),46141.0)</f>
        <v>46141</v>
      </c>
      <c r="B172" s="276" t="str">
        <f>IFERROR(__xludf.DUMMYFUNCTION("""COMPUTED_VALUE"""),"Amit  Gupta")</f>
        <v>Amit  Gupta</v>
      </c>
      <c r="C172" s="276" t="str">
        <f>IFERROR(__xludf.DUMMYFUNCTION("""COMPUTED_VALUE"""),"ICAPITAL Academy and Corporate Advisory LLP")</f>
        <v>ICAPITAL Academy and Corporate Advisory LLP</v>
      </c>
      <c r="D172" s="276" t="str">
        <f>IFERROR(__xludf.DUMMYFUNCTION("""COMPUTED_VALUE"""),"Warm")</f>
        <v>Warm</v>
      </c>
      <c r="E172" s="276" t="str">
        <f>IFERROR(__xludf.DUMMYFUNCTION("""COMPUTED_VALUE"""),"Lower Parel")</f>
        <v>Lower Parel</v>
      </c>
      <c r="F172" s="276" t="str">
        <f>IFERROR(__xludf.DUMMYFUNCTION("""COMPUTED_VALUE"""),"LinkedIn")</f>
        <v>LinkedIn</v>
      </c>
      <c r="G172" s="276" t="str">
        <f>IFERROR(__xludf.DUMMYFUNCTION("""COMPUTED_VALUE"""),"Shravni")</f>
        <v>Shravni</v>
      </c>
      <c r="H172" s="276" t="str">
        <f>IFERROR(__xludf.DUMMYFUNCTION("""COMPUTED_VALUE"""),"28th May : He will get back on 8th june. 23 May: Call on Monday. 16 May: He is currently out of station and will get back to me once he is back.  13 May: Dropped a text. 11 May: Ringing. 8 May: Declined the call. 6 May: Dropped a text asking for his visit"&amp;" plans for this week. 5 May: Ringing, dropped a text.                                                                                  2 May: Ringing, Dropped a text. 29 April: Amit needs 3 to 4 open workstations. Need to share images and details on Whats"&amp;"App
")</f>
        <v>28th May : He will get back on 8th june. 23 May: Call on Monday. 16 May: He is currently out of station and will get back to me once he is back.  13 May: Dropped a text. 11 May: Ringing. 8 May: Declined the call. 6 May: Dropped a text asking for his visit plans for this week. 5 May: Ringing, dropped a text.                                                                                  2 May: Ringing, Dropped a text. 29 April: Amit needs 3 to 4 open workstations. Need to share images and details on WhatsApp
</v>
      </c>
    </row>
    <row r="173">
      <c r="A173" s="400">
        <f>IFERROR(__xludf.DUMMYFUNCTION("""COMPUTED_VALUE"""),46141.0)</f>
        <v>46141</v>
      </c>
      <c r="B173" s="276" t="str">
        <f>IFERROR(__xludf.DUMMYFUNCTION("""COMPUTED_VALUE"""),"Saurabh  Agarwal")</f>
        <v>Saurabh  Agarwal</v>
      </c>
      <c r="C173" s="276" t="str">
        <f>IFERROR(__xludf.DUMMYFUNCTION("""COMPUTED_VALUE"""),"Kennis Ventures Pvt Ltd")</f>
        <v>Kennis Ventures Pvt Ltd</v>
      </c>
      <c r="D173" s="276" t="str">
        <f>IFERROR(__xludf.DUMMYFUNCTION("""COMPUTED_VALUE"""),"Lost")</f>
        <v>Lost</v>
      </c>
      <c r="E173" s="276" t="str">
        <f>IFERROR(__xludf.DUMMYFUNCTION("""COMPUTED_VALUE"""),"Lower Parel")</f>
        <v>Lower Parel</v>
      </c>
      <c r="F173" s="276" t="str">
        <f>IFERROR(__xludf.DUMMYFUNCTION("""COMPUTED_VALUE"""),"LinkedIn")</f>
        <v>LinkedIn</v>
      </c>
      <c r="G173" s="276" t="str">
        <f>IFERROR(__xludf.DUMMYFUNCTION("""COMPUTED_VALUE"""),"Shravni")</f>
        <v>Shravni</v>
      </c>
      <c r="H173" s="276" t="str">
        <f>IFERROR(__xludf.DUMMYFUNCTION("""COMPUTED_VALUE"""),"6 May: He has finalised a coventional office in Goregaon because his budget is below 10k a seat. 5 May: Ringing, dropped a text. 2 May: His current office is in Goregaon. He needs 25 Seats + 2 Cabin. 1 May: Asked me to call tomorrow.")</f>
        <v>6 May: He has finalised a coventional office in Goregaon because his budget is below 10k a seat. 5 May: Ringing, dropped a text. 2 May: His current office is in Goregaon. He needs 25 Seats + 2 Cabin. 1 May: Asked me to call tomorrow.</v>
      </c>
    </row>
    <row r="174">
      <c r="A174" s="400">
        <f>IFERROR(__xludf.DUMMYFUNCTION("""COMPUTED_VALUE"""),46146.0)</f>
        <v>46146</v>
      </c>
      <c r="B174" s="276" t="str">
        <f>IFERROR(__xludf.DUMMYFUNCTION("""COMPUTED_VALUE"""),"Manish Chaudhari")</f>
        <v>Manish Chaudhari</v>
      </c>
      <c r="C174" s="276" t="str">
        <f>IFERROR(__xludf.DUMMYFUNCTION("""COMPUTED_VALUE"""),"Innovatus Engineering Solutions")</f>
        <v>Innovatus Engineering Solutions</v>
      </c>
      <c r="D174" s="276" t="str">
        <f>IFERROR(__xludf.DUMMYFUNCTION("""COMPUTED_VALUE"""),"Lost")</f>
        <v>Lost</v>
      </c>
      <c r="E174" s="276" t="str">
        <f>IFERROR(__xludf.DUMMYFUNCTION("""COMPUTED_VALUE"""),"Lower Parel")</f>
        <v>Lower Parel</v>
      </c>
      <c r="F174" s="276" t="str">
        <f>IFERROR(__xludf.DUMMYFUNCTION("""COMPUTED_VALUE"""),"LinkedIn")</f>
        <v>LinkedIn</v>
      </c>
      <c r="G174" s="276" t="str">
        <f>IFERROR(__xludf.DUMMYFUNCTION("""COMPUTED_VALUE"""),"Shravni")</f>
        <v>Shravni</v>
      </c>
      <c r="H174" s="276" t="str">
        <f>IFERROR(__xludf.DUMMYFUNCTION("""COMPUTED_VALUE"""),"6 May: He need a 3 seater cabin. He is interested in locations like Thane and Navi Mumbai. 5 May: Ringing Dropped a text.")</f>
        <v>6 May: He need a 3 seater cabin. He is interested in locations like Thane and Navi Mumbai. 5 May: Ringing Dropped a text.</v>
      </c>
    </row>
    <row r="175">
      <c r="A175" s="402">
        <f>IFERROR(__xludf.DUMMYFUNCTION("""COMPUTED_VALUE"""),46143.0)</f>
        <v>46143</v>
      </c>
      <c r="B175" s="276" t="str">
        <f>IFERROR(__xludf.DUMMYFUNCTION("""COMPUTED_VALUE"""),"Saurabh  Agarwal")</f>
        <v>Saurabh  Agarwal</v>
      </c>
      <c r="C175" s="276" t="str">
        <f>IFERROR(__xludf.DUMMYFUNCTION("""COMPUTED_VALUE"""),"Kennis Ventures Pvt Ltd")</f>
        <v>Kennis Ventures Pvt Ltd</v>
      </c>
      <c r="D175" s="276"/>
      <c r="E175" s="276"/>
      <c r="F175" s="276" t="str">
        <f>IFERROR(__xludf.DUMMYFUNCTION("""COMPUTED_VALUE"""),"LinkedIn")</f>
        <v>LinkedIn</v>
      </c>
      <c r="G175" s="276" t="str">
        <f>IFERROR(__xludf.DUMMYFUNCTION("""COMPUTED_VALUE"""),"Shravni")</f>
        <v>Shravni</v>
      </c>
      <c r="H175" s="276" t="str">
        <f>IFERROR(__xludf.DUMMYFUNCTION("""COMPUTED_VALUE"""),"5th May: He has finalised another office and he will get back to me if he needs any offive n Future. 3 May: Ringing. 2 May: He have asked me to share the details. 1 May: Have asked me to call tomo at 10am")</f>
        <v>5th May: He has finalised another office and he will get back to me if he needs any offive n Future. 3 May: Ringing. 2 May: He have asked me to share the details. 1 May: Have asked me to call tomo at 10am</v>
      </c>
    </row>
    <row r="176">
      <c r="A176" s="400">
        <f>IFERROR(__xludf.DUMMYFUNCTION("""COMPUTED_VALUE"""),46132.0)</f>
        <v>46132</v>
      </c>
      <c r="B176" s="276" t="str">
        <f>IFERROR(__xludf.DUMMYFUNCTION("""COMPUTED_VALUE"""),"Juhi Tandon")</f>
        <v>Juhi Tandon</v>
      </c>
      <c r="C176" s="276" t="str">
        <f>IFERROR(__xludf.DUMMYFUNCTION("""COMPUTED_VALUE"""),"Maven Workforce Inc.")</f>
        <v>Maven Workforce Inc.</v>
      </c>
      <c r="D176" s="276"/>
      <c r="E176" s="276" t="str">
        <f>IFERROR(__xludf.DUMMYFUNCTION("""COMPUTED_VALUE"""),"Noida")</f>
        <v>Noida</v>
      </c>
      <c r="F176" s="276" t="str">
        <f>IFERROR(__xludf.DUMMYFUNCTION("""COMPUTED_VALUE"""),"LinkedIn")</f>
        <v>LinkedIn</v>
      </c>
      <c r="G176" s="276" t="str">
        <f>IFERROR(__xludf.DUMMYFUNCTION("""COMPUTED_VALUE"""),"Neha/Madhvi")</f>
        <v>Neha/Madhvi</v>
      </c>
      <c r="H176" s="276" t="str">
        <f>IFERROR(__xludf.DUMMYFUNCTION("""COMPUTED_VALUE"""),"Shared tentative numbers with them…Suggest them to visit.")</f>
        <v>Shared tentative numbers with them…Suggest them to visit.</v>
      </c>
    </row>
    <row r="177">
      <c r="A177" s="400">
        <f>IFERROR(__xludf.DUMMYFUNCTION("""COMPUTED_VALUE"""),46133.0)</f>
        <v>46133</v>
      </c>
      <c r="B177" s="276" t="str">
        <f>IFERROR(__xludf.DUMMYFUNCTION("""COMPUTED_VALUE"""),"Vijay Bhasin")</f>
        <v>Vijay Bhasin</v>
      </c>
      <c r="C177" s="276" t="str">
        <f>IFERROR(__xludf.DUMMYFUNCTION("""COMPUTED_VALUE"""),"The Virtuous Group")</f>
        <v>The Virtuous Group</v>
      </c>
      <c r="D177" s="276"/>
      <c r="E177" s="276" t="str">
        <f>IFERROR(__xludf.DUMMYFUNCTION("""COMPUTED_VALUE"""),"Noida")</f>
        <v>Noida</v>
      </c>
      <c r="F177" s="276" t="str">
        <f>IFERROR(__xludf.DUMMYFUNCTION("""COMPUTED_VALUE"""),"LinkedIn")</f>
        <v>LinkedIn</v>
      </c>
      <c r="G177" s="276" t="str">
        <f>IFERROR(__xludf.DUMMYFUNCTION("""COMPUTED_VALUE"""),"Neha/Madhvi")</f>
        <v>Neha/Madhvi</v>
      </c>
      <c r="H177" s="276" t="str">
        <f>IFERROR(__xludf.DUMMYFUNCTION("""COMPUTED_VALUE"""),"Requirement is less only 10-12 seats...they can give 3 years of lock-in and 6 month deposit")</f>
        <v>Requirement is less only 10-12 seats...they can give 3 years of lock-in and 6 month deposit</v>
      </c>
    </row>
    <row r="178">
      <c r="A178" s="400">
        <f>IFERROR(__xludf.DUMMYFUNCTION("""COMPUTED_VALUE"""),46133.0)</f>
        <v>46133</v>
      </c>
      <c r="B178" s="276" t="str">
        <f>IFERROR(__xludf.DUMMYFUNCTION("""COMPUTED_VALUE"""),"Nitin Kumar  Agrawal")</f>
        <v>Nitin Kumar  Agrawal</v>
      </c>
      <c r="C178" s="276" t="str">
        <f>IFERROR(__xludf.DUMMYFUNCTION("""COMPUTED_VALUE"""),"Agrow Essence LLP")</f>
        <v>Agrow Essence LLP</v>
      </c>
      <c r="D178" s="276"/>
      <c r="E178" s="276" t="str">
        <f>IFERROR(__xludf.DUMMYFUNCTION("""COMPUTED_VALUE"""),"Noida")</f>
        <v>Noida</v>
      </c>
      <c r="F178" s="276" t="str">
        <f>IFERROR(__xludf.DUMMYFUNCTION("""COMPUTED_VALUE"""),"LinkedIn")</f>
        <v>LinkedIn</v>
      </c>
      <c r="G178" s="276" t="str">
        <f>IFERROR(__xludf.DUMMYFUNCTION("""COMPUTED_VALUE"""),"Neha/Madhvi")</f>
        <v>Neha/Madhvi</v>
      </c>
      <c r="H178" s="276" t="str">
        <f>IFERROR(__xludf.DUMMYFUNCTION("""COMPUTED_VALUE"""),"they will plan visit soon")</f>
        <v>they will plan visit soon</v>
      </c>
    </row>
    <row r="179">
      <c r="A179" s="400">
        <f>IFERROR(__xludf.DUMMYFUNCTION("""COMPUTED_VALUE"""),46133.0)</f>
        <v>46133</v>
      </c>
      <c r="B179" s="276" t="str">
        <f>IFERROR(__xludf.DUMMYFUNCTION("""COMPUTED_VALUE"""),"Rakesh  Kandwal")</f>
        <v>Rakesh  Kandwal</v>
      </c>
      <c r="C179" s="276" t="str">
        <f>IFERROR(__xludf.DUMMYFUNCTION("""COMPUTED_VALUE"""),"Comscraft Technology Private Limited")</f>
        <v>Comscraft Technology Private Limited</v>
      </c>
      <c r="D179" s="276"/>
      <c r="E179" s="276" t="str">
        <f>IFERROR(__xludf.DUMMYFUNCTION("""COMPUTED_VALUE"""),"Noida")</f>
        <v>Noida</v>
      </c>
      <c r="F179" s="276" t="str">
        <f>IFERROR(__xludf.DUMMYFUNCTION("""COMPUTED_VALUE"""),"LinkedIn")</f>
        <v>LinkedIn</v>
      </c>
      <c r="G179" s="276" t="str">
        <f>IFERROR(__xludf.DUMMYFUNCTION("""COMPUTED_VALUE"""),"Neha/Madhvi")</f>
        <v>Neha/Madhvi</v>
      </c>
      <c r="H179" s="276" t="str">
        <f>IFERROR(__xludf.DUMMYFUNCTION("""COMPUTED_VALUE"""),"Requirement is very less…they only want 2seats")</f>
        <v>Requirement is very less…they only want 2seats</v>
      </c>
    </row>
    <row r="180">
      <c r="A180" s="400">
        <f>IFERROR(__xludf.DUMMYFUNCTION("""COMPUTED_VALUE"""),46135.0)</f>
        <v>46135</v>
      </c>
      <c r="B180" s="276" t="str">
        <f>IFERROR(__xludf.DUMMYFUNCTION("""COMPUTED_VALUE"""),"Ashi Goswami")</f>
        <v>Ashi Goswami</v>
      </c>
      <c r="C180" s="276" t="str">
        <f>IFERROR(__xludf.DUMMYFUNCTION("""COMPUTED_VALUE"""),"Golden Bird Venture")</f>
        <v>Golden Bird Venture</v>
      </c>
      <c r="D180" s="276"/>
      <c r="E180" s="276" t="str">
        <f>IFERROR(__xludf.DUMMYFUNCTION("""COMPUTED_VALUE"""),"Noida")</f>
        <v>Noida</v>
      </c>
      <c r="F180" s="276" t="str">
        <f>IFERROR(__xludf.DUMMYFUNCTION("""COMPUTED_VALUE"""),"LinkedIn")</f>
        <v>LinkedIn</v>
      </c>
      <c r="G180" s="276" t="str">
        <f>IFERROR(__xludf.DUMMYFUNCTION("""COMPUTED_VALUE"""),"Neha/Madhvi")</f>
        <v>Neha/Madhvi</v>
      </c>
      <c r="H180" s="276" t="str">
        <f>IFERROR(__xludf.DUMMYFUNCTION("""COMPUTED_VALUE"""),"Not answering my calls ")</f>
        <v>Not answering my calls </v>
      </c>
    </row>
    <row r="181">
      <c r="A181" s="400">
        <f>IFERROR(__xludf.DUMMYFUNCTION("""COMPUTED_VALUE"""),46137.0)</f>
        <v>46137</v>
      </c>
      <c r="B181" s="276" t="str">
        <f>IFERROR(__xludf.DUMMYFUNCTION("""COMPUTED_VALUE"""),"Puneet Aggarwal")</f>
        <v>Puneet Aggarwal</v>
      </c>
      <c r="C181" s="276" t="str">
        <f>IFERROR(__xludf.DUMMYFUNCTION("""COMPUTED_VALUE"""),"AI LifeBOT")</f>
        <v>AI LifeBOT</v>
      </c>
      <c r="D181" s="276"/>
      <c r="E181" s="276" t="str">
        <f>IFERROR(__xludf.DUMMYFUNCTION("""COMPUTED_VALUE"""),"Noida")</f>
        <v>Noida</v>
      </c>
      <c r="F181" s="276" t="str">
        <f>IFERROR(__xludf.DUMMYFUNCTION("""COMPUTED_VALUE"""),"LinkedIn")</f>
        <v>LinkedIn</v>
      </c>
      <c r="G181" s="276" t="str">
        <f>IFERROR(__xludf.DUMMYFUNCTION("""COMPUTED_VALUE"""),"Neha/Madhvi")</f>
        <v>Neha/Madhvi</v>
      </c>
      <c r="H181" s="276"/>
    </row>
    <row r="182">
      <c r="A182" s="400">
        <f>IFERROR(__xludf.DUMMYFUNCTION("""COMPUTED_VALUE"""),46138.0)</f>
        <v>46138</v>
      </c>
      <c r="B182" s="276" t="str">
        <f>IFERROR(__xludf.DUMMYFUNCTION("""COMPUTED_VALUE"""),"Satendra Singh")</f>
        <v>Satendra Singh</v>
      </c>
      <c r="C182" s="276" t="str">
        <f>IFERROR(__xludf.DUMMYFUNCTION("""COMPUTED_VALUE"""),"Afracon Technology LLC")</f>
        <v>Afracon Technology LLC</v>
      </c>
      <c r="D182" s="276"/>
      <c r="E182" s="276" t="str">
        <f>IFERROR(__xludf.DUMMYFUNCTION("""COMPUTED_VALUE"""),"Noida")</f>
        <v>Noida</v>
      </c>
      <c r="F182" s="276" t="str">
        <f>IFERROR(__xludf.DUMMYFUNCTION("""COMPUTED_VALUE"""),"LinkedIn")</f>
        <v>LinkedIn</v>
      </c>
      <c r="G182" s="276" t="str">
        <f>IFERROR(__xludf.DUMMYFUNCTION("""COMPUTED_VALUE"""),"Neha/Madhvi")</f>
        <v>Neha/Madhvi</v>
      </c>
      <c r="H182" s="276" t="str">
        <f>IFERROR(__xludf.DUMMYFUNCTION("""COMPUTED_VALUE"""),"Wrong number")</f>
        <v>Wrong number</v>
      </c>
    </row>
    <row r="183">
      <c r="A183" s="400">
        <f>IFERROR(__xludf.DUMMYFUNCTION("""COMPUTED_VALUE"""),46144.0)</f>
        <v>46144</v>
      </c>
      <c r="B183" s="276" t="str">
        <f>IFERROR(__xludf.DUMMYFUNCTION("""COMPUTED_VALUE"""),"Shikha
 Sharma")</f>
        <v>Shikha
 Sharma</v>
      </c>
      <c r="C183" s="276" t="str">
        <f>IFERROR(__xludf.DUMMYFUNCTION("""COMPUTED_VALUE"""),"GetWork")</f>
        <v>GetWork</v>
      </c>
      <c r="D183" s="276"/>
      <c r="E183" s="276" t="str">
        <f>IFERROR(__xludf.DUMMYFUNCTION("""COMPUTED_VALUE"""),"Noida")</f>
        <v>Noida</v>
      </c>
      <c r="F183" s="276" t="str">
        <f>IFERROR(__xludf.DUMMYFUNCTION("""COMPUTED_VALUE"""),"LinkedIn")</f>
        <v>LinkedIn</v>
      </c>
      <c r="G183" s="276" t="str">
        <f>IFERROR(__xludf.DUMMYFUNCTION("""COMPUTED_VALUE"""),"Neha/Madhvi")</f>
        <v>Neha/Madhvi</v>
      </c>
      <c r="H183" s="276" t="str">
        <f>IFERROR(__xludf.DUMMYFUNCTION("""COMPUTED_VALUE"""),"No requirement ")</f>
        <v>No requirement </v>
      </c>
    </row>
    <row r="184">
      <c r="A184" s="400">
        <f>IFERROR(__xludf.DUMMYFUNCTION("""COMPUTED_VALUE"""),46145.0)</f>
        <v>46145</v>
      </c>
      <c r="B184" s="276" t="str">
        <f>IFERROR(__xludf.DUMMYFUNCTION("""COMPUTED_VALUE"""),"Yash Arora")</f>
        <v>Yash Arora</v>
      </c>
      <c r="C184" s="276" t="str">
        <f>IFERROR(__xludf.DUMMYFUNCTION("""COMPUTED_VALUE"""),"NeXMiLe Professionals")</f>
        <v>NeXMiLe Professionals</v>
      </c>
      <c r="D184" s="276"/>
      <c r="E184" s="276" t="str">
        <f>IFERROR(__xludf.DUMMYFUNCTION("""COMPUTED_VALUE"""),"Noida")</f>
        <v>Noida</v>
      </c>
      <c r="F184" s="276" t="str">
        <f>IFERROR(__xludf.DUMMYFUNCTION("""COMPUTED_VALUE"""),"LinkedIn")</f>
        <v>LinkedIn</v>
      </c>
      <c r="G184" s="276" t="str">
        <f>IFERROR(__xludf.DUMMYFUNCTION("""COMPUTED_VALUE"""),"Neha/Madhvi")</f>
        <v>Neha/Madhvi</v>
      </c>
      <c r="H184" s="276" t="str">
        <f>IFERROR(__xludf.DUMMYFUNCTION("""COMPUTED_VALUE"""),"Need urgently within a week")</f>
        <v>Need urgently within a week</v>
      </c>
    </row>
    <row r="185">
      <c r="A185" s="402">
        <f>IFERROR(__xludf.DUMMYFUNCTION("""COMPUTED_VALUE"""),46146.0)</f>
        <v>46146</v>
      </c>
      <c r="B185" s="276" t="str">
        <f>IFERROR(__xludf.DUMMYFUNCTION("""COMPUTED_VALUE"""),"Sakshi  Mittal")</f>
        <v>Sakshi  Mittal</v>
      </c>
      <c r="C185" s="403" t="str">
        <f>IFERROR(__xludf.DUMMYFUNCTION("""COMPUTED_VALUE"""),"CoreOps .AI")</f>
        <v>CoreOps .AI</v>
      </c>
      <c r="D185" s="276"/>
      <c r="E185" s="276" t="str">
        <f>IFERROR(__xludf.DUMMYFUNCTION("""COMPUTED_VALUE"""),"Noida")</f>
        <v>Noida</v>
      </c>
      <c r="F185" s="276" t="str">
        <f>IFERROR(__xludf.DUMMYFUNCTION("""COMPUTED_VALUE"""),"LinkedIn")</f>
        <v>LinkedIn</v>
      </c>
      <c r="G185" s="276" t="str">
        <f>IFERROR(__xludf.DUMMYFUNCTION("""COMPUTED_VALUE"""),"Neha/Madhvi")</f>
        <v>Neha/Madhvi</v>
      </c>
      <c r="H185" s="276" t="str">
        <f>IFERROR(__xludf.DUMMYFUNCTION("""COMPUTED_VALUE"""),"Said No Requirement")</f>
        <v>Said No Requirement</v>
      </c>
    </row>
    <row r="186">
      <c r="A186" s="402">
        <f>IFERROR(__xludf.DUMMYFUNCTION("""COMPUTED_VALUE"""),46150.0)</f>
        <v>46150</v>
      </c>
      <c r="B186" s="276" t="str">
        <f>IFERROR(__xludf.DUMMYFUNCTION("""COMPUTED_VALUE"""),"Manu K Kapur")</f>
        <v>Manu K Kapur</v>
      </c>
      <c r="C186" s="276" t="str">
        <f>IFERROR(__xludf.DUMMYFUNCTION("""COMPUTED_VALUE"""),"Abbey Road Sourcing Pvt Ltd.")</f>
        <v>Abbey Road Sourcing Pvt Ltd.</v>
      </c>
      <c r="D186" s="276"/>
      <c r="E186" s="276" t="str">
        <f>IFERROR(__xludf.DUMMYFUNCTION("""COMPUTED_VALUE"""),"Noida")</f>
        <v>Noida</v>
      </c>
      <c r="F186" s="276" t="str">
        <f>IFERROR(__xludf.DUMMYFUNCTION("""COMPUTED_VALUE"""),"LinkedIn")</f>
        <v>LinkedIn</v>
      </c>
      <c r="G186" s="276" t="str">
        <f>IFERROR(__xludf.DUMMYFUNCTION("""COMPUTED_VALUE"""),"Neha/Madhvi")</f>
        <v>Neha/Madhvi</v>
      </c>
      <c r="H186" s="276" t="str">
        <f>IFERROR(__xludf.DUMMYFUNCTION("""COMPUTED_VALUE"""),"Asked to call call on monday.")</f>
        <v>Asked to call call on monday.</v>
      </c>
    </row>
    <row r="187">
      <c r="A187" s="402">
        <f>IFERROR(__xludf.DUMMYFUNCTION("""COMPUTED_VALUE"""),46150.0)</f>
        <v>46150</v>
      </c>
      <c r="B187" s="276" t="str">
        <f>IFERROR(__xludf.DUMMYFUNCTION("""COMPUTED_VALUE"""),"Dhirendra Singh")</f>
        <v>Dhirendra Singh</v>
      </c>
      <c r="C187" s="276" t="str">
        <f>IFERROR(__xludf.DUMMYFUNCTION("""COMPUTED_VALUE"""),"Cost2Action")</f>
        <v>Cost2Action</v>
      </c>
      <c r="D187" s="276"/>
      <c r="E187" s="276" t="str">
        <f>IFERROR(__xludf.DUMMYFUNCTION("""COMPUTED_VALUE"""),"Noida")</f>
        <v>Noida</v>
      </c>
      <c r="F187" s="276" t="str">
        <f>IFERROR(__xludf.DUMMYFUNCTION("""COMPUTED_VALUE"""),"LinkedIn")</f>
        <v>LinkedIn</v>
      </c>
      <c r="G187" s="276" t="str">
        <f>IFERROR(__xludf.DUMMYFUNCTION("""COMPUTED_VALUE"""),"Neha/Madhvi")</f>
        <v>Neha/Madhvi</v>
      </c>
      <c r="H187" s="276" t="str">
        <f>IFERROR(__xludf.DUMMYFUNCTION("""COMPUTED_VALUE"""),"Need only 20 seats and the budget is low")</f>
        <v>Need only 20 seats and the budget is low</v>
      </c>
    </row>
    <row r="188">
      <c r="A188" s="402">
        <f>IFERROR(__xludf.DUMMYFUNCTION("""COMPUTED_VALUE"""),46151.0)</f>
        <v>46151</v>
      </c>
      <c r="B188" s="276" t="str">
        <f>IFERROR(__xludf.DUMMYFUNCTION("""COMPUTED_VALUE"""),"Mayank Tomar")</f>
        <v>Mayank Tomar</v>
      </c>
      <c r="C188" s="276" t="str">
        <f>IFERROR(__xludf.DUMMYFUNCTION("""COMPUTED_VALUE"""),"Bootes")</f>
        <v>Bootes</v>
      </c>
      <c r="D188" s="276"/>
      <c r="E188" s="276" t="str">
        <f>IFERROR(__xludf.DUMMYFUNCTION("""COMPUTED_VALUE"""),"Noida")</f>
        <v>Noida</v>
      </c>
      <c r="F188" s="276" t="str">
        <f>IFERROR(__xludf.DUMMYFUNCTION("""COMPUTED_VALUE"""),"LinkedIn")</f>
        <v>LinkedIn</v>
      </c>
      <c r="G188" s="276" t="str">
        <f>IFERROR(__xludf.DUMMYFUNCTION("""COMPUTED_VALUE"""),"Neha/Madhvi")</f>
        <v>Neha/Madhvi</v>
      </c>
      <c r="H188" s="276" t="str">
        <f>IFERROR(__xludf.DUMMYFUNCTION("""COMPUTED_VALUE"""),"Need 25-30 seats.will plan their visit shortly also they can 2years of lock-in and security we will discuss")</f>
        <v>Need 25-30 seats.will plan their visit shortly also they can 2years of lock-in and security we will discuss</v>
      </c>
    </row>
    <row r="189">
      <c r="A189" s="404">
        <f>IFERROR(__xludf.DUMMYFUNCTION("""COMPUTED_VALUE"""),46152.0)</f>
        <v>46152</v>
      </c>
      <c r="B189" s="276" t="str">
        <f>IFERROR(__xludf.DUMMYFUNCTION("""COMPUTED_VALUE"""),"Neha Sharma")</f>
        <v>Neha Sharma</v>
      </c>
      <c r="C189" s="276" t="str">
        <f>IFERROR(__xludf.DUMMYFUNCTION("""COMPUTED_VALUE"""),"ABG Group")</f>
        <v>ABG Group</v>
      </c>
      <c r="D189" s="276"/>
      <c r="E189" s="276" t="str">
        <f>IFERROR(__xludf.DUMMYFUNCTION("""COMPUTED_VALUE"""),"Noida")</f>
        <v>Noida</v>
      </c>
      <c r="F189" s="276" t="str">
        <f>IFERROR(__xludf.DUMMYFUNCTION("""COMPUTED_VALUE"""),"LinkedIn")</f>
        <v>LinkedIn</v>
      </c>
      <c r="G189" s="276" t="str">
        <f>IFERROR(__xludf.DUMMYFUNCTION("""COMPUTED_VALUE"""),"Neha/Madhvi")</f>
        <v>Neha/Madhvi</v>
      </c>
      <c r="H189" s="276" t="str">
        <f>IFERROR(__xludf.DUMMYFUNCTION("""COMPUTED_VALUE"""),"Want something in sector 62 or 63")</f>
        <v>Want something in sector 62 or 63</v>
      </c>
    </row>
    <row r="190">
      <c r="A190" s="402">
        <f>IFERROR(__xludf.DUMMYFUNCTION("""COMPUTED_VALUE"""),46152.0)</f>
        <v>46152</v>
      </c>
      <c r="B190" s="276" t="str">
        <f>IFERROR(__xludf.DUMMYFUNCTION("""COMPUTED_VALUE"""),"Vijay  P Tiwari")</f>
        <v>Vijay  P Tiwari</v>
      </c>
      <c r="C190" s="276" t="str">
        <f>IFERROR(__xludf.DUMMYFUNCTION("""COMPUTED_VALUE"""),"Auctus Resources")</f>
        <v>Auctus Resources</v>
      </c>
      <c r="D190" s="276"/>
      <c r="E190" s="276" t="str">
        <f>IFERROR(__xludf.DUMMYFUNCTION("""COMPUTED_VALUE"""),"Noida")</f>
        <v>Noida</v>
      </c>
      <c r="F190" s="276" t="str">
        <f>IFERROR(__xludf.DUMMYFUNCTION("""COMPUTED_VALUE"""),"LinkedIn")</f>
        <v>LinkedIn</v>
      </c>
      <c r="G190" s="276" t="str">
        <f>IFERROR(__xludf.DUMMYFUNCTION("""COMPUTED_VALUE"""),"Neha/Madhvi")</f>
        <v>Neha/Madhvi</v>
      </c>
      <c r="H190" s="276" t="str">
        <f>IFERROR(__xludf.DUMMYFUNCTION("""COMPUTED_VALUE"""),"Looking for 4 seater can give us more than 1 year lock-in")</f>
        <v>Looking for 4 seater can give us more than 1 year lock-in</v>
      </c>
    </row>
    <row r="191">
      <c r="A191" s="276" t="str">
        <f>IFERROR(__xludf.DUMMYFUNCTION("""COMPUTED_VALUE"""),"8th Jan")</f>
        <v>8th Jan</v>
      </c>
      <c r="B191" s="276" t="str">
        <f>IFERROR(__xludf.DUMMYFUNCTION("""COMPUTED_VALUE"""),"Yuvraj  Singh ")</f>
        <v>Yuvraj  Singh </v>
      </c>
      <c r="C191" s="276" t="str">
        <f>IFERROR(__xludf.DUMMYFUNCTION("""COMPUTED_VALUE"""),"Naaya Trade ")</f>
        <v>Naaya Trade </v>
      </c>
      <c r="D191" s="276" t="str">
        <f>IFERROR(__xludf.DUMMYFUNCTION("""COMPUTED_VALUE"""),"Lost")</f>
        <v>Lost</v>
      </c>
      <c r="E191" s="276" t="str">
        <f>IFERROR(__xludf.DUMMYFUNCTION("""COMPUTED_VALUE"""),"Andheri")</f>
        <v>Andheri</v>
      </c>
      <c r="F191" s="276" t="str">
        <f>IFERROR(__xludf.DUMMYFUNCTION("""COMPUTED_VALUE"""),"Andheri Sakinaka ")</f>
        <v>Andheri Sakinaka </v>
      </c>
      <c r="G191" s="276" t="str">
        <f>IFERROR(__xludf.DUMMYFUNCTION("""COMPUTED_VALUE"""),"Shubham ")</f>
        <v>Shubham </v>
      </c>
      <c r="H191" s="276" t="str">
        <f>IFERROR(__xludf.DUMMYFUNCTION("""COMPUTED_VALUE"""),"23rd: He said the requirement is fulfilled DND 19 feb: disconnected my call 17th Feb: Ringing, dropped a text 05th feb: Tried calling switched off. 29th Jan: Ringing, Dropped a text 27th Jan: He is busy on another call, engaging for fitouts opportunity. 4"&amp;"th Jan: Tried calling for fitouts opportuinity didn't answer, I have dropped a text. 23rd Jan: He got a meesage from the founder saying that they are looking for space on outright only, I have pitched for Fitouts 22nd Jan: I Tried Calling him but he is no"&amp;"t asnwering, I have dropped a text and email, I will ask andy to call him. 21st Jan: I tied calling but it was switched off. I am sending an follow up email. 20th Jan: Treid calling he didn't answer. I have dropped a text. 19th Jan: Tried calling him but "&amp;"didn't answer Dropped a Text. 15th Jan: He is on leave due to family emergency and has not checked the layout that we shared. Asked me to connect next week. 14th Jan: Tried calling he disconected the call, I have dropped him a text. 13th Jan: Tried callin"&amp;"g him for a follow up. He didn't answer I have dropped him a text. 12th Jan: I have shared the mock Layout as requested. 8th Jan: Spoke. I have shared the introductory mail will shortly  send the mock layouts and then he will visit.")</f>
        <v>23rd: He said the requirement is fulfilled DND 19 feb: disconnected my call 17th Feb: Ringing, dropped a text 05th feb: Tried calling switched off. 29th Jan: Ringing, Dropped a text 27th Jan: He is busy on another call, engaging for fitouts opportunity. 4th Jan: Tried calling for fitouts opportuinity didn't answer, I have dropped a text. 23rd Jan: He got a meesage from the founder saying that they are looking for space on outright only, I have pitched for Fitouts 22nd Jan: I Tried Calling him but he is not asnwering, I have dropped a text and email, I will ask andy to call him. 21st Jan: I tied calling but it was switched off. I am sending an follow up email. 20th Jan: Treid calling he didn't answer. I have dropped a text. 19th Jan: Tried calling him but didn't answer Dropped a Text. 15th Jan: He is on leave due to family emergency and has not checked the layout that we shared. Asked me to connect next week. 14th Jan: Tried calling he disconected the call, I have dropped him a text. 13th Jan: Tried calling him for a follow up. He didn't answer I have dropped him a text. 12th Jan: I have shared the mock Layout as requested. 8th Jan: Spoke. I have shared the introductory mail will shortly  send the mock layouts and then he will visit.</v>
      </c>
    </row>
    <row r="192">
      <c r="A192" s="276" t="str">
        <f>IFERROR(__xludf.DUMMYFUNCTION("""COMPUTED_VALUE"""),"8th Jan")</f>
        <v>8th Jan</v>
      </c>
      <c r="B192" s="276" t="str">
        <f>IFERROR(__xludf.DUMMYFUNCTION("""COMPUTED_VALUE"""),"Ashwin  Panchal ")</f>
        <v>Ashwin  Panchal </v>
      </c>
      <c r="C192" s="276" t="str">
        <f>IFERROR(__xludf.DUMMYFUNCTION("""COMPUTED_VALUE"""),"Visava Amusement Park &amp; Resorts")</f>
        <v>Visava Amusement Park &amp; Resorts</v>
      </c>
      <c r="D192" s="276" t="str">
        <f>IFERROR(__xludf.DUMMYFUNCTION("""COMPUTED_VALUE"""),"Lost")</f>
        <v>Lost</v>
      </c>
      <c r="E192" s="276" t="str">
        <f>IFERROR(__xludf.DUMMYFUNCTION("""COMPUTED_VALUE"""),"Andheri")</f>
        <v>Andheri</v>
      </c>
      <c r="F192" s="276" t="str">
        <f>IFERROR(__xludf.DUMMYFUNCTION("""COMPUTED_VALUE"""),"Andheri Sakinaka ")</f>
        <v>Andheri Sakinaka </v>
      </c>
      <c r="G192" s="276" t="str">
        <f>IFERROR(__xludf.DUMMYFUNCTION("""COMPUTED_VALUE"""),"Shubham ")</f>
        <v>Shubham </v>
      </c>
      <c r="H192" s="276" t="str">
        <f>IFERROR(__xludf.DUMMYFUNCTION("""COMPUTED_VALUE"""),"19th Spoke. He just kept the call saying already took office stop disturbing.16th Jan: Called him in 1st half not responding will ask andy to connect once.16th Jan: Called him second half didn't connect nor andy call has been answered 17th Jan: Ringing. d"&amp;"ropped a text. 15th Jan: Dropped a Follow up text. 14th Jan: Called him twice in 1st and 2nd half. He is not responding. 13th Jan: Tried calling from m personal number he didn't answer that as well. No reply from the texts. 12th Jan: Tried calling today d"&amp;"id not answer dropped a text. 9th Jan: Tried Calling Yesterday and today as well but did not answer the call. I have dropped him a text ")</f>
        <v>19th Spoke. He just kept the call saying already took office stop disturbing.16th Jan: Called him in 1st half not responding will ask andy to connect once.16th Jan: Called him second half didn't connect nor andy call has been answered 17th Jan: Ringing. dropped a text. 15th Jan: Dropped a Follow up text. 14th Jan: Called him twice in 1st and 2nd half. He is not responding. 13th Jan: Tried calling from m personal number he didn't answer that as well. No reply from the texts. 12th Jan: Tried calling today did not answer dropped a text. 9th Jan: Tried Calling Yesterday and today as well but did not answer the call. I have dropped him a text </v>
      </c>
    </row>
    <row r="193">
      <c r="A193" s="276" t="str">
        <f>IFERROR(__xludf.DUMMYFUNCTION("""COMPUTED_VALUE"""),"9th Jan")</f>
        <v>9th Jan</v>
      </c>
      <c r="B193" s="276" t="str">
        <f>IFERROR(__xludf.DUMMYFUNCTION("""COMPUTED_VALUE"""),"Neeraj  Jodhani ")</f>
        <v>Neeraj  Jodhani </v>
      </c>
      <c r="C193" s="276" t="str">
        <f>IFERROR(__xludf.DUMMYFUNCTION("""COMPUTED_VALUE"""),"Krishna Air Cargo ")</f>
        <v>Krishna Air Cargo </v>
      </c>
      <c r="D193" s="276"/>
      <c r="E193" s="276" t="str">
        <f>IFERROR(__xludf.DUMMYFUNCTION("""COMPUTED_VALUE"""),"Andheri")</f>
        <v>Andheri</v>
      </c>
      <c r="F193" s="276" t="str">
        <f>IFERROR(__xludf.DUMMYFUNCTION("""COMPUTED_VALUE"""),"Andheri Sakinaka ")</f>
        <v>Andheri Sakinaka </v>
      </c>
      <c r="G193" s="276" t="str">
        <f>IFERROR(__xludf.DUMMYFUNCTION("""COMPUTED_VALUE"""),"Shubham ")</f>
        <v>Shubham </v>
      </c>
      <c r="H193" s="276" t="str">
        <f>IFERROR(__xludf.DUMMYFUNCTION("""COMPUTED_VALUE"""),"16th Jan: Passed on to Shabbir. 13th Jan: Spoke. He already has a space in Marol Naka which is about 700 sqft. He wants to refurbish that. I requested for a meeting he said he is travelling call back on Friday 2nd half. 12th Jan: Tried calling today did n"&amp;"ot answer dropped a text.9th Jan: Tried Calling but did not answer the call. I have dropped him a text ")</f>
        <v>16th Jan: Passed on to Shabbir. 13th Jan: Spoke. He already has a space in Marol Naka which is about 700 sqft. He wants to refurbish that. I requested for a meeting he said he is travelling call back on Friday 2nd half. 12th Jan: Tried calling today did not answer dropped a text.9th Jan: Tried Calling but did not answer the call. I have dropped him a text </v>
      </c>
    </row>
    <row r="194">
      <c r="A194" s="276" t="str">
        <f>IFERROR(__xludf.DUMMYFUNCTION("""COMPUTED_VALUE"""),"10th Jan")</f>
        <v>10th Jan</v>
      </c>
      <c r="B194" s="276" t="str">
        <f>IFERROR(__xludf.DUMMYFUNCTION("""COMPUTED_VALUE"""),"Rekha  Upadyay")</f>
        <v>Rekha  Upadyay</v>
      </c>
      <c r="C194" s="276" t="str">
        <f>IFERROR(__xludf.DUMMYFUNCTION("""COMPUTED_VALUE"""),"Saffron Strings")</f>
        <v>Saffron Strings</v>
      </c>
      <c r="D194" s="276" t="str">
        <f>IFERROR(__xludf.DUMMYFUNCTION("""COMPUTED_VALUE"""),"Hold")</f>
        <v>Hold</v>
      </c>
      <c r="E194" s="276" t="str">
        <f>IFERROR(__xludf.DUMMYFUNCTION("""COMPUTED_VALUE"""),"Andheri")</f>
        <v>Andheri</v>
      </c>
      <c r="F194" s="276" t="str">
        <f>IFERROR(__xludf.DUMMYFUNCTION("""COMPUTED_VALUE"""),"Andheri West")</f>
        <v>Andheri West</v>
      </c>
      <c r="G194" s="276" t="str">
        <f>IFERROR(__xludf.DUMMYFUNCTION("""COMPUTED_VALUE"""),"Shubham ")</f>
        <v>Shubham </v>
      </c>
      <c r="H194" s="276" t="str">
        <f>IFERROR(__xludf.DUMMYFUNCTION("""COMPUTED_VALUE"""),"06 March: Spoke to Rekha ji, The requirement is still on hold 20 Feb: Ringing, Dropped a text 05th Feb: Called Abhishek from Admin team to touch base but he didn't answer my call, dropped a text. 24th Jan: Dropped an Mail saying your requirement is on hol"&amp;"d as disccussed with Abhishek. 21st Jan: Spoke. He said connect on Feb 1st week because there is not clarity from management yet. 19th Jan: Spoke. She gave me the number of Abhishek and he said they don't have an urgent requirement and I was pushing for a"&amp;" meeting he said they dont have a clear picture on the requirement so I wont be able to meet now but whenever their management give the clarity he will contact us. 17th Jan: She disconnected my call, I have asked for the number of Admin Manager Mr. Abhish"&amp;"ek. 16th Jan: Called her again in 1st half she is not replying, I have dropped a text asking for a virtual call which can help us understand the grade of the building, thier Move-in timeline and thier budget so we can curate the options accordingly. 14th "&amp;"Jan: I tried calling her she did't asnwer my call dropped her a text. 13th Jan: I have requested a call to understand thier budget or the grade of the building. 12th Jan: I haave shared an introductory mail over her mail. 10th Jan: Spoke. She mentioned he"&amp;"r requirement and the location preffered is near to their office in andheri west Aston Building ")</f>
        <v>06 March: Spoke to Rekha ji, The requirement is still on hold 20 Feb: Ringing, Dropped a text 05th Feb: Called Abhishek from Admin team to touch base but he didn't answer my call, dropped a text. 24th Jan: Dropped an Mail saying your requirement is on hold as disccussed with Abhishek. 21st Jan: Spoke. He said connect on Feb 1st week because there is not clarity from management yet. 19th Jan: Spoke. She gave me the number of Abhishek and he said they don't have an urgent requirement and I was pushing for a meeting he said they dont have a clear picture on the requirement so I wont be able to meet now but whenever their management give the clarity he will contact us. 17th Jan: She disconnected my call, I have asked for the number of Admin Manager Mr. Abhishek. 16th Jan: Called her again in 1st half she is not replying, I have dropped a text asking for a virtual call which can help us understand the grade of the building, thier Move-in timeline and thier budget so we can curate the options accordingly. 14th Jan: I tried calling her she did't asnwer my call dropped her a text. 13th Jan: I have requested a call to understand thier budget or the grade of the building. 12th Jan: I haave shared an introductory mail over her mail. 10th Jan: Spoke. She mentioned her requirement and the location preffered is near to their office in andheri west Aston Building </v>
      </c>
    </row>
    <row r="195">
      <c r="A195" s="276" t="str">
        <f>IFERROR(__xludf.DUMMYFUNCTION("""COMPUTED_VALUE"""),"10th Jan")</f>
        <v>10th Jan</v>
      </c>
      <c r="B195" s="276" t="str">
        <f>IFERROR(__xludf.DUMMYFUNCTION("""COMPUTED_VALUE"""),"Vinayak ")</f>
        <v>Vinayak </v>
      </c>
      <c r="C195" s="276" t="str">
        <f>IFERROR(__xludf.DUMMYFUNCTION("""COMPUTED_VALUE"""),"Vinayak Electricals ")</f>
        <v>Vinayak Electricals </v>
      </c>
      <c r="D195" s="276" t="str">
        <f>IFERROR(__xludf.DUMMYFUNCTION("""COMPUTED_VALUE"""),"Lost")</f>
        <v>Lost</v>
      </c>
      <c r="E195" s="276" t="str">
        <f>IFERROR(__xludf.DUMMYFUNCTION("""COMPUTED_VALUE"""),"Andheri")</f>
        <v>Andheri</v>
      </c>
      <c r="F195" s="276" t="str">
        <f>IFERROR(__xludf.DUMMYFUNCTION("""COMPUTED_VALUE"""),"Andheri Sakinaka ")</f>
        <v>Andheri Sakinaka </v>
      </c>
      <c r="G195" s="276" t="str">
        <f>IFERROR(__xludf.DUMMYFUNCTION("""COMPUTED_VALUE"""),"Shubham ")</f>
        <v>Shubham </v>
      </c>
      <c r="H195" s="276" t="str">
        <f>IFERROR(__xludf.DUMMYFUNCTION("""COMPUTED_VALUE"""),"14th Jan : Team said the budget of this client is very low can't proceed. 13th Jan: I will Talk to the team if we can do this at 70k . 12th Jan: Called him to explain what we do and we cant close this in such a low price and even asked for his mail he sai"&amp;"d send everything on Whatsapp. 10th Jan. Spoke he shared his requirement Sakinaka would work but their budget is 70k max can't go beyond that ")</f>
        <v>14th Jan : Team said the budget of this client is very low can't proceed. 13th Jan: I will Talk to the team if we can do this at 70k . 12th Jan: Called him to explain what we do and we cant close this in such a low price and even asked for his mail he said send everything on Whatsapp. 10th Jan. Spoke he shared his requirement Sakinaka would work but their budget is 70k max can't go beyond that </v>
      </c>
    </row>
    <row r="196">
      <c r="A196" s="276" t="str">
        <f>IFERROR(__xludf.DUMMYFUNCTION("""COMPUTED_VALUE"""),"11th Jan")</f>
        <v>11th Jan</v>
      </c>
      <c r="B196" s="276" t="str">
        <f>IFERROR(__xludf.DUMMYFUNCTION("""COMPUTED_VALUE"""),"Darrly Dsa")</f>
        <v>Darrly Dsa</v>
      </c>
      <c r="C196" s="276" t="str">
        <f>IFERROR(__xludf.DUMMYFUNCTION("""COMPUTED_VALUE"""),"Career Prerana ")</f>
        <v>Career Prerana </v>
      </c>
      <c r="D196" s="276" t="str">
        <f>IFERROR(__xludf.DUMMYFUNCTION("""COMPUTED_VALUE"""),"Lost")</f>
        <v>Lost</v>
      </c>
      <c r="E196" s="276" t="str">
        <f>IFERROR(__xludf.DUMMYFUNCTION("""COMPUTED_VALUE"""),"Andheri")</f>
        <v>Andheri</v>
      </c>
      <c r="F196" s="276" t="str">
        <f>IFERROR(__xludf.DUMMYFUNCTION("""COMPUTED_VALUE"""),"Andheri ")</f>
        <v>Andheri </v>
      </c>
      <c r="G196" s="276" t="str">
        <f>IFERROR(__xludf.DUMMYFUNCTION("""COMPUTED_VALUE"""),"Shubham ")</f>
        <v>Shubham </v>
      </c>
      <c r="H196" s="276" t="str">
        <f>IFERROR(__xludf.DUMMYFUNCTION("""COMPUTED_VALUE"""),"13th Jan: He was very rude on the call, he said where do you have your office. I said I have a space in sakinaka and if you want i can source more space as per your needs and wants he just kept the phone saying I dont want any space. 12th Jan: Called him "&amp;"again he didn't asnwer the call. 11th Jan: Called him he just kept the phone saying call me tomorrow ")</f>
        <v>13th Jan: He was very rude on the call, he said where do you have your office. I said I have a space in sakinaka and if you want i can source more space as per your needs and wants he just kept the phone saying I dont want any space. 12th Jan: Called him again he didn't asnwer the call. 11th Jan: Called him he just kept the phone saying call me tomorrow </v>
      </c>
    </row>
    <row r="197">
      <c r="A197" s="276" t="str">
        <f>IFERROR(__xludf.DUMMYFUNCTION("""COMPUTED_VALUE"""),"11th Jan")</f>
        <v>11th Jan</v>
      </c>
      <c r="B197" s="276" t="str">
        <f>IFERROR(__xludf.DUMMYFUNCTION("""COMPUTED_VALUE"""),"Santosh  Gavande ")</f>
        <v>Santosh  Gavande </v>
      </c>
      <c r="C197" s="276" t="str">
        <f>IFERROR(__xludf.DUMMYFUNCTION("""COMPUTED_VALUE"""),"Tally Solutions ")</f>
        <v>Tally Solutions </v>
      </c>
      <c r="D197" s="276" t="str">
        <f>IFERROR(__xludf.DUMMYFUNCTION("""COMPUTED_VALUE"""),"Cold")</f>
        <v>Cold</v>
      </c>
      <c r="E197" s="276" t="str">
        <f>IFERROR(__xludf.DUMMYFUNCTION("""COMPUTED_VALUE"""),"Andheri")</f>
        <v>Andheri</v>
      </c>
      <c r="F197" s="276" t="str">
        <f>IFERROR(__xludf.DUMMYFUNCTION("""COMPUTED_VALUE"""),"Andheri east ")</f>
        <v>Andheri east </v>
      </c>
      <c r="G197" s="276" t="str">
        <f>IFERROR(__xludf.DUMMYFUNCTION("""COMPUTED_VALUE"""),"Shubham ")</f>
        <v>Shubham </v>
      </c>
      <c r="H197" s="276" t="str">
        <f>IFERROR(__xludf.DUMMYFUNCTION("""COMPUTED_VALUE"""),"27 Feb: Ringing, dropped a text 19 Feb: Ringing, dropped a text 17 Feb: Santosh is busy in a meeting will call back 05th Feb: Tried calling the Admin guy and Santosh both didn't answer the call, dropped a text 23rd Jan: Spoke. I have pitched services and "&amp;"fitouts, he said sure if anything in that case comes through he will connect. 20th Jan: Tried calling him to pitch fitouts and services didn't asnwe my call. 17th Jan: I called him to a follow up he said the management is not looking for Managed office sp"&amp;"ace because all th office they have are landlords properties only.14th Jan: Met Harish Chawan (Admin manager from Tally solution)  yesterday at their office in Lotus Corporate Park. They have around 20 offices PAN-India and he shared a detailed requiremen"&amp;"t with the seat configuration. However, he is not very familiar with the managed office space model and will be discussing it internally with the management. He will update us latest by Saturday, first half. Also talk to Manju sir with regards to the same"&amp;" . 13th Jan: Spoke. He was just giving random numbers like 5000 sq.ft to 8000 sq.ft space. I have requested a meeting so we can understand their requirement better and also propose inventory  on the same. 12th Jan: Tried calling him didnot answer my call "&amp;"11th Jan: Andy spoke and he shared the requirement to him. I called him he said call after 4pm. After 4pm he did not answer my call. ")</f>
        <v>27 Feb: Ringing, dropped a text 19 Feb: Ringing, dropped a text 17 Feb: Santosh is busy in a meeting will call back 05th Feb: Tried calling the Admin guy and Santosh both didn't answer the call, dropped a text 23rd Jan: Spoke. I have pitched services and fitouts, he said sure if anything in that case comes through he will connect. 20th Jan: Tried calling him to pitch fitouts and services didn't asnwe my call. 17th Jan: I called him to a follow up he said the management is not looking for Managed office space because all th office they have are landlords properties only.14th Jan: Met Harish Chawan (Admin manager from Tally solution)  yesterday at their office in Lotus Corporate Park. They have around 20 offices PAN-India and he shared a detailed requirement with the seat configuration. However, he is not very familiar with the managed office space model and will be discussing it internally with the management. He will update us latest by Saturday, first half. Also talk to Manju sir with regards to the same . 13th Jan: Spoke. He was just giving random numbers like 5000 sq.ft to 8000 sq.ft space. I have requested a meeting so we can understand their requirement better and also propose inventory  on the same. 12th Jan: Tried calling him didnot answer my call 11th Jan: Andy spoke and he shared the requirement to him. I called him he said call after 4pm. After 4pm he did not answer my call. </v>
      </c>
    </row>
    <row r="198">
      <c r="A198" s="276" t="str">
        <f>IFERROR(__xludf.DUMMYFUNCTION("""COMPUTED_VALUE"""),"19th Jan")</f>
        <v>19th Jan</v>
      </c>
      <c r="B198" s="276" t="str">
        <f>IFERROR(__xludf.DUMMYFUNCTION("""COMPUTED_VALUE"""),"Dharmesh  Popat ")</f>
        <v>Dharmesh  Popat </v>
      </c>
      <c r="C198" s="276" t="str">
        <f>IFERROR(__xludf.DUMMYFUNCTION("""COMPUTED_VALUE"""),"Central Books ")</f>
        <v>Central Books </v>
      </c>
      <c r="D198" s="276" t="str">
        <f>IFERROR(__xludf.DUMMYFUNCTION("""COMPUTED_VALUE"""),"Warm")</f>
        <v>Warm</v>
      </c>
      <c r="E198" s="276" t="str">
        <f>IFERROR(__xludf.DUMMYFUNCTION("""COMPUTED_VALUE"""),"Andheri")</f>
        <v>Andheri</v>
      </c>
      <c r="F198" s="276" t="str">
        <f>IFERROR(__xludf.DUMMYFUNCTION("""COMPUTED_VALUE"""),"Andheri east ")</f>
        <v>Andheri east </v>
      </c>
      <c r="G198" s="276" t="str">
        <f>IFERROR(__xludf.DUMMYFUNCTION("""COMPUTED_VALUE"""),"Shubham ")</f>
        <v>Shubham </v>
      </c>
      <c r="H198" s="276" t="str">
        <f>IFERROR(__xludf.DUMMYFUNCTION("""COMPUTED_VALUE"""),"26 May: Ringing, dropped a text 13 Mach: Ringing, dropped a text 10 March: Ringing, dropped a text 06 March : Ringing, dropped a Text 02 March: Ringing Dropped a Text 27 March: Ringing, dropped a text 25 Feb: He said currently he is not having time becaus"&amp;"e of his business will mostly visit after MArch meawhile if he get a window of 1 Hour He will try to visit 16th Feb: Spoke to Dharmesh he said this is the peak season of their business and is unable to take out time, he said he will check whenever he gets"&amp;" a bracket of 1 hour he will visit 06th Feb: Tried calling him he is busy on another call, dropped a Text and will call after sometime. 05th Feb: Took a Follow up he has asked for the location and said will visit in 2 days 04th Feb: Busy on another call d"&amp;"ropped a text 03rd Feb: He disconnected my call 02nd feb: He said he is very caught up with work and didn't get a chance to visit, he mentioned that he will plan and let me know for tomorrow, so I am pushing for tomorrow 30th Jan: Tried Caling twice has n"&amp;"ot replied, dropped a text 29th Jan: Tried calling him, didn't asnwer as he mentioned he is not in town and will return today, will reachout again in second half.  27th Jan: Tried calling him in the first half, he didn't answer. I have dropped a message a"&amp;"s well as a reminder mail to aling the site inspepction, will call in second half as well. He called me back saying he is not in town and will be able to visit on 29th or 30th Jan. 24th Jan: Spoke. He has asked me to send the layout over whatsapp and will"&amp;" discuss this with the management most likely to visit on Tuesday o Wednesday 22nd Jan: I have Dropped him a text today as he mentioned he is occupied in other task. Pushing for a visit . 21st Jan:Tried Calling he is busy on a call. Taking a follow up on "&amp;"the layout and the visit . Spoke he has not seen the layout yet as he is occupied will check and revert. 20th Jan: Shared introductory mail as well as the first cut layouts. 19th Jan: Spoke. They are looking for 15-20, 1 conference of 6-8 seats and 2 cabi"&amp;"ns. Pitched 3i Sakinaka he is ok with the shared space. will take mail ID from marketing and share introductory deck as well as the mock layout accordingly.")</f>
        <v>26 May: Ringing, dropped a text 13 Mach: Ringing, dropped a text 10 March: Ringing, dropped a text 06 March : Ringing, dropped a Text 02 March: Ringing Dropped a Text 27 March: Ringing, dropped a text 25 Feb: He said currently he is not having time because of his business will mostly visit after MArch meawhile if he get a window of 1 Hour He will try to visit 16th Feb: Spoke to Dharmesh he said this is the peak season of their business and is unable to take out time, he said he will check whenever he gets a bracket of 1 hour he will visit 06th Feb: Tried calling him he is busy on another call, dropped a Text and will call after sometime. 05th Feb: Took a Follow up he has asked for the location and said will visit in 2 days 04th Feb: Busy on another call dropped a text 03rd Feb: He disconnected my call 02nd feb: He said he is very caught up with work and didn't get a chance to visit, he mentioned that he will plan and let me know for tomorrow, so I am pushing for tomorrow 30th Jan: Tried Caling twice has not replied, dropped a text 29th Jan: Tried calling him, didn't asnwer as he mentioned he is not in town and will return today, will reachout again in second half.  27th Jan: Tried calling him in the first half, he didn't answer. I have dropped a message as well as a reminder mail to aling the site inspepction, will call in second half as well. He called me back saying he is not in town and will be able to visit on 29th or 30th Jan. 24th Jan: Spoke. He has asked me to send the layout over whatsapp and will discuss this with the management most likely to visit on Tuesday o Wednesday 22nd Jan: I have Dropped him a text today as he mentioned he is occupied in other task. Pushing for a visit . 21st Jan:Tried Calling he is busy on a call. Taking a follow up on the layout and the visit . Spoke he has not seen the layout yet as he is occupied will check and revert. 20th Jan: Shared introductory mail as well as the first cut layouts. 19th Jan: Spoke. They are looking for 15-20, 1 conference of 6-8 seats and 2 cabins. Pitched 3i Sakinaka he is ok with the shared space. will take mail ID from marketing and share introductory deck as well as the mock layout accordingly.</v>
      </c>
    </row>
    <row r="199">
      <c r="A199" s="276" t="str">
        <f>IFERROR(__xludf.DUMMYFUNCTION("""COMPUTED_VALUE"""),"19th Jan")</f>
        <v>19th Jan</v>
      </c>
      <c r="B199" s="276" t="str">
        <f>IFERROR(__xludf.DUMMYFUNCTION("""COMPUTED_VALUE"""),"George  Chemban")</f>
        <v>George  Chemban</v>
      </c>
      <c r="C199" s="276" t="str">
        <f>IFERROR(__xludf.DUMMYFUNCTION("""COMPUTED_VALUE"""),"The wisdom Club ")</f>
        <v>The wisdom Club </v>
      </c>
      <c r="D199" s="276" t="str">
        <f>IFERROR(__xludf.DUMMYFUNCTION("""COMPUTED_VALUE"""),"Lost")</f>
        <v>Lost</v>
      </c>
      <c r="E199" s="276" t="str">
        <f>IFERROR(__xludf.DUMMYFUNCTION("""COMPUTED_VALUE"""),"Andheri")</f>
        <v>Andheri</v>
      </c>
      <c r="F199" s="276" t="str">
        <f>IFERROR(__xludf.DUMMYFUNCTION("""COMPUTED_VALUE"""),"Andheri East ")</f>
        <v>Andheri East </v>
      </c>
      <c r="G199" s="276" t="str">
        <f>IFERROR(__xludf.DUMMYFUNCTION("""COMPUTED_VALUE"""),"Shubham ")</f>
        <v>Shubham </v>
      </c>
      <c r="H199" s="276" t="str">
        <f>IFERROR(__xludf.DUMMYFUNCTION("""COMPUTED_VALUE"""),"17 feb: Spoke he said he has already got a space in Vile parle and its a fitted out space under 50k doesn't need anything 05th Feb: Ringing, Dropped a text 29th Jan: Tried calling him to pitch Landmark option, didn't answer, I have dropped a text 20th Jan"&amp;": Took follow up he said he doesn't want sakinaka as he discussed the space with the team anything close to vile parle station would work for him. 19th Jan: Layout shared over mail. 19th Jan: Spoke. They are looking for 6-8 seats enclosed space thats is o"&amp;"f about 200-300 sq.ft and he said my budget is around 70k, will send the introductory deck and layout accordingly ")</f>
        <v>17 feb: Spoke he said he has already got a space in Vile parle and its a fitted out space under 50k doesn't need anything 05th Feb: Ringing, Dropped a text 29th Jan: Tried calling him to pitch Landmark option, didn't answer, I have dropped a text 20th Jan: Took follow up he said he doesn't want sakinaka as he discussed the space with the team anything close to vile parle station would work for him. 19th Jan: Layout shared over mail. 19th Jan: Spoke. They are looking for 6-8 seats enclosed space thats is of about 200-300 sq.ft and he said my budget is around 70k, will send the introductory deck and layout accordingly </v>
      </c>
    </row>
    <row r="200">
      <c r="A200" s="276" t="str">
        <f>IFERROR(__xludf.DUMMYFUNCTION("""COMPUTED_VALUE"""),"19th Jan")</f>
        <v>19th Jan</v>
      </c>
      <c r="B200" s="276" t="str">
        <f>IFERROR(__xludf.DUMMYFUNCTION("""COMPUTED_VALUE"""),"Bonventure  Chedda ")</f>
        <v>Bonventure  Chedda </v>
      </c>
      <c r="C200" s="276" t="str">
        <f>IFERROR(__xludf.DUMMYFUNCTION("""COMPUTED_VALUE"""),"Neowiz Events ")</f>
        <v>Neowiz Events </v>
      </c>
      <c r="D200" s="276" t="str">
        <f>IFERROR(__xludf.DUMMYFUNCTION("""COMPUTED_VALUE"""),"Lost")</f>
        <v>Lost</v>
      </c>
      <c r="E200" s="276" t="str">
        <f>IFERROR(__xludf.DUMMYFUNCTION("""COMPUTED_VALUE"""),"Andheri")</f>
        <v>Andheri</v>
      </c>
      <c r="F200" s="276" t="str">
        <f>IFERROR(__xludf.DUMMYFUNCTION("""COMPUTED_VALUE"""),"Andheri West ")</f>
        <v>Andheri West </v>
      </c>
      <c r="G200" s="276" t="str">
        <f>IFERROR(__xludf.DUMMYFUNCTION("""COMPUTED_VALUE"""),"Shubham ")</f>
        <v>Shubham </v>
      </c>
      <c r="H200" s="276" t="str">
        <f>IFERROR(__xludf.DUMMYFUNCTION("""COMPUTED_VALUE"""),"27th He replied saying the interiors is in landlords scope, I have pitched for Services, just for a sake of Goodwill.  24th Jan: I tried calling him, he didn't answer I have dropped a text. 22nd Jan: He texted me saying their team has got a place. I have "&amp;"asked if there is any chance for us Fitouts. 21st Jan: Tried calling him, he disconnected my call, dropped a text. 20th Jan: I tried calling him he disconnected. Called him in the second half as well, he didn't answer I have dropped him a text. 19th Jan: "&amp;"Spoke. They are in touch with multiple local brokers in Andheri West. He shared with me the details of their requirement but however when I was talking to him and explaning what we do, he mentioned that this is not what he is looking at and wants landlord"&amp;"s conventional space. But will call back tomorrow as he was in rush and asked me to connect tomorrow ")</f>
        <v>27th He replied saying the interiors is in landlords scope, I have pitched for Services, just for a sake of Goodwill.  24th Jan: I tried calling him, he didn't answer I have dropped a text. 22nd Jan: He texted me saying their team has got a place. I have asked if there is any chance for us Fitouts. 21st Jan: Tried calling him, he disconnected my call, dropped a text. 20th Jan: I tried calling him he disconnected. Called him in the second half as well, he didn't answer I have dropped him a text. 19th Jan: Spoke. They are in touch with multiple local brokers in Andheri West. He shared with me the details of their requirement but however when I was talking to him and explaning what we do, he mentioned that this is not what he is looking at and wants landlords conventional space. But will call back tomorrow as he was in rush and asked me to connect tomorrow </v>
      </c>
    </row>
    <row r="201">
      <c r="A201" s="276" t="str">
        <f>IFERROR(__xludf.DUMMYFUNCTION("""COMPUTED_VALUE"""),"17th Jan")</f>
        <v>17th Jan</v>
      </c>
      <c r="B201" s="276" t="str">
        <f>IFERROR(__xludf.DUMMYFUNCTION("""COMPUTED_VALUE"""),"Shripad  Desai ")</f>
        <v>Shripad  Desai </v>
      </c>
      <c r="C201" s="276" t="str">
        <f>IFERROR(__xludf.DUMMYFUNCTION("""COMPUTED_VALUE"""),"Indostar Home finance ")</f>
        <v>Indostar Home finance </v>
      </c>
      <c r="D201" s="276" t="str">
        <f>IFERROR(__xludf.DUMMYFUNCTION("""COMPUTED_VALUE"""),"Cold")</f>
        <v>Cold</v>
      </c>
      <c r="E201" s="276" t="str">
        <f>IFERROR(__xludf.DUMMYFUNCTION("""COMPUTED_VALUE"""),"Andheri")</f>
        <v>Andheri</v>
      </c>
      <c r="F201" s="276" t="str">
        <f>IFERROR(__xludf.DUMMYFUNCTION("""COMPUTED_VALUE"""),"Andheri East ")</f>
        <v>Andheri East </v>
      </c>
      <c r="G201" s="276" t="str">
        <f>IFERROR(__xludf.DUMMYFUNCTION("""COMPUTED_VALUE"""),"Shubham ")</f>
        <v>Shubham </v>
      </c>
      <c r="H201" s="276" t="str">
        <f>IFERROR(__xludf.DUMMYFUNCTION("""COMPUTED_VALUE"""),"10 March: Ringing, Dropped a Text 06 March: Ringing, Dropped a Text 02nd MArch: Ringing, Dropped a Text 27 Feb: Dharmendra said the requirement is on hold and Shripad said he is travelling and will be back tomorrow so touch base either tomorrow with him o"&amp;"r on Monday  17 Feb: Tried calling Shripad he is not answering Will ask mehul sir to call Shripad and Dharmendra both. Spoke. Mehul sir he is not giving meeting as is he already under negotitation for a conventional office 16th Feb: Ringing, dropped a tex"&amp;"t, Called again he said they are already in discussion for a conventional space with a party I asked which building he said can't share it now and he said if anything comes up he will call and disconnected the call. 13th: He said he is busy call back on m"&amp;"onday 11th Feb: He is not answering, dropped a text 09th Feb: Ringing, Dropped a text. 06th Feb: Shared the Second cut inventory options as discussed 05th Feb: Spoke to Darmendra ji, he is saying now the requirement is for 10k-12k sqft carpet offered Loca"&amp;"tion is from Western Express Highway to Chakala only 04th Feb: He replied on text saying lets connect tomorrow 02nd Feb: Tried calling he is not answering, I have dropped a text 30th Jan: Tried calling both didn't answer, I will drop a follow up email and"&amp;" message 29th Jan: Spoke to Dharmendra he said he will check and let us know the timings for inspection today. Also Spoke to Shripad ji for the same. 28th Jan: Spoke to Dharmendra he said he is not keeping well and has not checked the options will check a"&amp;"nd revert 27th Jan: Spoke to Dharmendra, he is saying he has not checked the options yet will check and and then we can get over a call because he has already scouted the micro market. 24th Jan: Took a follow up with Shripad, He is occupied rightnow will "&amp;"call back in sometime. Spoke with Shripad he said, he has forwarded the mail to Mr. Dharmendra he is the right POC, Spoke to Dharmendra as well but is not in office today connect next week. 22nd Jan : Sent the deck .21st Jan: Vinamra gave options will sen"&amp;"d the deck   20th Jan: I have asked Vinamra to send the options. 19th Jan: Dharmendar called me the Admin Manager and gave me the detail brief of the requirement. They need 8k-10 sqft carpet in the same location mentioned by Shripad. I explained him what "&amp;"we do and asked for a meeting he said sure will connect let me just ask Management and get a heads up because he will also have to ask the managment and then will meet. I asked for the budget he said not yet decided. Next steps source properties for the s"&amp;"ame. 17th Jan: Spoke to Shripad he was not having the detailed requirement as he is not the correct POC. shared introductory mail asking for Admin contact. But he mentioned he wants 8k sq.ft from Kanakia wallstreet to Airport road")</f>
        <v>10 March: Ringing, Dropped a Text 06 March: Ringing, Dropped a Text 02nd MArch: Ringing, Dropped a Text 27 Feb: Dharmendra said the requirement is on hold and Shripad said he is travelling and will be back tomorrow so touch base either tomorrow with him or on Monday  17 Feb: Tried calling Shripad he is not answering Will ask mehul sir to call Shripad and Dharmendra both. Spoke. Mehul sir he is not giving meeting as is he already under negotitation for a conventional office 16th Feb: Ringing, dropped a text, Called again he said they are already in discussion for a conventional space with a party I asked which building he said can't share it now and he said if anything comes up he will call and disconnected the call. 13th: He said he is busy call back on monday 11th Feb: He is not answering, dropped a text 09th Feb: Ringing, Dropped a text. 06th Feb: Shared the Second cut inventory options as discussed 05th Feb: Spoke to Darmendra ji, he is saying now the requirement is for 10k-12k sqft carpet offered Location is from Western Express Highway to Chakala only 04th Feb: He replied on text saying lets connect tomorrow 02nd Feb: Tried calling he is not answering, I have dropped a text 30th Jan: Tried calling both didn't answer, I will drop a follow up email and message 29th Jan: Spoke to Dharmendra he said he will check and let us know the timings for inspection today. Also Spoke to Shripad ji for the same. 28th Jan: Spoke to Dharmendra he said he is not keeping well and has not checked the options will check and revert 27th Jan: Spoke to Dharmendra, he is saying he has not checked the options yet will check and and then we can get over a call because he has already scouted the micro market. 24th Jan: Took a follow up with Shripad, He is occupied rightnow will call back in sometime. Spoke with Shripad he said, he has forwarded the mail to Mr. Dharmendra he is the right POC, Spoke to Dharmendra as well but is not in office today connect next week. 22nd Jan : Sent the deck .21st Jan: Vinamra gave options will send the deck   20th Jan: I have asked Vinamra to send the options. 19th Jan: Dharmendar called me the Admin Manager and gave me the detail brief of the requirement. They need 8k-10 sqft carpet in the same location mentioned by Shripad. I explained him what we do and asked for a meeting he said sure will connect let me just ask Management and get a heads up because he will also have to ask the managment and then will meet. I asked for the budget he said not yet decided. Next steps source properties for the same. 17th Jan: Spoke to Shripad he was not having the detailed requirement as he is not the correct POC. shared introductory mail asking for Admin contact. But he mentioned he wants 8k sq.ft from Kanakia wallstreet to Airport road</v>
      </c>
    </row>
    <row r="202">
      <c r="A202" s="400">
        <f>IFERROR(__xludf.DUMMYFUNCTION("""COMPUTED_VALUE"""),46043.0)</f>
        <v>46043</v>
      </c>
      <c r="B202" s="276" t="str">
        <f>IFERROR(__xludf.DUMMYFUNCTION("""COMPUTED_VALUE"""),"Abbas  Shaikh ")</f>
        <v>Abbas  Shaikh </v>
      </c>
      <c r="C202" s="276" t="str">
        <f>IFERROR(__xludf.DUMMYFUNCTION("""COMPUTED_VALUE"""),"27 Feb: Tried calling he disconnected my call and texted saying in a meeting 23 Feb: Shared the details of the Sakinaka as requested he asked to wait till Saturday so he management can come back 17th Feb: Spoke to Himanshu he is back today from leave and "&amp;"will check the layout and discuss internally and get back to us by EOD 16th Feb: Tried calling himanshu, Ringing Dropped a text. Abbas ji said Himanshu is leading and is currently on leave for a wedding, We also share the layout for the landmark 06th Feb:"&amp;" Shared the mock layout for CNB Square and spoke to Himanshu he said they are also considering CNB Square as a better option, meanwhile we have to create mock layout for Landmark Ground floor as well but the landlord doesn't have the drawing for the same,"&amp;" discuss this with team either if we can give 6th floor half or ground floor to send someone 03rd Feb: The team visited we showed them Landmark, CNB square and AFL house, Layout to mode for CNB Square and landmark 02nd Feb: We have a site visit tomorrow 3"&amp;"0th Jan: Shared the inventory over mail tried calling Abbas &amp; Himanshu didn't answer my call. Called again we will be doing a virtual call tomorrow with the client around after 12 pm. 29th Jan: Tried calling Himanshu and Abbas both didn't answer the call "&amp;"wanted to understand their budget, but nonthe less I will share the options with him focusing on landmark more. 27th Jan: Tried calling Abbas he disconnected my call, then I tried calling Himanshu the ADMIN POC, didn't connect (Understand their budget and"&amp;" the grade of building) dropped a text to both. 24th Jan: Awating for options, Tried calling the client as well to understand their budget and the grade he didn't answer 22nd Jan: Shared requirement With vinamra. 21stJan: Spoke. They have thier office in "&amp;"Sakinaka and are planning to move from there and take office from Andheri Railway Station  Chakala of the requirement mentioned. He shared me the number of his Admin Person Mr. Himanshu spoke to him as well he shared me the details and will let us know ab"&amp;"out the virtual call. Shared this requirement with vinamra for options ")</f>
        <v>27 Feb: Tried calling he disconnected my call and texted saying in a meeting 23 Feb: Shared the details of the Sakinaka as requested he asked to wait till Saturday so he management can come back 17th Feb: Spoke to Himanshu he is back today from leave and will check the layout and discuss internally and get back to us by EOD 16th Feb: Tried calling himanshu, Ringing Dropped a text. Abbas ji said Himanshu is leading and is currently on leave for a wedding, We also share the layout for the landmark 06th Feb: Shared the mock layout for CNB Square and spoke to Himanshu he said they are also considering CNB Square as a better option, meanwhile we have to create mock layout for Landmark Ground floor as well but the landlord doesn't have the drawing for the same, discuss this with team either if we can give 6th floor half or ground floor to send someone 03rd Feb: The team visited we showed them Landmark, CNB square and AFL house, Layout to mode for CNB Square and landmark 02nd Feb: We have a site visit tomorrow 30th Jan: Shared the inventory over mail tried calling Abbas &amp; Himanshu didn't answer my call. Called again we will be doing a virtual call tomorrow with the client around after 12 pm. 29th Jan: Tried calling Himanshu and Abbas both didn't answer the call wanted to understand their budget, but nonthe less I will share the options with him focusing on landmark more. 27th Jan: Tried calling Abbas he disconnected my call, then I tried calling Himanshu the ADMIN POC, didn't connect (Understand their budget and the grade of building) dropped a text to both. 24th Jan: Awating for options, Tried calling the client as well to understand their budget and the grade he didn't answer 22nd Jan: Shared requirement With vinamra. 21stJan: Spoke. They have thier office in Sakinaka and are planning to move from there and take office from Andheri Railway Station  Chakala of the requirement mentioned. He shared me the number of his Admin Person Mr. Himanshu spoke to him as well he shared me the details and will let us know about the virtual call. Shared this requirement with vinamra for options </v>
      </c>
      <c r="D202" s="276" t="str">
        <f>IFERROR(__xludf.DUMMYFUNCTION("""COMPUTED_VALUE"""),"Hot")</f>
        <v>Hot</v>
      </c>
      <c r="E202" s="276" t="str">
        <f>IFERROR(__xludf.DUMMYFUNCTION("""COMPUTED_VALUE"""),"Andheri")</f>
        <v>Andheri</v>
      </c>
      <c r="F202" s="276" t="str">
        <f>IFERROR(__xludf.DUMMYFUNCTION("""COMPUTED_VALUE"""),"Andheri East ")</f>
        <v>Andheri East </v>
      </c>
      <c r="G202" s="276" t="str">
        <f>IFERROR(__xludf.DUMMYFUNCTION("""COMPUTED_VALUE"""),"Shubham ")</f>
        <v>Shubham </v>
      </c>
      <c r="H202" s="276" t="str">
        <f>IFERROR(__xludf.DUMMYFUNCTION("""COMPUTED_VALUE"""),"26 May: Ringing, dropped a text 25 May: Ringing, dropped a text 13 Mach: Ringing, dropped a text 09 March: I went to their office and due to war situation they are unable to focus on Growth 06 March: Ringing, Dropped a Text 02 March: Spoke. Due to war the"&amp;"y have alot workload Could't focus on this asked me to connect on Friday 27 Feb: Himanshu disconnected my call and Texted saying currently in Meeting 23 Feb: Shared the details of the Sakinaka as requested he asked to wait till Saturday so he management c"&amp;"an come back 17th Feb: Spoke to Himanshu he is back today from leave and will check the layout and discuss internally and get back to us by EOD 16th Feb: Tried calling himanshu, Ringing Dropped a text. Abbas ji said Himanshu is leading and is currently on"&amp;" leave for a wedding, We also share the layout for the landmark 06th Feb: Shared the mock layout for CNB Square and spoke to Himanshu he said they are also considering CNB Square as a better option, meanwhile we have to create mock layout for Landmark Gro"&amp;"und floor as well but the landlord doesn't have the drawing for the same, discuss this with team either if we can give 6th floor half or ground floor to send someone 03rd Feb: The team visited we showed them Landmark, CNB square and AFL house, Layout to m"&amp;"ode for CNB Square and landmark 02nd Feb: We have a site visit tomorrow 30th Jan: Shared the inventory over mail tried calling Abbas &amp; Himanshu didn't answer my call. Called again we will be doing a virtual call tomorrow with the client around after 12 pm"&amp;". 29th Jan: Tried calling Himanshu and Abbas both didn't answer the call wanted to understand their budget, but nonthe less I will share the options with him focusing on landmark more. 27th Jan: Tried calling Abbas he disconnected my call, then I tried ca"&amp;"lling Himanshu the ADMIN POC, didn't connect (Understand their budget and the grade of building) dropped a text to both. 24th Jan: Awating for options, Tried calling the client as well to understand their budget and the grade he didn't answer 22nd Jan: Sh"&amp;"ared requirement With vinamra. 21stJan: Spoke. They have thier office in Sakinaka and are planning to move from there and take office from Andheri Railway Station  Chakala of the requirement mentioned. He shared me the number of his Admin Person Mr. Himan"&amp;"shu spoke to him as well he shared me the details and will let us know about the virtual call. Shared this requirement with vinamra for options ")</f>
        <v>26 May: Ringing, dropped a text 25 May: Ringing, dropped a text 13 Mach: Ringing, dropped a text 09 March: I went to their office and due to war situation they are unable to focus on Growth 06 March: Ringing, Dropped a Text 02 March: Spoke. Due to war they have alot workload Could't focus on this asked me to connect on Friday 27 Feb: Himanshu disconnected my call and Texted saying currently in Meeting 23 Feb: Shared the details of the Sakinaka as requested he asked to wait till Saturday so he management can come back 17th Feb: Spoke to Himanshu he is back today from leave and will check the layout and discuss internally and get back to us by EOD 16th Feb: Tried calling himanshu, Ringing Dropped a text. Abbas ji said Himanshu is leading and is currently on leave for a wedding, We also share the layout for the landmark 06th Feb: Shared the mock layout for CNB Square and spoke to Himanshu he said they are also considering CNB Square as a better option, meanwhile we have to create mock layout for Landmark Ground floor as well but the landlord doesn't have the drawing for the same, discuss this with team either if we can give 6th floor half or ground floor to send someone 03rd Feb: The team visited we showed them Landmark, CNB square and AFL house, Layout to mode for CNB Square and landmark 02nd Feb: We have a site visit tomorrow 30th Jan: Shared the inventory over mail tried calling Abbas &amp; Himanshu didn't answer my call. Called again we will be doing a virtual call tomorrow with the client around after 12 pm. 29th Jan: Tried calling Himanshu and Abbas both didn't answer the call wanted to understand their budget, but nonthe less I will share the options with him focusing on landmark more. 27th Jan: Tried calling Abbas he disconnected my call, then I tried calling Himanshu the ADMIN POC, didn't connect (Understand their budget and the grade of building) dropped a text to both. 24th Jan: Awating for options, Tried calling the client as well to understand their budget and the grade he didn't answer 22nd Jan: Shared requirement With vinamra. 21stJan: Spoke. They have thier office in Sakinaka and are planning to move from there and take office from Andheri Railway Station  Chakala of the requirement mentioned. He shared me the number of his Admin Person Mr. Himanshu spoke to him as well he shared me the details and will let us know about the virtual call. Shared this requirement with vinamra for options </v>
      </c>
    </row>
    <row r="203">
      <c r="A203" s="400">
        <f>IFERROR(__xludf.DUMMYFUNCTION("""COMPUTED_VALUE"""),46043.0)</f>
        <v>46043</v>
      </c>
      <c r="B203" s="276" t="str">
        <f>IFERROR(__xludf.DUMMYFUNCTION("""COMPUTED_VALUE"""),"Uday Vijayan ")</f>
        <v>Uday Vijayan </v>
      </c>
      <c r="C203" s="276" t="str">
        <f>IFERROR(__xludf.DUMMYFUNCTION("""COMPUTED_VALUE"""),"Excel Software &amp; Systems Pvt. Ltd., Mumbai")</f>
        <v>Excel Software &amp; Systems Pvt. Ltd., Mumbai</v>
      </c>
      <c r="D203" s="276" t="str">
        <f>IFERROR(__xludf.DUMMYFUNCTION("""COMPUTED_VALUE"""),"Cold")</f>
        <v>Cold</v>
      </c>
      <c r="E203" s="276" t="str">
        <f>IFERROR(__xludf.DUMMYFUNCTION("""COMPUTED_VALUE"""),"Andheri")</f>
        <v>Andheri</v>
      </c>
      <c r="F203" s="276" t="str">
        <f>IFERROR(__xludf.DUMMYFUNCTION("""COMPUTED_VALUE"""),"Andheri ")</f>
        <v>Andheri </v>
      </c>
      <c r="G203" s="276" t="str">
        <f>IFERROR(__xludf.DUMMYFUNCTION("""COMPUTED_VALUE"""),"Shubham ")</f>
        <v>Shubham </v>
      </c>
      <c r="H203" s="276" t="str">
        <f>IFERROR(__xludf.DUMMYFUNCTION("""COMPUTED_VALUE"""),"05th Feb: Spoke today as well but he is stuck with the budget and wants it under 1 lakh 29th Jan: Tried calling to pitch Landmark &amp; sakinaka, but he mentioned that thier budget is below 1 lakh ad wants a space near MIDC he don't want to go to sakinaka bec"&amp;"ause he used to own office there and want to avoid that building. Discuss this with the team 27th Jan: Spoke he said he is not looking for a managed office space just a space even if the space is bareshell he can do the fitouts. I strongly pitched sakinak"&amp;"a, but he doesn't wants to go there, any space closer to the metro station before Marol works for him. Budget not more then Rs. 1 lakh. 24th Jan: Ringing, dropped a text 22nd Jan: Tried calling he didn't answer will drop a text. 21st Jan: Tried calling hi"&amp;"m didn't connect, dropped a text")</f>
        <v>05th Feb: Spoke today as well but he is stuck with the budget and wants it under 1 lakh 29th Jan: Tried calling to pitch Landmark &amp; sakinaka, but he mentioned that thier budget is below 1 lakh ad wants a space near MIDC he don't want to go to sakinaka because he used to own office there and want to avoid that building. Discuss this with the team 27th Jan: Spoke he said he is not looking for a managed office space just a space even if the space is bareshell he can do the fitouts. I strongly pitched sakinaka, but he doesn't wants to go there, any space closer to the metro station before Marol works for him. Budget not more then Rs. 1 lakh. 24th Jan: Ringing, dropped a text 22nd Jan: Tried calling he didn't answer will drop a text. 21st Jan: Tried calling him didn't connect, dropped a text</v>
      </c>
    </row>
    <row r="204">
      <c r="A204" s="400">
        <f>IFERROR(__xludf.DUMMYFUNCTION("""COMPUTED_VALUE"""),46043.0)</f>
        <v>46043</v>
      </c>
      <c r="B204" s="276" t="str">
        <f>IFERROR(__xludf.DUMMYFUNCTION("""COMPUTED_VALUE"""),"Rajan  Jadhav ")</f>
        <v>Rajan  Jadhav </v>
      </c>
      <c r="C204" s="276" t="str">
        <f>IFERROR(__xludf.DUMMYFUNCTION("""COMPUTED_VALUE"""),"creative Hub")</f>
        <v>creative Hub</v>
      </c>
      <c r="D204" s="276" t="str">
        <f>IFERROR(__xludf.DUMMYFUNCTION("""COMPUTED_VALUE"""),"Cold")</f>
        <v>Cold</v>
      </c>
      <c r="E204" s="276" t="str">
        <f>IFERROR(__xludf.DUMMYFUNCTION("""COMPUTED_VALUE"""),"Andheri")</f>
        <v>Andheri</v>
      </c>
      <c r="F204" s="276" t="str">
        <f>IFERROR(__xludf.DUMMYFUNCTION("""COMPUTED_VALUE"""),"Andheri ")</f>
        <v>Andheri </v>
      </c>
      <c r="G204" s="276" t="str">
        <f>IFERROR(__xludf.DUMMYFUNCTION("""COMPUTED_VALUE"""),"Shubham ")</f>
        <v>Shubham </v>
      </c>
      <c r="H204" s="276" t="str">
        <f>IFERROR(__xludf.DUMMYFUNCTION("""COMPUTED_VALUE"""),"10 March: Ringing, Dropped a Text 06 March: Ringing, Dropped a Text 02nd MArch: Ringing, Dropped a Text 27 Feb: Ringing, Dropped a Text 23 Feb: Ringing, Dropped a Text 19 Feb: Ringing, Dropped a Text 13 Feb: Ringing, Dropped a Text 06th Feb: Tried Calling"&amp;" Didn't answer Dropped a Text 05th Feb: Ringing, dropped a text. 29th Jan: Tried calling today as well, he is not answering, Dropped a text and will ask andy to call 27th Jan: He is not asnwering my calls and text 24th Jan: He disconnected my call, droppe"&amp;"d a text 22nd Jan: Tried calling he didn't answer will drop a text. 21st Jan: Tried calling him didn't Answer will, dropped a text")</f>
        <v>10 March: Ringing, Dropped a Text 06 March: Ringing, Dropped a Text 02nd MArch: Ringing, Dropped a Text 27 Feb: Ringing, Dropped a Text 23 Feb: Ringing, Dropped a Text 19 Feb: Ringing, Dropped a Text 13 Feb: Ringing, Dropped a Text 06th Feb: Tried Calling Didn't answer Dropped a Text 05th Feb: Ringing, dropped a text. 29th Jan: Tried calling today as well, he is not answering, Dropped a text and will ask andy to call 27th Jan: He is not asnwering my calls and text 24th Jan: He disconnected my call, dropped a text 22nd Jan: Tried calling he didn't answer will drop a text. 21st Jan: Tried calling him didn't Answer will, dropped a text</v>
      </c>
    </row>
    <row r="205">
      <c r="A205" s="400">
        <f>IFERROR(__xludf.DUMMYFUNCTION("""COMPUTED_VALUE"""),46043.0)</f>
        <v>46043</v>
      </c>
      <c r="B205" s="276" t="str">
        <f>IFERROR(__xludf.DUMMYFUNCTION("""COMPUTED_VALUE"""),"Nirbhay  Singh ")</f>
        <v>Nirbhay  Singh </v>
      </c>
      <c r="C205" s="276" t="str">
        <f>IFERROR(__xludf.DUMMYFUNCTION("""COMPUTED_VALUE"""),"VTS")</f>
        <v>VTS</v>
      </c>
      <c r="D205" s="276" t="str">
        <f>IFERROR(__xludf.DUMMYFUNCTION("""COMPUTED_VALUE"""),"Lost")</f>
        <v>Lost</v>
      </c>
      <c r="E205" s="276" t="str">
        <f>IFERROR(__xludf.DUMMYFUNCTION("""COMPUTED_VALUE"""),"Andheri")</f>
        <v>Andheri</v>
      </c>
      <c r="F205" s="276" t="str">
        <f>IFERROR(__xludf.DUMMYFUNCTION("""COMPUTED_VALUE"""),"Andheri ")</f>
        <v>Andheri </v>
      </c>
      <c r="G205" s="276" t="str">
        <f>IFERROR(__xludf.DUMMYFUNCTION("""COMPUTED_VALUE"""),"Shubham ")</f>
        <v>Shubham </v>
      </c>
      <c r="H205" s="276" t="str">
        <f>IFERROR(__xludf.DUMMYFUNCTION("""COMPUTED_VALUE"""),"22nd Jan: He just kept the call saying we don't need anyspace now. 21st Jan: Tried calling him busy on another call, will call in sometime ")</f>
        <v>22nd Jan: He just kept the call saying we don't need anyspace now. 21st Jan: Tried calling him busy on another call, will call in sometime </v>
      </c>
    </row>
    <row r="206">
      <c r="A206" s="400">
        <f>IFERROR(__xludf.DUMMYFUNCTION("""COMPUTED_VALUE"""),46043.0)</f>
        <v>46043</v>
      </c>
      <c r="B206" s="276" t="str">
        <f>IFERROR(__xludf.DUMMYFUNCTION("""COMPUTED_VALUE"""),"Vijay  Kadam ")</f>
        <v>Vijay  Kadam </v>
      </c>
      <c r="C206" s="276" t="str">
        <f>IFERROR(__xludf.DUMMYFUNCTION("""COMPUTED_VALUE"""),"Clix Capital ")</f>
        <v>Clix Capital </v>
      </c>
      <c r="D206" s="276" t="str">
        <f>IFERROR(__xludf.DUMMYFUNCTION("""COMPUTED_VALUE"""),"Warm")</f>
        <v>Warm</v>
      </c>
      <c r="E206" s="276" t="str">
        <f>IFERROR(__xludf.DUMMYFUNCTION("""COMPUTED_VALUE"""),"Andheri")</f>
        <v>Andheri</v>
      </c>
      <c r="F206" s="276" t="str">
        <f>IFERROR(__xludf.DUMMYFUNCTION("""COMPUTED_VALUE"""),"Andheri ")</f>
        <v>Andheri </v>
      </c>
      <c r="G206" s="276" t="str">
        <f>IFERROR(__xludf.DUMMYFUNCTION("""COMPUTED_VALUE"""),"Shubham ")</f>
        <v>Shubham </v>
      </c>
      <c r="H206" s="276" t="str">
        <f>IFERROR(__xludf.DUMMYFUNCTION("""COMPUTED_VALUE"""),"13 Mach: Ringing, dropped a text 09 March: Spoke and Asked for a meeting but he is not available today and tomorrow 06 March: Didn't connect Dropped a Text 02 March: Ringing, dropped a text 27 Feb: Spoke he said his budget is very tight and he is trying t"&amp;"o negotiate with their current landlord for extension and doesn't wants a managed office solution ( LEAVE AND LICENCE only) and budget is only 8 lakhs. 16th Feb: Spoke and I Asked for a meeting he is available tomorrow and from day after he is in Pune 13t"&amp;"h Feb: Ringing, droppd a text 11th Feb: He called me and said he has a client who is lookig for 80 seats and has a budget 9 lakh. I asked which client then he said its a Pharma client but let him ask if he is looking for managed office.  08th Feb: Spoke. "&amp;"He said they are already in discussion with their current landlord to extend 05th Feb: Spoke. He said the property that we gave must have the higher rentals of about 250 psft on carpet and his budget is about 5.5 lakhs not more than that. I have requested"&amp;" a meeting he said will let me know 02nd Feb: Spoke he was not in town and now he is back. I have asked for a visit and a meeting most he said will review and let me know. 30th Jan: Sent the inventory deck took a follow up he said he is in town and also t"&amp;"here is some negotiation going on with their current Landlord 29th Jan: Tried calling Him didn't answer the call but I will share the options with him focusing on landmark. 27th Jan : Spoke the client is looking for an A grade building 24th Jan: Spoke to "&amp;"the client their budget is 6 lakhs only and is not in mumbai asked me to connect next week  22nd Jan: Shared the Requirement with Vinamra. 21st Jan: Spoke. They have a requirement as mentioned. Current office is in Solitaire corporate park their lease is "&amp;"expiring they are trying to extend that but in the backend if they get a suitable space they will move out as well. Sublocation from WEH to Chakala. ")</f>
        <v>13 Mach: Ringing, dropped a text 09 March: Spoke and Asked for a meeting but he is not available today and tomorrow 06 March: Didn't connect Dropped a Text 02 March: Ringing, dropped a text 27 Feb: Spoke he said his budget is very tight and he is trying to negotiate with their current landlord for extension and doesn't wants a managed office solution ( LEAVE AND LICENCE only) and budget is only 8 lakhs. 16th Feb: Spoke and I Asked for a meeting he is available tomorrow and from day after he is in Pune 13th Feb: Ringing, droppd a text 11th Feb: He called me and said he has a client who is lookig for 80 seats and has a budget 9 lakh. I asked which client then he said its a Pharma client but let him ask if he is looking for managed office.  08th Feb: Spoke. He said they are already in discussion with their current landlord to extend 05th Feb: Spoke. He said the property that we gave must have the higher rentals of about 250 psft on carpet and his budget is about 5.5 lakhs not more than that. I have requested a meeting he said will let me know 02nd Feb: Spoke he was not in town and now he is back. I have asked for a visit and a meeting most he said will review and let me know. 30th Jan: Sent the inventory deck took a follow up he said he is in town and also there is some negotiation going on with their current Landlord 29th Jan: Tried calling Him didn't answer the call but I will share the options with him focusing on landmark. 27th Jan : Spoke the client is looking for an A grade building 24th Jan: Spoke to the client their budget is 6 lakhs only and is not in mumbai asked me to connect next week  22nd Jan: Shared the Requirement with Vinamra. 21st Jan: Spoke. They have a requirement as mentioned. Current office is in Solitaire corporate park their lease is expiring they are trying to extend that but in the backend if they get a suitable space they will move out as well. Sublocation from WEH to Chakala. </v>
      </c>
    </row>
    <row r="207">
      <c r="A207" s="400">
        <f>IFERROR(__xludf.DUMMYFUNCTION("""COMPUTED_VALUE"""),46043.0)</f>
        <v>46043</v>
      </c>
      <c r="B207" s="276" t="str">
        <f>IFERROR(__xludf.DUMMYFUNCTION("""COMPUTED_VALUE"""),"Hamavvand Chwda")</f>
        <v>Hamavvand Chwda</v>
      </c>
      <c r="C207" s="276" t="str">
        <f>IFERROR(__xludf.DUMMYFUNCTION("""COMPUTED_VALUE"""),"Balaji Telefilms")</f>
        <v>Balaji Telefilms</v>
      </c>
      <c r="D207" s="276" t="str">
        <f>IFERROR(__xludf.DUMMYFUNCTION("""COMPUTED_VALUE"""),"Hold")</f>
        <v>Hold</v>
      </c>
      <c r="E207" s="276" t="str">
        <f>IFERROR(__xludf.DUMMYFUNCTION("""COMPUTED_VALUE"""),"Andheri")</f>
        <v>Andheri</v>
      </c>
      <c r="F207" s="276" t="str">
        <f>IFERROR(__xludf.DUMMYFUNCTION("""COMPUTED_VALUE"""),"Andheri ")</f>
        <v>Andheri </v>
      </c>
      <c r="G207" s="276" t="str">
        <f>IFERROR(__xludf.DUMMYFUNCTION("""COMPUTED_VALUE"""),"Shubham ")</f>
        <v>Shubham </v>
      </c>
      <c r="H207" s="276" t="str">
        <f>IFERROR(__xludf.DUMMYFUNCTION("""COMPUTED_VALUE"""),"06 March: Ringing message dropped 16 Feb: Ringing, Dropped a text 29th Jan: Tried calling him didn't aswer text and calls, I will Andy to speak because he spoke initally. He replied saying the project is delayed and will get in touch when resumed.  28th J"&amp;"an: Tried calling him today as well he is not answering calls, I have texted him 27th Jan: Ringing didn't answer. 24th Jan: Tried calling he is not answering and nor replying to text 22nd Jan: Tried calling him didn't Answer will, dropped a text. 21st Jan"&amp;": Tried calling him didn't Answer will, dropped a text")</f>
        <v>06 March: Ringing message dropped 16 Feb: Ringing, Dropped a text 29th Jan: Tried calling him didn't aswer text and calls, I will Andy to speak because he spoke initally. He replied saying the project is delayed and will get in touch when resumed.  28th Jan: Tried calling him today as well he is not answering calls, I have texted him 27th Jan: Ringing didn't answer. 24th Jan: Tried calling he is not answering and nor replying to text 22nd Jan: Tried calling him didn't Answer will, dropped a text. 21st Jan: Tried calling him didn't Answer will, dropped a text</v>
      </c>
    </row>
    <row r="208">
      <c r="A208" s="400">
        <f>IFERROR(__xludf.DUMMYFUNCTION("""COMPUTED_VALUE"""),46043.0)</f>
        <v>46043</v>
      </c>
      <c r="B208" s="276" t="str">
        <f>IFERROR(__xludf.DUMMYFUNCTION("""COMPUTED_VALUE"""),"Tushar Mistry")</f>
        <v>Tushar Mistry</v>
      </c>
      <c r="C208" s="276"/>
      <c r="D208" s="276" t="str">
        <f>IFERROR(__xludf.DUMMYFUNCTION("""COMPUTED_VALUE"""),"Warm")</f>
        <v>Warm</v>
      </c>
      <c r="E208" s="276" t="str">
        <f>IFERROR(__xludf.DUMMYFUNCTION("""COMPUTED_VALUE"""),"Andheri")</f>
        <v>Andheri</v>
      </c>
      <c r="F208" s="276" t="str">
        <f>IFERROR(__xludf.DUMMYFUNCTION("""COMPUTED_VALUE"""),"Andheri ")</f>
        <v>Andheri </v>
      </c>
      <c r="G208" s="276" t="str">
        <f>IFERROR(__xludf.DUMMYFUNCTION("""COMPUTED_VALUE"""),"Shubham ")</f>
        <v>Shubham </v>
      </c>
      <c r="H208" s="276" t="str">
        <f>IFERROR(__xludf.DUMMYFUNCTION("""COMPUTED_VALUE"""),"13 March: Spoke. Asked me to connect on Monday - Tuesday 10th March: Spoke he said there is a family emergency and will be back on Monday Touch base then 09th March: Ringing, dropped a text 06 March: He said Sakinaka wont work for him, I have shared few o"&amp;"ptions of Marol with him over whatsapp as he said whatsapp me 02 March: Ringing, dropped a text 27 Feb: He said my budget is 4 lakhs max, I have pitched sakinaka and shared the details over Whatsapp 16th Feb: Disconnected my call, Dropped a text 13th Feb:"&amp;" Ringing, dropped a Text 11th Feb: Disconnect my call, Texted him 06th Feb: Ringing. Dropped a text. 05th Feb: Disconnected my call, dropped a text. 03rd Feb: Tried calling 02nd Feb: Spoke he said was occupied thats the reason he was not answering. He hav"&amp;"e asked for the options not more 2-3 options which are under 4.5 lakhs 29th Jan: Tried calling him as he said connect on thursday around 11am , didn't answer, I have texted him 27th Jan: Vinamra spoke to him for a meeting and he said yes we can meet conne"&amp;"ct on Thursday. 23rd Jan: He texted me saying went through your deck, but currently they are only looking for traditional office, as discussed with the management. I have pitched services and fitouts 22nd Jan: Spoke He Has a reqirement closer towards Andh"&amp;"eri station and western express highway. I explained him who we are and what we do. He said send me your introductory deck over mail and wp I will check with the team if this is the solution that they are looking at and will revert because they have a tig"&amp;"ht budget of under 5 lakhs. 21st Jan: Spoke. He asked me to call around 6 pm. Called him he disconnected ")</f>
        <v>13 March: Spoke. Asked me to connect on Monday - Tuesday 10th March: Spoke he said there is a family emergency and will be back on Monday Touch base then 09th March: Ringing, dropped a text 06 March: He said Sakinaka wont work for him, I have shared few options of Marol with him over whatsapp as he said whatsapp me 02 March: Ringing, dropped a text 27 Feb: He said my budget is 4 lakhs max, I have pitched sakinaka and shared the details over Whatsapp 16th Feb: Disconnected my call, Dropped a text 13th Feb: Ringing, dropped a Text 11th Feb: Disconnect my call, Texted him 06th Feb: Ringing. Dropped a text. 05th Feb: Disconnected my call, dropped a text. 03rd Feb: Tried calling 02nd Feb: Spoke he said was occupied thats the reason he was not answering. He have asked for the options not more 2-3 options which are under 4.5 lakhs 29th Jan: Tried calling him as he said connect on thursday around 11am , didn't answer, I have texted him 27th Jan: Vinamra spoke to him for a meeting and he said yes we can meet connect on Thursday. 23rd Jan: He texted me saying went through your deck, but currently they are only looking for traditional office, as discussed with the management. I have pitched services and fitouts 22nd Jan: Spoke He Has a reqirement closer towards Andheri station and western express highway. I explained him who we are and what we do. He said send me your introductory deck over mail and wp I will check with the team if this is the solution that they are looking at and will revert because they have a tight budget of under 5 lakhs. 21st Jan: Spoke. He asked me to call around 6 pm. Called him he disconnected </v>
      </c>
    </row>
    <row r="209">
      <c r="A209" s="400">
        <f>IFERROR(__xludf.DUMMYFUNCTION("""COMPUTED_VALUE"""),46043.0)</f>
        <v>46043</v>
      </c>
      <c r="B209" s="276" t="str">
        <f>IFERROR(__xludf.DUMMYFUNCTION("""COMPUTED_VALUE"""),"Pravin Purohit")</f>
        <v>Pravin Purohit</v>
      </c>
      <c r="C209" s="276" t="str">
        <f>IFERROR(__xludf.DUMMYFUNCTION("""COMPUTED_VALUE"""),"Mek Peripherals PVT LTD")</f>
        <v>Mek Peripherals PVT LTD</v>
      </c>
      <c r="D209" s="276" t="str">
        <f>IFERROR(__xludf.DUMMYFUNCTION("""COMPUTED_VALUE"""),"Lost")</f>
        <v>Lost</v>
      </c>
      <c r="E209" s="276" t="str">
        <f>IFERROR(__xludf.DUMMYFUNCTION("""COMPUTED_VALUE"""),"Andheri")</f>
        <v>Andheri</v>
      </c>
      <c r="F209" s="276" t="str">
        <f>IFERROR(__xludf.DUMMYFUNCTION("""COMPUTED_VALUE"""),"Andheri ")</f>
        <v>Andheri </v>
      </c>
      <c r="G209" s="276" t="str">
        <f>IFERROR(__xludf.DUMMYFUNCTION("""COMPUTED_VALUE"""),"Shubham ")</f>
        <v>Shubham </v>
      </c>
      <c r="H209" s="276" t="str">
        <f>IFERROR(__xludf.DUMMYFUNCTION("""COMPUTED_VALUE"""),"29th Jan: Spoke. He said he took a space in Laminton road 27th Jan: Ringing, Dropped a text. 24th Jan: He is not replying to text and calls 22nd Jan: ringing dropped a text.21st Jan: Tried calling him didn't Answer will, dropped a text")</f>
        <v>29th Jan: Spoke. He said he took a space in Laminton road 27th Jan: Ringing, Dropped a text. 24th Jan: He is not replying to text and calls 22nd Jan: ringing dropped a text.21st Jan: Tried calling him didn't Answer will, dropped a text</v>
      </c>
    </row>
    <row r="210">
      <c r="A210" s="400">
        <f>IFERROR(__xludf.DUMMYFUNCTION("""COMPUTED_VALUE"""),46043.0)</f>
        <v>46043</v>
      </c>
      <c r="B210" s="276" t="str">
        <f>IFERROR(__xludf.DUMMYFUNCTION("""COMPUTED_VALUE"""),"Santoshkumar Narwate")</f>
        <v>Santoshkumar Narwate</v>
      </c>
      <c r="C210" s="276" t="str">
        <f>IFERROR(__xludf.DUMMYFUNCTION("""COMPUTED_VALUE"""),"Frontier Business Systems Pvt Ltd")</f>
        <v>Frontier Business Systems Pvt Ltd</v>
      </c>
      <c r="D210" s="276" t="str">
        <f>IFERROR(__xludf.DUMMYFUNCTION("""COMPUTED_VALUE"""),"Lost")</f>
        <v>Lost</v>
      </c>
      <c r="E210" s="276" t="str">
        <f>IFERROR(__xludf.DUMMYFUNCTION("""COMPUTED_VALUE"""),"Andheri")</f>
        <v>Andheri</v>
      </c>
      <c r="F210" s="276" t="str">
        <f>IFERROR(__xludf.DUMMYFUNCTION("""COMPUTED_VALUE"""),"Andheri ")</f>
        <v>Andheri </v>
      </c>
      <c r="G210" s="276" t="str">
        <f>IFERROR(__xludf.DUMMYFUNCTION("""COMPUTED_VALUE"""),"Shubham ")</f>
        <v>Shubham </v>
      </c>
      <c r="H210" s="276" t="str">
        <f>IFERROR(__xludf.DUMMYFUNCTION("""COMPUTED_VALUE"""),"29th Jan: Spoke he said internally they are exploring more option becuase they find the traffic to be a challenge because most of their employees come from Roadways. He mentioned if anything comes in favour to us will connect again but will take some time"&amp;" to discuss on this  28th Jan: Mr. Sharad kumar form admin team visited today, they kind of liked the space will discuss internally and get back 27th Jan: He said will visit tomorrow. 24th Jan: Called him he said have not checked the layout and will resum"&amp;"e on tuesday connect then 22nd Jan: Sent Mock layout over mail and wp. 21stJan: Tried calling him didn't Answer will, dropped a text.  Spoke requirement shared. I have pitched sakinaka, shared the deck on mail as well as wp as well as asked the team to cr"&amp;"eate a mock layout ")</f>
        <v>29th Jan: Spoke he said internally they are exploring more option becuase they find the traffic to be a challenge because most of their employees come from Roadways. He mentioned if anything comes in favour to us will connect again but will take some time to discuss on this  28th Jan: Mr. Sharad kumar form admin team visited today, they kind of liked the space will discuss internally and get back 27th Jan: He said will visit tomorrow. 24th Jan: Called him he said have not checked the layout and will resume on tuesday connect then 22nd Jan: Sent Mock layout over mail and wp. 21stJan: Tried calling him didn't Answer will, dropped a text.  Spoke requirement shared. I have pitched sakinaka, shared the deck on mail as well as wp as well as asked the team to create a mock layout </v>
      </c>
    </row>
    <row r="211">
      <c r="A211" s="400">
        <f>IFERROR(__xludf.DUMMYFUNCTION("""COMPUTED_VALUE"""),46043.0)</f>
        <v>46043</v>
      </c>
      <c r="B211" s="276" t="str">
        <f>IFERROR(__xludf.DUMMYFUNCTION("""COMPUTED_VALUE"""),"A Datta Nayak Amerkar")</f>
        <v>A Datta Nayak Amerkar</v>
      </c>
      <c r="C211" s="276" t="str">
        <f>IFERROR(__xludf.DUMMYFUNCTION("""COMPUTED_VALUE"""),"Arpina LLP")</f>
        <v>Arpina LLP</v>
      </c>
      <c r="D211" s="276" t="str">
        <f>IFERROR(__xludf.DUMMYFUNCTION("""COMPUTED_VALUE"""),"Lost")</f>
        <v>Lost</v>
      </c>
      <c r="E211" s="276" t="str">
        <f>IFERROR(__xludf.DUMMYFUNCTION("""COMPUTED_VALUE"""),"Andheri")</f>
        <v>Andheri</v>
      </c>
      <c r="F211" s="276" t="str">
        <f>IFERROR(__xludf.DUMMYFUNCTION("""COMPUTED_VALUE"""),"Andheri ")</f>
        <v>Andheri </v>
      </c>
      <c r="G211" s="276" t="str">
        <f>IFERROR(__xludf.DUMMYFUNCTION("""COMPUTED_VALUE"""),"Shubham ")</f>
        <v>Shubham </v>
      </c>
      <c r="H211" s="276" t="str">
        <f>IFERROR(__xludf.DUMMYFUNCTION("""COMPUTED_VALUE"""),"22nd Jan : Looking for a virtual office. 21st Jan:He disconnected my call, I have dropped a text. He called me back saying he wants 2-3 seats in Andheri Kurla road. I have pitched sakinaka 3i space and shared images and deck over mail ")</f>
        <v>22nd Jan : Looking for a virtual office. 21st Jan:He disconnected my call, I have dropped a text. He called me back saying he wants 2-3 seats in Andheri Kurla road. I have pitched sakinaka 3i space and shared images and deck over mail </v>
      </c>
    </row>
    <row r="212">
      <c r="A212" s="400">
        <f>IFERROR(__xludf.DUMMYFUNCTION("""COMPUTED_VALUE"""),46045.0)</f>
        <v>46045</v>
      </c>
      <c r="B212" s="276" t="str">
        <f>IFERROR(__xludf.DUMMYFUNCTION("""COMPUTED_VALUE"""),"Sachin Patankar")</f>
        <v>Sachin Patankar</v>
      </c>
      <c r="C212" s="276" t="str">
        <f>IFERROR(__xludf.DUMMYFUNCTION("""COMPUTED_VALUE"""),"solution")</f>
        <v>solution</v>
      </c>
      <c r="D212" s="276" t="str">
        <f>IFERROR(__xludf.DUMMYFUNCTION("""COMPUTED_VALUE"""),"Lost")</f>
        <v>Lost</v>
      </c>
      <c r="E212" s="276" t="str">
        <f>IFERROR(__xludf.DUMMYFUNCTION("""COMPUTED_VALUE"""),"Andheri")</f>
        <v>Andheri</v>
      </c>
      <c r="F212" s="276" t="str">
        <f>IFERROR(__xludf.DUMMYFUNCTION("""COMPUTED_VALUE"""),"Andheri ")</f>
        <v>Andheri </v>
      </c>
      <c r="G212" s="276" t="str">
        <f>IFERROR(__xludf.DUMMYFUNCTION("""COMPUTED_VALUE"""),"Shubham ")</f>
        <v>Shubham </v>
      </c>
      <c r="H212" s="276" t="str">
        <f>IFERROR(__xludf.DUMMYFUNCTION("""COMPUTED_VALUE"""),"06th Feb: He said he is not looking for any space 05th Ringing, dropped a text. 02nd Feb: Tried calling he is busy on another call, dropped a text 29th Jan: He answered my call saying he is in a meeting and will call back.  27th Jan: Ringing, Dropped a Te"&amp;"xt 24 Jan: Tried calling he is not answering, I have dropped a text. 23 Jan: Ringing")</f>
        <v>06th Feb: He said he is not looking for any space 05th Ringing, dropped a text. 02nd Feb: Tried calling he is busy on another call, dropped a text 29th Jan: He answered my call saying he is in a meeting and will call back.  27th Jan: Ringing, Dropped a Text 24 Jan: Tried calling he is not answering, I have dropped a text. 23 Jan: Ringing</v>
      </c>
    </row>
    <row r="213">
      <c r="A213" s="400">
        <f>IFERROR(__xludf.DUMMYFUNCTION("""COMPUTED_VALUE"""),46045.0)</f>
        <v>46045</v>
      </c>
      <c r="B213" s="276" t="str">
        <f>IFERROR(__xludf.DUMMYFUNCTION("""COMPUTED_VALUE"""),"Mandar Shinde")</f>
        <v>Mandar Shinde</v>
      </c>
      <c r="C213" s="276" t="str">
        <f>IFERROR(__xludf.DUMMYFUNCTION("""COMPUTED_VALUE"""),"Aeon Enterprises")</f>
        <v>Aeon Enterprises</v>
      </c>
      <c r="D213" s="276" t="str">
        <f>IFERROR(__xludf.DUMMYFUNCTION("""COMPUTED_VALUE"""),"Lost")</f>
        <v>Lost</v>
      </c>
      <c r="E213" s="276" t="str">
        <f>IFERROR(__xludf.DUMMYFUNCTION("""COMPUTED_VALUE"""),"Andheri")</f>
        <v>Andheri</v>
      </c>
      <c r="F213" s="276" t="str">
        <f>IFERROR(__xludf.DUMMYFUNCTION("""COMPUTED_VALUE"""),"Andheri ")</f>
        <v>Andheri </v>
      </c>
      <c r="G213" s="276" t="str">
        <f>IFERROR(__xludf.DUMMYFUNCTION("""COMPUTED_VALUE"""),"Shravani ")</f>
        <v>Shravani </v>
      </c>
      <c r="H213" s="276" t="str">
        <f>IFERROR(__xludf.DUMMYFUNCTION("""COMPUTED_VALUE"""),"02nd Feb: Spoke. He in no longer looking for the space 29th Jan: (Shubham) tried calling him didn't answer dropped a text 27th Jan: Ringing didn't answer. 24th Jan: OS. 23 Jan: He needs 2 Open WS. Need to share the details")</f>
        <v>02nd Feb: Spoke. He in no longer looking for the space 29th Jan: (Shubham) tried calling him didn't answer dropped a text 27th Jan: Ringing didn't answer. 24th Jan: OS. 23 Jan: He needs 2 Open WS. Need to share the details</v>
      </c>
    </row>
    <row r="214">
      <c r="A214" s="400">
        <f>IFERROR(__xludf.DUMMYFUNCTION("""COMPUTED_VALUE"""),46045.0)</f>
        <v>46045</v>
      </c>
      <c r="B214" s="276" t="str">
        <f>IFERROR(__xludf.DUMMYFUNCTION("""COMPUTED_VALUE"""),"Ramakrishnan ")</f>
        <v>Ramakrishnan </v>
      </c>
      <c r="C214" s="276" t="str">
        <f>IFERROR(__xludf.DUMMYFUNCTION("""COMPUTED_VALUE"""),"20Cube Logistics")</f>
        <v>20Cube Logistics</v>
      </c>
      <c r="D214" s="276" t="str">
        <f>IFERROR(__xludf.DUMMYFUNCTION("""COMPUTED_VALUE"""),"Hold")</f>
        <v>Hold</v>
      </c>
      <c r="E214" s="276" t="str">
        <f>IFERROR(__xludf.DUMMYFUNCTION("""COMPUTED_VALUE"""),"Andheri")</f>
        <v>Andheri</v>
      </c>
      <c r="F214" s="276" t="str">
        <f>IFERROR(__xludf.DUMMYFUNCTION("""COMPUTED_VALUE"""),"Andheri ")</f>
        <v>Andheri </v>
      </c>
      <c r="G214" s="276" t="str">
        <f>IFERROR(__xludf.DUMMYFUNCTION("""COMPUTED_VALUE"""),"Shubham ")</f>
        <v>Shubham </v>
      </c>
      <c r="H214" s="276" t="str">
        <f>IFERROR(__xludf.DUMMYFUNCTION("""COMPUTED_VALUE"""),"10 march: Spoke he said the requirement is still on hold 16th Feb: He didn't answer calls so I have dropped a follow up mail he replied saying currently the reqirement is on hold  06th Feb: We had shared the first cut layout for the same. Spoke to Vishnu "&amp;"prasad ji, he said he will check  03rd Feb: His admin guy visited the space. Next steps they want commercials and is looking for 10 seats + 2 meeting room of 5 seats each 02nd Feb: His admin guy Mr. Vishnu Reached out to me and will visit tomorrow in Andh"&amp;"eri Sakinaka 29th Jan: Spoke. He put me on hold and connect the HR/Admin guy he took my number and said will call back in 30 mins. 27th Jan: He didn't answer, dropped a text.  24 Jan: He disconnect my call, I have dropped a text, he replied saying lets co"&amp;"nnect on tuesday  23 Jan: Disconected the call")</f>
        <v>10 march: Spoke he said the requirement is still on hold 16th Feb: He didn't answer calls so I have dropped a follow up mail he replied saying currently the reqirement is on hold  06th Feb: We had shared the first cut layout for the same. Spoke to Vishnu prasad ji, he said he will check  03rd Feb: His admin guy visited the space. Next steps they want commercials and is looking for 10 seats + 2 meeting room of 5 seats each 02nd Feb: His admin guy Mr. Vishnu Reached out to me and will visit tomorrow in Andheri Sakinaka 29th Jan: Spoke. He put me on hold and connect the HR/Admin guy he took my number and said will call back in 30 mins. 27th Jan: He didn't answer, dropped a text.  24 Jan: He disconnect my call, I have dropped a text, he replied saying lets connect on tuesday  23 Jan: Disconected the call</v>
      </c>
    </row>
    <row r="215">
      <c r="A215" s="400">
        <f>IFERROR(__xludf.DUMMYFUNCTION("""COMPUTED_VALUE"""),46045.0)</f>
        <v>46045</v>
      </c>
      <c r="B215" s="276" t="str">
        <f>IFERROR(__xludf.DUMMYFUNCTION("""COMPUTED_VALUE"""),"Bhupendra Ingle")</f>
        <v>Bhupendra Ingle</v>
      </c>
      <c r="C215" s="276" t="str">
        <f>IFERROR(__xludf.DUMMYFUNCTION("""COMPUTED_VALUE"""),"Transformics Marketing")</f>
        <v>Transformics Marketing</v>
      </c>
      <c r="D215" s="276" t="str">
        <f>IFERROR(__xludf.DUMMYFUNCTION("""COMPUTED_VALUE"""),"Lost")</f>
        <v>Lost</v>
      </c>
      <c r="E215" s="276" t="str">
        <f>IFERROR(__xludf.DUMMYFUNCTION("""COMPUTED_VALUE"""),"Andheri")</f>
        <v>Andheri</v>
      </c>
      <c r="F215" s="276" t="str">
        <f>IFERROR(__xludf.DUMMYFUNCTION("""COMPUTED_VALUE"""),"Andheri ")</f>
        <v>Andheri </v>
      </c>
      <c r="G215" s="276" t="str">
        <f>IFERROR(__xludf.DUMMYFUNCTION("""COMPUTED_VALUE"""),"Shravani ")</f>
        <v>Shravani </v>
      </c>
      <c r="H215" s="276" t="str">
        <f>IFERROR(__xludf.DUMMYFUNCTION("""COMPUTED_VALUE"""),"04th Feb: He Visted the space but he came by road on a peak time and was stuck in traffic he find traffics as a problem 03rd Spoke. He said he will visit tomorrow 02nd Feb: (Shubham) Tried calling he is not answering dorpped him a text 29th Jan: (Shravani"&amp;") Tried calling him didn't answer dropped a text 27th Jan. Ringing. dropped a text. 23 Jan: He will be visiting on Tuesday or Wednesday")</f>
        <v>04th Feb: He Visted the space but he came by road on a peak time and was stuck in traffic he find traffics as a problem 03rd Spoke. He said he will visit tomorrow 02nd Feb: (Shubham) Tried calling he is not answering dorpped him a text 29th Jan: (Shravani) Tried calling him didn't answer dropped a text 27th Jan. Ringing. dropped a text. 23 Jan: He will be visiting on Tuesday or Wednesday</v>
      </c>
    </row>
    <row r="216">
      <c r="A216" s="400">
        <f>IFERROR(__xludf.DUMMYFUNCTION("""COMPUTED_VALUE"""),46045.0)</f>
        <v>46045</v>
      </c>
      <c r="B216" s="276" t="str">
        <f>IFERROR(__xludf.DUMMYFUNCTION("""COMPUTED_VALUE"""),"Sunil Ghayre")</f>
        <v>Sunil Ghayre</v>
      </c>
      <c r="C216" s="276" t="str">
        <f>IFERROR(__xludf.DUMMYFUNCTION("""COMPUTED_VALUE"""),"team telesystems")</f>
        <v>team telesystems</v>
      </c>
      <c r="D216" s="276" t="str">
        <f>IFERROR(__xludf.DUMMYFUNCTION("""COMPUTED_VALUE"""),"Lost")</f>
        <v>Lost</v>
      </c>
      <c r="E216" s="276" t="str">
        <f>IFERROR(__xludf.DUMMYFUNCTION("""COMPUTED_VALUE"""),"Andheri")</f>
        <v>Andheri</v>
      </c>
      <c r="F216" s="276" t="str">
        <f>IFERROR(__xludf.DUMMYFUNCTION("""COMPUTED_VALUE"""),"Andheri ")</f>
        <v>Andheri </v>
      </c>
      <c r="G216" s="276" t="str">
        <f>IFERROR(__xludf.DUMMYFUNCTION("""COMPUTED_VALUE"""),"Shravani ")</f>
        <v>Shravani </v>
      </c>
      <c r="H216" s="276" t="str">
        <f>IFERROR(__xludf.DUMMYFUNCTION("""COMPUTED_VALUE"""),"24 Jan: 23 Jan: He is looking for outright purpose.")</f>
        <v>24 Jan: 23 Jan: He is looking for outright purpose.</v>
      </c>
    </row>
    <row r="217">
      <c r="A217" s="400">
        <f>IFERROR(__xludf.DUMMYFUNCTION("""COMPUTED_VALUE"""),46045.0)</f>
        <v>46045</v>
      </c>
      <c r="B217" s="276" t="str">
        <f>IFERROR(__xludf.DUMMYFUNCTION("""COMPUTED_VALUE"""),"Mahesh Mahesh Naik")</f>
        <v>Mahesh Mahesh Naik</v>
      </c>
      <c r="C217" s="276" t="str">
        <f>IFERROR(__xludf.DUMMYFUNCTION("""COMPUTED_VALUE"""),"saraswat")</f>
        <v>saraswat</v>
      </c>
      <c r="D217" s="276" t="str">
        <f>IFERROR(__xludf.DUMMYFUNCTION("""COMPUTED_VALUE"""),"Lost")</f>
        <v>Lost</v>
      </c>
      <c r="E217" s="276" t="str">
        <f>IFERROR(__xludf.DUMMYFUNCTION("""COMPUTED_VALUE"""),"Andheri")</f>
        <v>Andheri</v>
      </c>
      <c r="F217" s="276" t="str">
        <f>IFERROR(__xludf.DUMMYFUNCTION("""COMPUTED_VALUE"""),"Andheri ")</f>
        <v>Andheri </v>
      </c>
      <c r="G217" s="276" t="str">
        <f>IFERROR(__xludf.DUMMYFUNCTION("""COMPUTED_VALUE"""),"Shubham ")</f>
        <v>Shubham </v>
      </c>
      <c r="H217" s="276" t="str">
        <f>IFERROR(__xludf.DUMMYFUNCTION("""COMPUTED_VALUE"""),"27th Jan : He is looking for a residential house  24 Jan: This number is not reachable will try to reach out on whataspp 23 Jan: OS")</f>
        <v>27th Jan : He is looking for a residential house  24 Jan: This number is not reachable will try to reach out on whataspp 23 Jan: OS</v>
      </c>
    </row>
    <row r="218">
      <c r="A218" s="400">
        <f>IFERROR(__xludf.DUMMYFUNCTION("""COMPUTED_VALUE"""),46045.0)</f>
        <v>46045</v>
      </c>
      <c r="B218" s="276" t="str">
        <f>IFERROR(__xludf.DUMMYFUNCTION("""COMPUTED_VALUE"""),"Sachin Pawar")</f>
        <v>Sachin Pawar</v>
      </c>
      <c r="C218" s="276" t="str">
        <f>IFERROR(__xludf.DUMMYFUNCTION("""COMPUTED_VALUE"""),"Flipkart")</f>
        <v>Flipkart</v>
      </c>
      <c r="D218" s="276" t="str">
        <f>IFERROR(__xludf.DUMMYFUNCTION("""COMPUTED_VALUE"""),"Warm")</f>
        <v>Warm</v>
      </c>
      <c r="E218" s="276" t="str">
        <f>IFERROR(__xludf.DUMMYFUNCTION("""COMPUTED_VALUE"""),"Andheri")</f>
        <v>Andheri</v>
      </c>
      <c r="F218" s="276" t="str">
        <f>IFERROR(__xludf.DUMMYFUNCTION("""COMPUTED_VALUE"""),"Andheri ")</f>
        <v>Andheri </v>
      </c>
      <c r="G218" s="276" t="str">
        <f>IFERROR(__xludf.DUMMYFUNCTION("""COMPUTED_VALUE"""),"Shubham ")</f>
        <v>Shubham </v>
      </c>
      <c r="H218" s="276" t="str">
        <f>IFERROR(__xludf.DUMMYFUNCTION("""COMPUTED_VALUE"""),"13 Mach: Ringing, dropped a text 10th March: Ringing, dropped a text. He replied saying will call back 06 March: Disconnected the call 04 March: Ringing, dropped a Text 02 March: Ringing, Dropped a text He replied saying was on leave and will be back on W"&amp;"ednesday 27 Feb: Switched off. I have texted and sent a follow up mail 16th Feb: Ringing. Dropped a text 13th Feb: Disconnect my call, dropped a text 10th Feb: Ringing, dropped a Text 07th Feb: Ringing, Dropped a text 06th: switched off, dropped a text 05"&amp;"th Feb: Ringing, Dropped a text 04th Feb: Shared the first cut inventory options and spoke he said he occupied in some personal commitement will resume tomorrow and will check and we can do a virtual call by friday. 29th Jan: Tried calling Him didn't answ"&amp;"er the call but I will share the options with him focusing on landmark. Spoke He is not looking at Andheri Now wants to look after Ghatkopar, Vikroli and Vidyavihar.  28th Jan: Tried calling him to share the details of the options and discuss Landmark Pro"&amp;"perty did't answer, I have dropped a text 24th Jan: I have activated local brokers as well as will share the requriement to Vinamra as well once he answers the call 23 Jan: Spoke to Sachin from Flipkart. Location priority: Vidya Vihar (current office), Gh"&amp;"atkopar, Andheri East (near railway or metro station) Initially, he was not aware of the managed office model, so I walked him through the structure. Move-in timelines are not yet decided. I have asked for a meeting that's cool with him but he asked me to"&amp;" sit with inventory options. Next Steps: Send an introductory deck &amp; Source relevant options in the above micro-markets for this ticket size")</f>
        <v>13 Mach: Ringing, dropped a text 10th March: Ringing, dropped a text. He replied saying will call back 06 March: Disconnected the call 04 March: Ringing, dropped a Text 02 March: Ringing, Dropped a text He replied saying was on leave and will be back on Wednesday 27 Feb: Switched off. I have texted and sent a follow up mail 16th Feb: Ringing. Dropped a text 13th Feb: Disconnect my call, dropped a text 10th Feb: Ringing, dropped a Text 07th Feb: Ringing, Dropped a text 06th: switched off, dropped a text 05th Feb: Ringing, Dropped a text 04th Feb: Shared the first cut inventory options and spoke he said he occupied in some personal commitement will resume tomorrow and will check and we can do a virtual call by friday. 29th Jan: Tried calling Him didn't answer the call but I will share the options with him focusing on landmark. Spoke He is not looking at Andheri Now wants to look after Ghatkopar, Vikroli and Vidyavihar.  28th Jan: Tried calling him to share the details of the options and discuss Landmark Property did't answer, I have dropped a text 24th Jan: I have activated local brokers as well as will share the requriement to Vinamra as well once he answers the call 23 Jan: Spoke to Sachin from Flipkart. Location priority: Vidya Vihar (current office), Ghatkopar, Andheri East (near railway or metro station) Initially, he was not aware of the managed office model, so I walked him through the structure. Move-in timelines are not yet decided. I have asked for a meeting that's cool with him but he asked me to sit with inventory options. Next Steps: Send an introductory deck &amp; Source relevant options in the above micro-markets for this ticket size</v>
      </c>
    </row>
    <row r="219">
      <c r="A219" s="400">
        <f>IFERROR(__xludf.DUMMYFUNCTION("""COMPUTED_VALUE"""),46045.0)</f>
        <v>46045</v>
      </c>
      <c r="B219" s="276" t="str">
        <f>IFERROR(__xludf.DUMMYFUNCTION("""COMPUTED_VALUE"""),"Prem Ahuja")</f>
        <v>Prem Ahuja</v>
      </c>
      <c r="C219" s="276" t="str">
        <f>IFERROR(__xludf.DUMMYFUNCTION("""COMPUTED_VALUE"""),"equiflex Private Limited")</f>
        <v>equiflex Private Limited</v>
      </c>
      <c r="D219" s="276" t="str">
        <f>IFERROR(__xludf.DUMMYFUNCTION("""COMPUTED_VALUE"""),"Hold")</f>
        <v>Hold</v>
      </c>
      <c r="E219" s="276" t="str">
        <f>IFERROR(__xludf.DUMMYFUNCTION("""COMPUTED_VALUE"""),"Andheri")</f>
        <v>Andheri</v>
      </c>
      <c r="F219" s="276" t="str">
        <f>IFERROR(__xludf.DUMMYFUNCTION("""COMPUTED_VALUE"""),"Andheri ")</f>
        <v>Andheri </v>
      </c>
      <c r="G219" s="276" t="str">
        <f>IFERROR(__xludf.DUMMYFUNCTION("""COMPUTED_VALUE"""),"Shubham ")</f>
        <v>Shubham </v>
      </c>
      <c r="H219" s="276" t="str">
        <f>IFERROR(__xludf.DUMMYFUNCTION("""COMPUTED_VALUE"""),"02 March: Prem ji said The requirement is on hold for now due to March ending I have recorded the same over mail 27 Feb: I have sent the available inventories details of Lotus corporate park to the client over mail and asked for a virtual cal to shortlist"&amp;" options 26 Feb: Mehul Sir Spoke to Prem ahuja he said he is travelling and will try to arrange a call to discuss the options  25 Feb: Put a follow up Mail no reply yet 23 Feb: We have shared the 2nd cut inventores form Bandra to Goregoan 17 Feb: As Discu"&amp;"ssed with the team they are now looking for options from Bandra to goregoan near highway, source property for the same and spoke to vinamra he said he is busy and will call back 16th Feb: Mehul sir Met the client he got the updates 06th Feb: We have share"&amp;"d the layout spoke with Prem ji, He said very nice layout you made exactly what wanted but their promoter is not there today and will come on Monday. They will discuss this internally and get back to us on monday 03rd Feb: The Team visited and want to mai"&amp;"ntain the cubical style rquirement shared with the team waiting for Mock Layout 02nd Feb : Revisiting tomorrow with seniority 29th Jan: Yesterday I shared the requirement with Ankit sir, he said no bandwith and can get the layout tomorrow 28th Jan: Visit "&amp;"done. Showcased the property of landmark, Share the mock layout at the earliest 27th Jan: Spoke. Vinamra has proposed Landmark, conduct a visit tomorrow 23 Jan: Need to share him a introductry deck and some options available in andheri that fit his requir"&amp;"ement.28th ")</f>
        <v>02 March: Prem ji said The requirement is on hold for now due to March ending I have recorded the same over mail 27 Feb: I have sent the available inventories details of Lotus corporate park to the client over mail and asked for a virtual cal to shortlist options 26 Feb: Mehul Sir Spoke to Prem ahuja he said he is travelling and will try to arrange a call to discuss the options  25 Feb: Put a follow up Mail no reply yet 23 Feb: We have shared the 2nd cut inventores form Bandra to Goregoan 17 Feb: As Discussed with the team they are now looking for options from Bandra to goregoan near highway, source property for the same and spoke to vinamra he said he is busy and will call back 16th Feb: Mehul sir Met the client he got the updates 06th Feb: We have shared the layout spoke with Prem ji, He said very nice layout you made exactly what wanted but their promoter is not there today and will come on Monday. They will discuss this internally and get back to us on monday 03rd Feb: The Team visited and want to maintain the cubical style rquirement shared with the team waiting for Mock Layout 02nd Feb : Revisiting tomorrow with seniority 29th Jan: Yesterday I shared the requirement with Ankit sir, he said no bandwith and can get the layout tomorrow 28th Jan: Visit done. Showcased the property of landmark, Share the mock layout at the earliest 27th Jan: Spoke. Vinamra has proposed Landmark, conduct a visit tomorrow 23 Jan: Need to share him a introductry deck and some options available in andheri that fit his requirement.28th </v>
      </c>
    </row>
    <row r="220">
      <c r="A220" s="400">
        <f>IFERROR(__xludf.DUMMYFUNCTION("""COMPUTED_VALUE"""),46045.0)</f>
        <v>46045</v>
      </c>
      <c r="B220" s="276" t="str">
        <f>IFERROR(__xludf.DUMMYFUNCTION("""COMPUTED_VALUE"""),"Jiban Datta")</f>
        <v>Jiban Datta</v>
      </c>
      <c r="C220" s="276" t="str">
        <f>IFERROR(__xludf.DUMMYFUNCTION("""COMPUTED_VALUE"""),"Jyoti display pvt ltd")</f>
        <v>Jyoti display pvt ltd</v>
      </c>
      <c r="D220" s="276" t="str">
        <f>IFERROR(__xludf.DUMMYFUNCTION("""COMPUTED_VALUE"""),"Cold")</f>
        <v>Cold</v>
      </c>
      <c r="E220" s="276" t="str">
        <f>IFERROR(__xludf.DUMMYFUNCTION("""COMPUTED_VALUE"""),"Andheri")</f>
        <v>Andheri</v>
      </c>
      <c r="F220" s="276" t="str">
        <f>IFERROR(__xludf.DUMMYFUNCTION("""COMPUTED_VALUE"""),"Andheri ")</f>
        <v>Andheri </v>
      </c>
      <c r="G220" s="276" t="str">
        <f>IFERROR(__xludf.DUMMYFUNCTION("""COMPUTED_VALUE"""),"Shubham ")</f>
        <v>Shubham </v>
      </c>
      <c r="H220" s="276" t="str">
        <f>IFERROR(__xludf.DUMMYFUNCTION("""COMPUTED_VALUE"""),"10 March: Ringing, Dropped a Text 06 March: Ringing, Dropped a Text 02nd MArch: Ringing, Dropped a Text 27 Feb: Busy on call dropped a Text 23 Feb: Ringing, Dropped a Text 19 Feb: Ringing, Dropped a Text 13 Feb: Ringing, Dropped a Text 06th Feb: Busy in c"&amp;"all Dropped a text 05th Feb: Ringing Dropped a Text 03rd Feb: Busy on call dropped a text 29th Jan: He disconnected my call will call back, dropped a Text. He replied saying currectly out of town connect on Monday. 27th Jan: Ringing, dropped a text. 24 Ja"&amp;"n: Ringing, dropped a text 23 Jan: Ringing")</f>
        <v>10 March: Ringing, Dropped a Text 06 March: Ringing, Dropped a Text 02nd MArch: Ringing, Dropped a Text 27 Feb: Busy on call dropped a Text 23 Feb: Ringing, Dropped a Text 19 Feb: Ringing, Dropped a Text 13 Feb: Ringing, Dropped a Text 06th Feb: Busy in call Dropped a text 05th Feb: Ringing Dropped a Text 03rd Feb: Busy on call dropped a text 29th Jan: He disconnected my call will call back, dropped a Text. He replied saying currectly out of town connect on Monday. 27th Jan: Ringing, dropped a text. 24 Jan: Ringing, dropped a text 23 Jan: Ringing</v>
      </c>
    </row>
    <row r="221">
      <c r="A221" s="400">
        <f>IFERROR(__xludf.DUMMYFUNCTION("""COMPUTED_VALUE"""),46046.0)</f>
        <v>46046</v>
      </c>
      <c r="B221" s="276" t="str">
        <f>IFERROR(__xludf.DUMMYFUNCTION("""COMPUTED_VALUE"""),"Shivang Gor")</f>
        <v>Shivang Gor</v>
      </c>
      <c r="C221" s="276" t="str">
        <f>IFERROR(__xludf.DUMMYFUNCTION("""COMPUTED_VALUE"""),"Keystone funding")</f>
        <v>Keystone funding</v>
      </c>
      <c r="D221" s="276" t="str">
        <f>IFERROR(__xludf.DUMMYFUNCTION("""COMPUTED_VALUE"""),"Cold")</f>
        <v>Cold</v>
      </c>
      <c r="E221" s="276" t="str">
        <f>IFERROR(__xludf.DUMMYFUNCTION("""COMPUTED_VALUE"""),"Andheri")</f>
        <v>Andheri</v>
      </c>
      <c r="F221" s="276" t="str">
        <f>IFERROR(__xludf.DUMMYFUNCTION("""COMPUTED_VALUE"""),"Andheri ")</f>
        <v>Andheri </v>
      </c>
      <c r="G221" s="276" t="str">
        <f>IFERROR(__xludf.DUMMYFUNCTION("""COMPUTED_VALUE"""),"Shubham ")</f>
        <v>Shubham </v>
      </c>
      <c r="H221" s="276" t="str">
        <f>IFERROR(__xludf.DUMMYFUNCTION("""COMPUTED_VALUE"""),"10 March: Ringing, Dropped a Text 06 March: Ringing, Dropped a Text 02nd MArch: Ringing, Dropped a Text 27 Feb: Ringing, Dropped a Voice note and Text 23 Feb: Ringing, Dropped a Text 19 Feb: Ringing, Dropped a Text 13 Feb: Ringing, Dropped a Text 06th Feb"&amp;": Didn't answer Dropped a Text 05th Feb: Dropped a voice note and a text 29th Jan: Ringing, dropped a text. and voice note sent. 27th Jan: Ringing, ropped a text. 24 Jan: Ringing. Sent a Voice note and a text ")</f>
        <v>10 March: Ringing, Dropped a Text 06 March: Ringing, Dropped a Text 02nd MArch: Ringing, Dropped a Text 27 Feb: Ringing, Dropped a Voice note and Text 23 Feb: Ringing, Dropped a Text 19 Feb: Ringing, Dropped a Text 13 Feb: Ringing, Dropped a Text 06th Feb: Didn't answer Dropped a Text 05th Feb: Dropped a voice note and a text 29th Jan: Ringing, dropped a text. and voice note sent. 27th Jan: Ringing, ropped a text. 24 Jan: Ringing. Sent a Voice note and a text </v>
      </c>
    </row>
    <row r="222">
      <c r="A222" s="400">
        <f>IFERROR(__xludf.DUMMYFUNCTION("""COMPUTED_VALUE"""),46046.0)</f>
        <v>46046</v>
      </c>
      <c r="B222" s="276" t="str">
        <f>IFERROR(__xludf.DUMMYFUNCTION("""COMPUTED_VALUE"""),"Sameir Sheikh")</f>
        <v>Sameir Sheikh</v>
      </c>
      <c r="C222" s="276" t="str">
        <f>IFERROR(__xludf.DUMMYFUNCTION("""COMPUTED_VALUE"""),"GoWarranty")</f>
        <v>GoWarranty</v>
      </c>
      <c r="D222" s="276" t="str">
        <f>IFERROR(__xludf.DUMMYFUNCTION("""COMPUTED_VALUE"""),"Cold")</f>
        <v>Cold</v>
      </c>
      <c r="E222" s="276" t="str">
        <f>IFERROR(__xludf.DUMMYFUNCTION("""COMPUTED_VALUE"""),"Andheri")</f>
        <v>Andheri</v>
      </c>
      <c r="F222" s="276" t="str">
        <f>IFERROR(__xludf.DUMMYFUNCTION("""COMPUTED_VALUE"""),"Andheri ")</f>
        <v>Andheri </v>
      </c>
      <c r="G222" s="276" t="str">
        <f>IFERROR(__xludf.DUMMYFUNCTION("""COMPUTED_VALUE"""),"Shubham ")</f>
        <v>Shubham </v>
      </c>
      <c r="H222" s="276" t="str">
        <f>IFERROR(__xludf.DUMMYFUNCTION("""COMPUTED_VALUE"""),"10 March : Called him 5 times today but have disconnected my call 09 Mach: He visited the sakinaka space and from then I am Trying to call him he has not answered   06 March: Ringing, Dropped a Text He replied saying he will visit on Monday  02nd MArch: R"&amp;"inging, Dropped a Text 27 Feb: Disconnected the call, dropped a Text 23 Feb: Ringing, Dropped a Text 19 Feb: Ringing, Dropped a Text 13 Feb: Ringing, Dropped a Text 06th Feb: Tried Calling Today, Didn't answer Dropped a Text 05th Feb: Ringing, Dropped a T"&amp;"ext 05th Feb: Ringing, droped a text 29th Jan: Ringing, Dropped a text 27th Jan: Ringing, dropped a text. 24 Jan: Ringing. Dropped a Text on WP")</f>
        <v>10 March : Called him 5 times today but have disconnected my call 09 Mach: He visited the sakinaka space and from then I am Trying to call him he has not answered   06 March: Ringing, Dropped a Text He replied saying he will visit on Monday  02nd MArch: Ringing, Dropped a Text 27 Feb: Disconnected the call, dropped a Text 23 Feb: Ringing, Dropped a Text 19 Feb: Ringing, Dropped a Text 13 Feb: Ringing, Dropped a Text 06th Feb: Tried Calling Today, Didn't answer Dropped a Text 05th Feb: Ringing, Dropped a Text 05th Feb: Ringing, droped a text 29th Jan: Ringing, Dropped a text 27th Jan: Ringing, dropped a text. 24 Jan: Ringing. Dropped a Text on WP</v>
      </c>
    </row>
    <row r="223">
      <c r="A223" s="400">
        <f>IFERROR(__xludf.DUMMYFUNCTION("""COMPUTED_VALUE"""),46046.0)</f>
        <v>46046</v>
      </c>
      <c r="B223" s="276" t="str">
        <f>IFERROR(__xludf.DUMMYFUNCTION("""COMPUTED_VALUE"""),"Sachin Dumbare")</f>
        <v>Sachin Dumbare</v>
      </c>
      <c r="C223" s="276" t="str">
        <f>IFERROR(__xludf.DUMMYFUNCTION("""COMPUTED_VALUE"""),"Angel one")</f>
        <v>Angel one</v>
      </c>
      <c r="D223" s="276" t="str">
        <f>IFERROR(__xludf.DUMMYFUNCTION("""COMPUTED_VALUE"""),"Cold")</f>
        <v>Cold</v>
      </c>
      <c r="E223" s="276" t="str">
        <f>IFERROR(__xludf.DUMMYFUNCTION("""COMPUTED_VALUE"""),"Andheri")</f>
        <v>Andheri</v>
      </c>
      <c r="F223" s="276" t="str">
        <f>IFERROR(__xludf.DUMMYFUNCTION("""COMPUTED_VALUE"""),"Andheri ")</f>
        <v>Andheri </v>
      </c>
      <c r="G223" s="276" t="str">
        <f>IFERROR(__xludf.DUMMYFUNCTION("""COMPUTED_VALUE"""),"Shubham ")</f>
        <v>Shubham </v>
      </c>
      <c r="H223" s="276" t="str">
        <f>IFERROR(__xludf.DUMMYFUNCTION("""COMPUTED_VALUE"""),"10 March: Disconnected my call, Dropped a Text 06 March: Ringing, Dropped a Text 02nd MArch: Ringing, Dropped a Text 27 Feb: Ringing, Dropped a Text 23 Feb: Ringing, Dropped a Text 19 Feb: Ringing, Dropped a Text 13 Feb: Ringing, Dropped a Text 06th Feb: "&amp;"Tried Calling Today, Didn't answer Dropped a Text 05th Feb: Ringing, Dropped a Text 05th Feb: Busy on another call dropped a text 29th Jan: He disconnected my call, will call in sometime, dropped a text. 27th Jan: Ringing, Dropped a text. 24 Jan: He is Bu"&amp;"sy asked me to call in 2nd half around 5pm. I tried calling him but it didn't connect ")</f>
        <v>10 March: Disconnected my call, Dropped a Text 06 March: Ringing, Dropped a Text 02nd MArch: Ringing, Dropped a Text 27 Feb: Ringing, Dropped a Text 23 Feb: Ringing, Dropped a Text 19 Feb: Ringing, Dropped a Text 13 Feb: Ringing, Dropped a Text 06th Feb: Tried Calling Today, Didn't answer Dropped a Text 05th Feb: Ringing, Dropped a Text 05th Feb: Busy on another call dropped a text 29th Jan: He disconnected my call, will call in sometime, dropped a text. 27th Jan: Ringing, Dropped a text. 24 Jan: He is Busy asked me to call in 2nd half around 5pm. I tried calling him but it didn't connect </v>
      </c>
    </row>
    <row r="224">
      <c r="A224" s="400">
        <f>IFERROR(__xludf.DUMMYFUNCTION("""COMPUTED_VALUE"""),46046.0)</f>
        <v>46046</v>
      </c>
      <c r="B224" s="276" t="str">
        <f>IFERROR(__xludf.DUMMYFUNCTION("""COMPUTED_VALUE"""),"Suresh  Pai")</f>
        <v>Suresh  Pai</v>
      </c>
      <c r="C224" s="276" t="str">
        <f>IFERROR(__xludf.DUMMYFUNCTION("""COMPUTED_VALUE"""),"Jio Financial Services Ltd")</f>
        <v>Jio Financial Services Ltd</v>
      </c>
      <c r="D224" s="276" t="str">
        <f>IFERROR(__xludf.DUMMYFUNCTION("""COMPUTED_VALUE"""),"Lost")</f>
        <v>Lost</v>
      </c>
      <c r="E224" s="276" t="str">
        <f>IFERROR(__xludf.DUMMYFUNCTION("""COMPUTED_VALUE"""),"Andheri")</f>
        <v>Andheri</v>
      </c>
      <c r="F224" s="276" t="str">
        <f>IFERROR(__xludf.DUMMYFUNCTION("""COMPUTED_VALUE"""),"Andheri ")</f>
        <v>Andheri </v>
      </c>
      <c r="G224" s="276" t="str">
        <f>IFERROR(__xludf.DUMMYFUNCTION("""COMPUTED_VALUE"""),"Shubham ")</f>
        <v>Shubham </v>
      </c>
      <c r="H224" s="276" t="str">
        <f>IFERROR(__xludf.DUMMYFUNCTION("""COMPUTED_VALUE"""),"05th Feb: Disconnected my call, dropped a text 03rd Feb: Ringing, dropped a Text 29th Jan: He is busy on another call will call back in sometime and I have also dropped a text on WP 27th Jan: Treid calling he didn't answer. 24 Jan: Ringing. Dropped a Text"&amp;" on WP")</f>
        <v>05th Feb: Disconnected my call, dropped a text 03rd Feb: Ringing, dropped a Text 29th Jan: He is busy on another call will call back in sometime and I have also dropped a text on WP 27th Jan: Treid calling he didn't answer. 24 Jan: Ringing. Dropped a Text on WP</v>
      </c>
    </row>
    <row r="225">
      <c r="A225" s="400">
        <f>IFERROR(__xludf.DUMMYFUNCTION("""COMPUTED_VALUE"""),46049.0)</f>
        <v>46049</v>
      </c>
      <c r="B225" s="276" t="str">
        <f>IFERROR(__xludf.DUMMYFUNCTION("""COMPUTED_VALUE"""),"Ketan  Trivedi ")</f>
        <v>Ketan  Trivedi </v>
      </c>
      <c r="C225" s="276" t="str">
        <f>IFERROR(__xludf.DUMMYFUNCTION("""COMPUTED_VALUE"""),"iWeb Technology PVT LTD")</f>
        <v>iWeb Technology PVT LTD</v>
      </c>
      <c r="D225" s="276" t="str">
        <f>IFERROR(__xludf.DUMMYFUNCTION("""COMPUTED_VALUE"""),"Cold")</f>
        <v>Cold</v>
      </c>
      <c r="E225" s="276" t="str">
        <f>IFERROR(__xludf.DUMMYFUNCTION("""COMPUTED_VALUE"""),"Andheri")</f>
        <v>Andheri</v>
      </c>
      <c r="F225" s="276" t="str">
        <f>IFERROR(__xludf.DUMMYFUNCTION("""COMPUTED_VALUE"""),"Andheri ")</f>
        <v>Andheri </v>
      </c>
      <c r="G225" s="276" t="str">
        <f>IFERROR(__xludf.DUMMYFUNCTION("""COMPUTED_VALUE"""),"Shubham ")</f>
        <v>Shubham </v>
      </c>
      <c r="H225" s="276" t="str">
        <f>IFERROR(__xludf.DUMMYFUNCTION("""COMPUTED_VALUE"""),"10 March: Ringing, Dropped a Text 06 March: Ringing, Dropped a Text 02nd MArch: Ringing, Dropped a Text 27 Feb: Ringing, Dropped a Text 23 Feb: Ringing, Dropped a Text 19 Feb: Ringing, Dropped a Text 13 Feb: Ringing, Dropped a Text 06th Feb: Tried Calling"&amp;" Today, Didn't answer Dropped a Text 05th Feb: Ringing, Dropped a Text 05th Feb: Tried calling he is not answering. Dropped a Text 29th Jan: He repied saying lets connect next week he is out of town. 28th Jan : He disconnected the call. I have dropped a t"&amp;"ext  27th Jan: Ringing. Dropped a text on WP. ")</f>
        <v>10 March: Ringing, Dropped a Text 06 March: Ringing, Dropped a Text 02nd MArch: Ringing, Dropped a Text 27 Feb: Ringing, Dropped a Text 23 Feb: Ringing, Dropped a Text 19 Feb: Ringing, Dropped a Text 13 Feb: Ringing, Dropped a Text 06th Feb: Tried Calling Today, Didn't answer Dropped a Text 05th Feb: Ringing, Dropped a Text 05th Feb: Tried calling he is not answering. Dropped a Text 29th Jan: He repied saying lets connect next week he is out of town. 28th Jan : He disconnected the call. I have dropped a text  27th Jan: Ringing. Dropped a text on WP. </v>
      </c>
    </row>
    <row r="226">
      <c r="A226" s="400">
        <f>IFERROR(__xludf.DUMMYFUNCTION("""COMPUTED_VALUE"""),46049.0)</f>
        <v>46049</v>
      </c>
      <c r="B226" s="276" t="str">
        <f>IFERROR(__xludf.DUMMYFUNCTION("""COMPUTED_VALUE"""),"Nilesh  Jha")</f>
        <v>Nilesh  Jha</v>
      </c>
      <c r="C226" s="276" t="str">
        <f>IFERROR(__xludf.DUMMYFUNCTION("""COMPUTED_VALUE"""),"Liberty General Insurance ")</f>
        <v>Liberty General Insurance </v>
      </c>
      <c r="D226" s="276" t="str">
        <f>IFERROR(__xludf.DUMMYFUNCTION("""COMPUTED_VALUE"""),"Lost")</f>
        <v>Lost</v>
      </c>
      <c r="E226" s="276" t="str">
        <f>IFERROR(__xludf.DUMMYFUNCTION("""COMPUTED_VALUE"""),"Andheri")</f>
        <v>Andheri</v>
      </c>
      <c r="F226" s="276" t="str">
        <f>IFERROR(__xludf.DUMMYFUNCTION("""COMPUTED_VALUE"""),"Andheri ")</f>
        <v>Andheri </v>
      </c>
      <c r="G226" s="276" t="str">
        <f>IFERROR(__xludf.DUMMYFUNCTION("""COMPUTED_VALUE"""),"Shubham ")</f>
        <v>Shubham </v>
      </c>
      <c r="H226" s="276" t="str">
        <f>IFERROR(__xludf.DUMMYFUNCTION("""COMPUTED_VALUE"""),"29th Jan: Spoke. He said no requirement as of now by mistakely someone filled the details no requirements as of now 28th Jan: Spoke. He said he is in a meeting and will call back ")</f>
        <v>29th Jan: Spoke. He said no requirement as of now by mistakely someone filled the details no requirements as of now 28th Jan: Spoke. He said he is in a meeting and will call back </v>
      </c>
    </row>
    <row r="227">
      <c r="A227" s="400">
        <f>IFERROR(__xludf.DUMMYFUNCTION("""COMPUTED_VALUE"""),46049.0)</f>
        <v>46049</v>
      </c>
      <c r="B227" s="276" t="str">
        <f>IFERROR(__xludf.DUMMYFUNCTION("""COMPUTED_VALUE"""),"Manish  Kapasi ")</f>
        <v>Manish  Kapasi </v>
      </c>
      <c r="C227" s="276" t="str">
        <f>IFERROR(__xludf.DUMMYFUNCTION("""COMPUTED_VALUE"""),"Avion")</f>
        <v>Avion</v>
      </c>
      <c r="D227" s="276" t="str">
        <f>IFERROR(__xludf.DUMMYFUNCTION("""COMPUTED_VALUE"""),"Cold")</f>
        <v>Cold</v>
      </c>
      <c r="E227" s="276" t="str">
        <f>IFERROR(__xludf.DUMMYFUNCTION("""COMPUTED_VALUE"""),"Andheri")</f>
        <v>Andheri</v>
      </c>
      <c r="F227" s="276" t="str">
        <f>IFERROR(__xludf.DUMMYFUNCTION("""COMPUTED_VALUE"""),"Andheri ")</f>
        <v>Andheri </v>
      </c>
      <c r="G227" s="276" t="str">
        <f>IFERROR(__xludf.DUMMYFUNCTION("""COMPUTED_VALUE"""),"Shubham ")</f>
        <v>Shubham </v>
      </c>
      <c r="H227" s="276" t="str">
        <f>IFERROR(__xludf.DUMMYFUNCTION("""COMPUTED_VALUE"""),"10 March: Busy on call Dropped a Text 06 March: Ringing, Dropped a Text 02nd MArch: Ringing, Dropped a Text 27 Feb: Ringing, Dropped a Text 23 Feb: Ringing, Dropped a Text 19 Feb: Ringing, Dropped a Text 13 Feb: Ringing, Dropped a Text 06th Feb: Tried Cal"&amp;"ling Today, Didn't answer Dropped a Text  05th Feb: Tried calling, He is not answering dropped a text 02nd Feb: He repiled to the text saying need 600 sqft, for 10-12 seats I have pitched ad sent the details and images of sakinaka  29th Jan: Spoke. He sai"&amp;"d In a meeting drop a text will revert 28th Jan: Tried calling he is busy on a call, I have dropped a text and will call back in sometime again ")</f>
        <v>10 March: Busy on call Dropped a Text 06 March: Ringing, Dropped a Text 02nd MArch: Ringing, Dropped a Text 27 Feb: Ringing, Dropped a Text 23 Feb: Ringing, Dropped a Text 19 Feb: Ringing, Dropped a Text 13 Feb: Ringing, Dropped a Text 06th Feb: Tried Calling Today, Didn't answer Dropped a Text  05th Feb: Tried calling, He is not answering dropped a text 02nd Feb: He repiled to the text saying need 600 sqft, for 10-12 seats I have pitched ad sent the details and images of sakinaka  29th Jan: Spoke. He said In a meeting drop a text will revert 28th Jan: Tried calling he is busy on a call, I have dropped a text and will call back in sometime again </v>
      </c>
    </row>
    <row r="228">
      <c r="A228" s="400">
        <f>IFERROR(__xludf.DUMMYFUNCTION("""COMPUTED_VALUE"""),46049.0)</f>
        <v>46049</v>
      </c>
      <c r="B228" s="276" t="str">
        <f>IFERROR(__xludf.DUMMYFUNCTION("""COMPUTED_VALUE"""),"Arun  Sabnis ")</f>
        <v>Arun  Sabnis </v>
      </c>
      <c r="C228" s="276" t="str">
        <f>IFERROR(__xludf.DUMMYFUNCTION("""COMPUTED_VALUE"""),"Creator Advertising LTD")</f>
        <v>Creator Advertising LTD</v>
      </c>
      <c r="D228" s="276" t="str">
        <f>IFERROR(__xludf.DUMMYFUNCTION("""COMPUTED_VALUE"""),"Lost")</f>
        <v>Lost</v>
      </c>
      <c r="E228" s="276" t="str">
        <f>IFERROR(__xludf.DUMMYFUNCTION("""COMPUTED_VALUE"""),"Andheri")</f>
        <v>Andheri</v>
      </c>
      <c r="F228" s="276" t="str">
        <f>IFERROR(__xludf.DUMMYFUNCTION("""COMPUTED_VALUE"""),"Andheri ")</f>
        <v>Andheri </v>
      </c>
      <c r="G228" s="276" t="str">
        <f>IFERROR(__xludf.DUMMYFUNCTION("""COMPUTED_VALUE"""),"Shubham ")</f>
        <v>Shubham </v>
      </c>
      <c r="H228" s="276" t="str">
        <f>IFERROR(__xludf.DUMMYFUNCTION("""COMPUTED_VALUE"""),"06th Feb: Spoke to Sameer ji, he said Arun ji is continuing with their exisiting office which in Mira road. 05th Feb: Tried calling Arun ji and Sameer both, disconnected. Dropped a Text over wp  04th Feb: Spoke to Arun ji, he said I will talk to sameer an"&amp;"d get back 2nd Feb: Tried calling Arun ji &amp; Sameer ji, both didn't answer I have dropped a text 
28th Jan: Spoke. The requirement is shared and I have pitched sakinaka, spoke to sameer ji as well who is from Admin in his team. Shared the details over what"&amp;"sapp, asked me to not send it over mail ")</f>
        <v>06th Feb: Spoke to Sameer ji, he said Arun ji is continuing with their exisiting office which in Mira road. 05th Feb: Tried calling Arun ji and Sameer both, disconnected. Dropped a Text over wp  04th Feb: Spoke to Arun ji, he said I will talk to sameer and get back 2nd Feb: Tried calling Arun ji &amp; Sameer ji, both didn't answer I have dropped a text 
28th Jan: Spoke. The requirement is shared and I have pitched sakinaka, spoke to sameer ji as well who is from Admin in his team. Shared the details over whatsapp, asked me to not send it over mail </v>
      </c>
    </row>
    <row r="229">
      <c r="A229" s="400">
        <f>IFERROR(__xludf.DUMMYFUNCTION("""COMPUTED_VALUE"""),46049.0)</f>
        <v>46049</v>
      </c>
      <c r="B229" s="276" t="str">
        <f>IFERROR(__xludf.DUMMYFUNCTION("""COMPUTED_VALUE"""),"Raktim  ")</f>
        <v>Raktim  </v>
      </c>
      <c r="C229" s="276" t="str">
        <f>IFERROR(__xludf.DUMMYFUNCTION("""COMPUTED_VALUE"""),"Esperer Onco Nutrition ")</f>
        <v>Esperer Onco Nutrition </v>
      </c>
      <c r="D229" s="276" t="str">
        <f>IFERROR(__xludf.DUMMYFUNCTION("""COMPUTED_VALUE"""),"Lost")</f>
        <v>Lost</v>
      </c>
      <c r="E229" s="276" t="str">
        <f>IFERROR(__xludf.DUMMYFUNCTION("""COMPUTED_VALUE"""),"Andheri")</f>
        <v>Andheri</v>
      </c>
      <c r="F229" s="276" t="str">
        <f>IFERROR(__xludf.DUMMYFUNCTION("""COMPUTED_VALUE"""),"Andheri ")</f>
        <v>Andheri </v>
      </c>
      <c r="G229" s="276" t="str">
        <f>IFERROR(__xludf.DUMMYFUNCTION("""COMPUTED_VALUE"""),"Shubham ")</f>
        <v>Shubham </v>
      </c>
      <c r="H229" s="276" t="str">
        <f>IFERROR(__xludf.DUMMYFUNCTION("""COMPUTED_VALUE"""),"28th Jan: Tried calling he has not answered, dropped a voice not a message over WP. Spoke. He is looking for a space in Vikroli East for 15w.s, 2 cabins and 1 conference of 6 seats, check with the team if we can do this. I tried pitching sakinaka, but the"&amp;"ir current office is in sakinaka and because of traffic they want to move. Thier budget is 1 lakh ")</f>
        <v>28th Jan: Tried calling he has not answered, dropped a voice not a message over WP. Spoke. He is looking for a space in Vikroli East for 15w.s, 2 cabins and 1 conference of 6 seats, check with the team if we can do this. I tried pitching sakinaka, but their current office is in sakinaka and because of traffic they want to move. Thier budget is 1 lakh </v>
      </c>
    </row>
    <row r="230">
      <c r="A230" s="400">
        <f>IFERROR(__xludf.DUMMYFUNCTION("""COMPUTED_VALUE"""),46049.0)</f>
        <v>46049</v>
      </c>
      <c r="B230" s="276" t="str">
        <f>IFERROR(__xludf.DUMMYFUNCTION("""COMPUTED_VALUE"""),"Chirag  Mehta ")</f>
        <v>Chirag  Mehta </v>
      </c>
      <c r="C230" s="276" t="str">
        <f>IFERROR(__xludf.DUMMYFUNCTION("""COMPUTED_VALUE"""),"Enrich Securities")</f>
        <v>Enrich Securities</v>
      </c>
      <c r="D230" s="276" t="str">
        <f>IFERROR(__xludf.DUMMYFUNCTION("""COMPUTED_VALUE"""),"Lost")</f>
        <v>Lost</v>
      </c>
      <c r="E230" s="276" t="str">
        <f>IFERROR(__xludf.DUMMYFUNCTION("""COMPUTED_VALUE"""),"Andheri")</f>
        <v>Andheri</v>
      </c>
      <c r="F230" s="276" t="str">
        <f>IFERROR(__xludf.DUMMYFUNCTION("""COMPUTED_VALUE"""),"Andheri ")</f>
        <v>Andheri </v>
      </c>
      <c r="G230" s="276" t="str">
        <f>IFERROR(__xludf.DUMMYFUNCTION("""COMPUTED_VALUE"""),"Shubham ")</f>
        <v>Shubham </v>
      </c>
      <c r="H230" s="276" t="str">
        <f>IFERROR(__xludf.DUMMYFUNCTION("""COMPUTED_VALUE"""),"28th Jan: Spoke. He said there is no requirement as of now and kept the phone ")</f>
        <v>28th Jan: Spoke. He said there is no requirement as of now and kept the phone </v>
      </c>
    </row>
    <row r="231">
      <c r="A231" s="400">
        <f>IFERROR(__xludf.DUMMYFUNCTION("""COMPUTED_VALUE"""),46049.0)</f>
        <v>46049</v>
      </c>
      <c r="B231" s="276" t="str">
        <f>IFERROR(__xludf.DUMMYFUNCTION("""COMPUTED_VALUE"""),"Balkrishna  Tiwari ")</f>
        <v>Balkrishna  Tiwari </v>
      </c>
      <c r="C231" s="276" t="str">
        <f>IFERROR(__xludf.DUMMYFUNCTION("""COMPUTED_VALUE"""),"JMD Insurance services ")</f>
        <v>JMD Insurance services </v>
      </c>
      <c r="D231" s="276" t="str">
        <f>IFERROR(__xludf.DUMMYFUNCTION("""COMPUTED_VALUE"""),"Lost")</f>
        <v>Lost</v>
      </c>
      <c r="E231" s="276" t="str">
        <f>IFERROR(__xludf.DUMMYFUNCTION("""COMPUTED_VALUE"""),"Andheri")</f>
        <v>Andheri</v>
      </c>
      <c r="F231" s="276" t="str">
        <f>IFERROR(__xludf.DUMMYFUNCTION("""COMPUTED_VALUE"""),"Andheri ")</f>
        <v>Andheri </v>
      </c>
      <c r="G231" s="276" t="str">
        <f>IFERROR(__xludf.DUMMYFUNCTION("""COMPUTED_VALUE"""),"Shubham ")</f>
        <v>Shubham </v>
      </c>
      <c r="H231" s="276" t="str">
        <f>IFERROR(__xludf.DUMMYFUNCTION("""COMPUTED_VALUE"""),"03rd Feb: He just kept the call saying requirement done 02nd Feb: Tried calling you didn't answer dropped a text. 29th Jan: Ringing dropped a text and voice note as well. 28th Jan: Ringing, dropped a text")</f>
        <v>03rd Feb: He just kept the call saying requirement done 02nd Feb: Tried calling you didn't answer dropped a text. 29th Jan: Ringing dropped a text and voice note as well. 28th Jan: Ringing, dropped a text</v>
      </c>
    </row>
    <row r="232">
      <c r="A232" s="400">
        <f>IFERROR(__xludf.DUMMYFUNCTION("""COMPUTED_VALUE"""),46049.0)</f>
        <v>46049</v>
      </c>
      <c r="B232" s="276" t="str">
        <f>IFERROR(__xludf.DUMMYFUNCTION("""COMPUTED_VALUE"""),"Rikin  Doshi ")</f>
        <v>Rikin  Doshi </v>
      </c>
      <c r="C232" s="276" t="str">
        <f>IFERROR(__xludf.DUMMYFUNCTION("""COMPUTED_VALUE"""),"Flying Pencil ")</f>
        <v>Flying Pencil </v>
      </c>
      <c r="D232" s="276" t="str">
        <f>IFERROR(__xludf.DUMMYFUNCTION("""COMPUTED_VALUE"""),"Warm")</f>
        <v>Warm</v>
      </c>
      <c r="E232" s="276" t="str">
        <f>IFERROR(__xludf.DUMMYFUNCTION("""COMPUTED_VALUE"""),"Andheri")</f>
        <v>Andheri</v>
      </c>
      <c r="F232" s="276" t="str">
        <f>IFERROR(__xludf.DUMMYFUNCTION("""COMPUTED_VALUE"""),"Andheri ")</f>
        <v>Andheri </v>
      </c>
      <c r="G232" s="276" t="str">
        <f>IFERROR(__xludf.DUMMYFUNCTION("""COMPUTED_VALUE"""),"Shubham ")</f>
        <v>Shubham </v>
      </c>
      <c r="H232" s="276" t="str">
        <f>IFERROR(__xludf.DUMMYFUNCTION("""COMPUTED_VALUE"""),"27 Feb: He said Sakinaka wont work for him because of Traffice, Tried pitching other option in Andheri but his budget is only 2.5 Max for Fully managed space will have to discuss internally if we want to cater to this requirement 26th Feb: Spoke he said h"&amp;"e will try to visit as he is caught up with something 13th Feb : ringing dropped a text 07th Feb: Spoke he said he is not in Mumbai will come next weekend connect then 05th Feb: Spoke. He said he will come down for inspection on saturday and will confirm "&amp;"by tomorrow for the same 02nd Feb: Spoke. He said will discuss the option of sakinaka because this fits their pocket and will try to visit on Saturday 29th Jan: Spoke. He said curently occupied in other tasks connect on Saturday 28th Jan : Spoke and pitch"&amp;"ed the Landmark space, they are not sure whether they want a co working space will check and revert tomorrow. Also pitched Sakinaka, but the client is not looking at sakinaka ")</f>
        <v>27 Feb: He said Sakinaka wont work for him because of Traffice, Tried pitching other option in Andheri but his budget is only 2.5 Max for Fully managed space will have to discuss internally if we want to cater to this requirement 26th Feb: Spoke he said he will try to visit as he is caught up with something 13th Feb : ringing dropped a text 07th Feb: Spoke he said he is not in Mumbai will come next weekend connect then 05th Feb: Spoke. He said he will come down for inspection on saturday and will confirm by tomorrow for the same 02nd Feb: Spoke. He said will discuss the option of sakinaka because this fits their pocket and will try to visit on Saturday 29th Jan: Spoke. He said curently occupied in other tasks connect on Saturday 28th Jan : Spoke and pitched the Landmark space, they are not sure whether they want a co working space will check and revert tomorrow. Also pitched Sakinaka, but the client is not looking at sakinaka </v>
      </c>
    </row>
    <row r="233">
      <c r="A233" s="400">
        <f>IFERROR(__xludf.DUMMYFUNCTION("""COMPUTED_VALUE"""),46049.0)</f>
        <v>46049</v>
      </c>
      <c r="B233" s="276" t="str">
        <f>IFERROR(__xludf.DUMMYFUNCTION("""COMPUTED_VALUE"""),"Vishwannath  Reddy ")</f>
        <v>Vishwannath  Reddy </v>
      </c>
      <c r="C233" s="276" t="str">
        <f>IFERROR(__xludf.DUMMYFUNCTION("""COMPUTED_VALUE"""),"Shriram Automall ")</f>
        <v>Shriram Automall </v>
      </c>
      <c r="D233" s="276" t="str">
        <f>IFERROR(__xludf.DUMMYFUNCTION("""COMPUTED_VALUE"""),"Hold")</f>
        <v>Hold</v>
      </c>
      <c r="E233" s="276" t="str">
        <f>IFERROR(__xludf.DUMMYFUNCTION("""COMPUTED_VALUE"""),"Andheri")</f>
        <v>Andheri</v>
      </c>
      <c r="F233" s="276" t="str">
        <f>IFERROR(__xludf.DUMMYFUNCTION("""COMPUTED_VALUE"""),"Andheri ")</f>
        <v>Andheri </v>
      </c>
      <c r="G233" s="276" t="str">
        <f>IFERROR(__xludf.DUMMYFUNCTION("""COMPUTED_VALUE"""),"Shubham ")</f>
        <v>Shubham </v>
      </c>
      <c r="H233" s="276" t="str">
        <f>IFERROR(__xludf.DUMMYFUNCTION("""COMPUTED_VALUE"""),"16th Feb: Spoke. He said the requirement is not live for now and has gone on hold, I have recorded that on mail 06th Feb: Spoke. I aksed for a meeting as the options are already shared but he said he is not in Mumbai and will come in next week 05th Feb: R"&amp;"inging, Dropped a text message 04th Feb: He has asked me to call tomorrow 02nd Feb: Tried calling him twice no he has not answered. I have dropped a text 31th Jan: We have shared the options 29th Jan: We have to share the options. 28th Jan: Spoke they hav"&amp;"e the requirement as specified location preferred is Kurla to Andheri, Sent introductory deck also have to share the options ")</f>
        <v>16th Feb: Spoke. He said the requirement is not live for now and has gone on hold, I have recorded that on mail 06th Feb: Spoke. I aksed for a meeting as the options are already shared but he said he is not in Mumbai and will come in next week 05th Feb: Ringing, Dropped a text message 04th Feb: He has asked me to call tomorrow 02nd Feb: Tried calling him twice no he has not answered. I have dropped a text 31th Jan: We have shared the options 29th Jan: We have to share the options. 28th Jan: Spoke they have the requirement as specified location preferred is Kurla to Andheri, Sent introductory deck also have to share the options </v>
      </c>
    </row>
    <row r="234">
      <c r="A234" s="400">
        <f>IFERROR(__xludf.DUMMYFUNCTION("""COMPUTED_VALUE"""),46049.0)</f>
        <v>46049</v>
      </c>
      <c r="B234" s="276" t="str">
        <f>IFERROR(__xludf.DUMMYFUNCTION("""COMPUTED_VALUE"""),"Pravin  Rohra ")</f>
        <v>Pravin  Rohra </v>
      </c>
      <c r="C234" s="276"/>
      <c r="D234" s="276" t="str">
        <f>IFERROR(__xludf.DUMMYFUNCTION("""COMPUTED_VALUE"""),"Hold")</f>
        <v>Hold</v>
      </c>
      <c r="E234" s="276" t="str">
        <f>IFERROR(__xludf.DUMMYFUNCTION("""COMPUTED_VALUE"""),"Andheri")</f>
        <v>Andheri</v>
      </c>
      <c r="F234" s="276" t="str">
        <f>IFERROR(__xludf.DUMMYFUNCTION("""COMPUTED_VALUE"""),"Andheri ")</f>
        <v>Andheri </v>
      </c>
      <c r="G234" s="276" t="str">
        <f>IFERROR(__xludf.DUMMYFUNCTION("""COMPUTED_VALUE"""),"Shubham ")</f>
        <v>Shubham </v>
      </c>
      <c r="H234" s="276" t="str">
        <f>IFERROR(__xludf.DUMMYFUNCTION("""COMPUTED_VALUE"""),"08th Feb: As discussed with Geeta ji the requirement is currently on hold as per thier Managements call 06th Feb: Spoke to Mukesh ji, he said he will check with his management and let us know by Monday 06th Feb: Shared the First cut layout to mukesh ji &amp; "&amp;"geeta ji on mail 03rd Feb: Mr. Mukesh visited the space and the next steps are to give the mock layout following with commercials and the requirement is 12 w.s (3*2) + 2 cabins on the facade and 1 conference room 02nd Feb: Tried calling both didn't answer"&amp;", dropped a text. Geeta ji replied saying her collegue Mr. Mukesh will mostly visit the sakinaka space tomorrow.  29th Jan: Spoke. Pravin ji gave the call to Geeta ji, I have pitched Sakinaka, sent an introducion mail with the space details and images. 28"&amp;"th Jan: Ringing, dropped a text")</f>
        <v>08th Feb: As discussed with Geeta ji the requirement is currently on hold as per thier Managements call 06th Feb: Spoke to Mukesh ji, he said he will check with his management and let us know by Monday 06th Feb: Shared the First cut layout to mukesh ji &amp; geeta ji on mail 03rd Feb: Mr. Mukesh visited the space and the next steps are to give the mock layout following with commercials and the requirement is 12 w.s (3*2) + 2 cabins on the facade and 1 conference room 02nd Feb: Tried calling both didn't answer, dropped a text. Geeta ji replied saying her collegue Mr. Mukesh will mostly visit the sakinaka space tomorrow.  29th Jan: Spoke. Pravin ji gave the call to Geeta ji, I have pitched Sakinaka, sent an introducion mail with the space details and images. 28th Jan: Ringing, dropped a text</v>
      </c>
    </row>
    <row r="235">
      <c r="A235" s="400">
        <f>IFERROR(__xludf.DUMMYFUNCTION("""COMPUTED_VALUE"""),46051.0)</f>
        <v>46051</v>
      </c>
      <c r="B235" s="276" t="str">
        <f>IFERROR(__xludf.DUMMYFUNCTION("""COMPUTED_VALUE"""),"Supriya  Rao ")</f>
        <v>Supriya  Rao </v>
      </c>
      <c r="C235" s="276" t="str">
        <f>IFERROR(__xludf.DUMMYFUNCTION("""COMPUTED_VALUE"""),"Fundly ")</f>
        <v>Fundly </v>
      </c>
      <c r="D235" s="276" t="str">
        <f>IFERROR(__xludf.DUMMYFUNCTION("""COMPUTED_VALUE"""),"Hold")</f>
        <v>Hold</v>
      </c>
      <c r="E235" s="276" t="str">
        <f>IFERROR(__xludf.DUMMYFUNCTION("""COMPUTED_VALUE"""),"Andheri")</f>
        <v>Andheri</v>
      </c>
      <c r="F235" s="276" t="str">
        <f>IFERROR(__xludf.DUMMYFUNCTION("""COMPUTED_VALUE"""),"Andheri ")</f>
        <v>Andheri </v>
      </c>
      <c r="G235" s="276" t="str">
        <f>IFERROR(__xludf.DUMMYFUNCTION("""COMPUTED_VALUE"""),"Shubham ")</f>
        <v>Shubham </v>
      </c>
      <c r="H235" s="276" t="str">
        <f>IFERROR(__xludf.DUMMYFUNCTION("""COMPUTED_VALUE"""),"15 March: They have hold the Requirement as of now because of War situation 13 March: She said she is in a meeting and the senior is not yet here in Mumbai 10 March: Spoke. She said the Senior Admin has not returned yet touch base on next week 06 March: B"&amp;"usy on another call dropped a text Spoke she said her senior admin is not in town and will be back on Next week touch base then 05 March : Ringing, dropped a text 04 March: Ringing, dropped a text I have sent a followup mail 02 March: Ringing, Dropped a t"&amp;"ext 27 Feb: Ringing, dropped a text. She called back and said the requirement is still live and I strongly Pitched Landmark, she is open to see the unit but their budget is 12k per seat. I have asked for a meeting and she mentioned Touch base on Wednesday"&amp;" 16th Feb: Ringing, dropped a Text 13th Feb: Ringing dropped a text 10th Feb: Ringing Dropped a Text. 06th Feb: Spoke. She said I had check that what will be the commercials for the same, I asked her to visit. She said she will try to visit on Monday 05th"&amp;" Feb: Ringing, dropped a text 04th Feb: Ringing, Didn't answer my call will call tomorrow again 02nd Feb: Spoke. She is occupied today asked me to call tomorow. 30th Jan: Shared the details of Landmark over mail 29th Jan: Spoke. They Need 45 w.s. 2 cabins"&amp;" and 10 seater conference room. I have pitched and shared the images of Landmark. They are currently at wework Marol and are paying Rs. 20,000 per seat and their lease expires on May 31.")</f>
        <v>15 March: They have hold the Requirement as of now because of War situation 13 March: She said she is in a meeting and the senior is not yet here in Mumbai 10 March: Spoke. She said the Senior Admin has not returned yet touch base on next week 06 March: Busy on another call dropped a text Spoke she said her senior admin is not in town and will be back on Next week touch base then 05 March : Ringing, dropped a text 04 March: Ringing, dropped a text I have sent a followup mail 02 March: Ringing, Dropped a text 27 Feb: Ringing, dropped a text. She called back and said the requirement is still live and I strongly Pitched Landmark, she is open to see the unit but their budget is 12k per seat. I have asked for a meeting and she mentioned Touch base on Wednesday 16th Feb: Ringing, dropped a Text 13th Feb: Ringing dropped a text 10th Feb: Ringing Dropped a Text. 06th Feb: Spoke. She said I had check that what will be the commercials for the same, I asked her to visit. She said she will try to visit on Monday 05th Feb: Ringing, dropped a text 04th Feb: Ringing, Didn't answer my call will call tomorrow again 02nd Feb: Spoke. She is occupied today asked me to call tomorow. 30th Jan: Shared the details of Landmark over mail 29th Jan: Spoke. They Need 45 w.s. 2 cabins and 10 seater conference room. I have pitched and shared the images of Landmark. They are currently at wework Marol and are paying Rs. 20,000 per seat and their lease expires on May 31.</v>
      </c>
    </row>
    <row r="236">
      <c r="A236" s="400">
        <f>IFERROR(__xludf.DUMMYFUNCTION("""COMPUTED_VALUE"""),46051.0)</f>
        <v>46051</v>
      </c>
      <c r="B236" s="276" t="str">
        <f>IFERROR(__xludf.DUMMYFUNCTION("""COMPUTED_VALUE"""),"Aniket  Bagve")</f>
        <v>Aniket  Bagve</v>
      </c>
      <c r="C236" s="276" t="str">
        <f>IFERROR(__xludf.DUMMYFUNCTION("""COMPUTED_VALUE"""),"Edelwises capital NBFC")</f>
        <v>Edelwises capital NBFC</v>
      </c>
      <c r="D236" s="276" t="str">
        <f>IFERROR(__xludf.DUMMYFUNCTION("""COMPUTED_VALUE"""),"Hold")</f>
        <v>Hold</v>
      </c>
      <c r="E236" s="276" t="str">
        <f>IFERROR(__xludf.DUMMYFUNCTION("""COMPUTED_VALUE"""),"Andheri")</f>
        <v>Andheri</v>
      </c>
      <c r="F236" s="276" t="str">
        <f>IFERROR(__xludf.DUMMYFUNCTION("""COMPUTED_VALUE"""),"Andheri ")</f>
        <v>Andheri </v>
      </c>
      <c r="G236" s="276" t="str">
        <f>IFERROR(__xludf.DUMMYFUNCTION("""COMPUTED_VALUE"""),"Shubham ")</f>
        <v>Shubham </v>
      </c>
      <c r="H236" s="276" t="str">
        <f>IFERROR(__xludf.DUMMYFUNCTION("""COMPUTED_VALUE"""),"04th Feb: Tried calling him for a follow up, didn't answer dropped a text 02nd Feb: Spoke. Looking for a 4 seater cabin space, Pitced Sakinaka doesn't work for him. Pitched Landmark. Move in timeline 2 months 31st Jan: Tried Calling didn't Answer dropped "&amp;"a Text. 29th Jan: Ringing, Dropped a Voice note and a text over WP")</f>
        <v>04th Feb: Tried calling him for a follow up, didn't answer dropped a text 02nd Feb: Spoke. Looking for a 4 seater cabin space, Pitced Sakinaka doesn't work for him. Pitched Landmark. Move in timeline 2 months 31st Jan: Tried Calling didn't Answer dropped a Text. 29th Jan: Ringing, Dropped a Voice note and a text over WP</v>
      </c>
    </row>
    <row r="237">
      <c r="A237" s="400">
        <f>IFERROR(__xludf.DUMMYFUNCTION("""COMPUTED_VALUE"""),46051.0)</f>
        <v>46051</v>
      </c>
      <c r="B237" s="276" t="str">
        <f>IFERROR(__xludf.DUMMYFUNCTION("""COMPUTED_VALUE"""),"Abhijeet  Morey ")</f>
        <v>Abhijeet  Morey </v>
      </c>
      <c r="C237" s="276" t="str">
        <f>IFERROR(__xludf.DUMMYFUNCTION("""COMPUTED_VALUE"""),"Voltas ")</f>
        <v>Voltas </v>
      </c>
      <c r="D237" s="276" t="str">
        <f>IFERROR(__xludf.DUMMYFUNCTION("""COMPUTED_VALUE"""),"Hold")</f>
        <v>Hold</v>
      </c>
      <c r="E237" s="276" t="str">
        <f>IFERROR(__xludf.DUMMYFUNCTION("""COMPUTED_VALUE"""),"Andheri")</f>
        <v>Andheri</v>
      </c>
      <c r="F237" s="276" t="str">
        <f>IFERROR(__xludf.DUMMYFUNCTION("""COMPUTED_VALUE"""),"Andheri ")</f>
        <v>Andheri </v>
      </c>
      <c r="G237" s="276" t="str">
        <f>IFERROR(__xludf.DUMMYFUNCTION("""COMPUTED_VALUE"""),"Shubham ")</f>
        <v>Shubham </v>
      </c>
      <c r="H237" s="276" t="str">
        <f>IFERROR(__xludf.DUMMYFUNCTION("""COMPUTED_VALUE"""),"10th March: Ringing, dropped a text 06th Feb: Spoke. He said currently the requirement is on hold 04th Feb: Ringing, Dropped a text 02nd Feb: Ringing. Dropped a Text  31st Jan: Ringing Dropped a Text 29th Jan: Busy on call. Dropped a Text")</f>
        <v>10th March: Ringing, dropped a text 06th Feb: Spoke. He said currently the requirement is on hold 04th Feb: Ringing, Dropped a text 02nd Feb: Ringing. Dropped a Text  31st Jan: Ringing Dropped a Text 29th Jan: Busy on call. Dropped a Text</v>
      </c>
    </row>
    <row r="238">
      <c r="A238" s="400">
        <f>IFERROR(__xludf.DUMMYFUNCTION("""COMPUTED_VALUE"""),46052.0)</f>
        <v>46052</v>
      </c>
      <c r="B238" s="276" t="str">
        <f>IFERROR(__xludf.DUMMYFUNCTION("""COMPUTED_VALUE"""),"Dollarose  Vaz")</f>
        <v>Dollarose  Vaz</v>
      </c>
      <c r="C238" s="276" t="str">
        <f>IFERROR(__xludf.DUMMYFUNCTION("""COMPUTED_VALUE""")," Drip Capital")</f>
        <v> Drip Capital</v>
      </c>
      <c r="D238" s="276" t="str">
        <f>IFERROR(__xludf.DUMMYFUNCTION("""COMPUTED_VALUE"""),"Hold")</f>
        <v>Hold</v>
      </c>
      <c r="E238" s="276" t="str">
        <f>IFERROR(__xludf.DUMMYFUNCTION("""COMPUTED_VALUE"""),"Andheri")</f>
        <v>Andheri</v>
      </c>
      <c r="F238" s="276" t="str">
        <f>IFERROR(__xludf.DUMMYFUNCTION("""COMPUTED_VALUE"""),"Andheri ")</f>
        <v>Andheri </v>
      </c>
      <c r="G238" s="276" t="str">
        <f>IFERROR(__xludf.DUMMYFUNCTION("""COMPUTED_VALUE"""),"Shubham ")</f>
        <v>Shubham </v>
      </c>
      <c r="H238" s="276" t="str">
        <f>IFERROR(__xludf.DUMMYFUNCTION("""COMPUTED_VALUE"""),"Requirement on hold 13 MArch: I have replied to mail saying Rs. 18.750 per seat number 12 March: She has reverted with the mail saying her budget is 17-18k Per seat only for SCP Give commercials basis that 10 March: Mehul sir Spoke to her yesterday and ma"&amp;"de a few changes in the layout which will now be made by Diwakar 07 March: We shared the commercial deck with her over mail which she find to costly. 05 March: Met her team and shared the MOM we have to share all the commercials and 3D's and 2D's 02 March"&amp;": Meeting her on Thursday 12pm in their office to showcase our 3D 27 Feb: She Replied saying She will confirm the Meeting on Monday for Wednesday 26 Feb: We have sent Landmark and SCP Layout over mail and Asked for meeting for Monday 17th Feb: Ringing, Te"&amp;"xted her asking can we line up inspection for tomorrow. She Replied on Text saying we can do the site inspection on Friday at 3pm 16th Feb: Ringing, Dropped a text she repied saying need 1-2 days more as the Admin Has just joined back today and will plan "&amp;"visit in 1-2 days 09th Feb: Spoke. She said their Admin Manager is on leave and will return in Next week touch base then  08th Feb: Ringing, Dropped a Text 06th Feb: Ringing, Dropped a text 05th Feb: Sent the intorductory deck and share the options as wel"&amp;"l 04th Feb: She shared me a brief requirement and was caught up wit some work asked me to call tomorrow in the morning 02nd Feb: She said she is in a meeting and will call back in an hour 31st Jan: Tried Calling Didn't answer will drop a text 30th Jan: Sa"&amp;"niel Sir tried calling you but didn't answer")</f>
        <v>Requirement on hold 13 MArch: I have replied to mail saying Rs. 18.750 per seat number 12 March: She has reverted with the mail saying her budget is 17-18k Per seat only for SCP Give commercials basis that 10 March: Mehul sir Spoke to her yesterday and made a few changes in the layout which will now be made by Diwakar 07 March: We shared the commercial deck with her over mail which she find to costly. 05 March: Met her team and shared the MOM we have to share all the commercials and 3D's and 2D's 02 March: Meeting her on Thursday 12pm in their office to showcase our 3D 27 Feb: She Replied saying She will confirm the Meeting on Monday for Wednesday 26 Feb: We have sent Landmark and SCP Layout over mail and Asked for meeting for Monday 17th Feb: Ringing, Texted her asking can we line up inspection for tomorrow. She Replied on Text saying we can do the site inspection on Friday at 3pm 16th Feb: Ringing, Dropped a text she repied saying need 1-2 days more as the Admin Has just joined back today and will plan visit in 1-2 days 09th Feb: Spoke. She said their Admin Manager is on leave and will return in Next week touch base then  08th Feb: Ringing, Dropped a Text 06th Feb: Ringing, Dropped a text 05th Feb: Sent the intorductory deck and share the options as well 04th Feb: She shared me a brief requirement and was caught up wit some work asked me to call tomorrow in the morning 02nd Feb: She said she is in a meeting and will call back in an hour 31st Jan: Tried Calling Didn't answer will drop a text 30th Jan: Saniel Sir tried calling you but didn't answer</v>
      </c>
    </row>
    <row r="239">
      <c r="A239" s="400">
        <f>IFERROR(__xludf.DUMMYFUNCTION("""COMPUTED_VALUE"""),46055.0)</f>
        <v>46055</v>
      </c>
      <c r="B239" s="276" t="str">
        <f>IFERROR(__xludf.DUMMYFUNCTION("""COMPUTED_VALUE"""),"Dipti  Chitale ")</f>
        <v>Dipti  Chitale </v>
      </c>
      <c r="C239" s="276" t="str">
        <f>IFERROR(__xludf.DUMMYFUNCTION("""COMPUTED_VALUE"""),"Mechlai Financial Solutions LTD ")</f>
        <v>Mechlai Financial Solutions LTD </v>
      </c>
      <c r="D239" s="276" t="str">
        <f>IFERROR(__xludf.DUMMYFUNCTION("""COMPUTED_VALUE"""),"Hold")</f>
        <v>Hold</v>
      </c>
      <c r="E239" s="276" t="str">
        <f>IFERROR(__xludf.DUMMYFUNCTION("""COMPUTED_VALUE"""),"Andheri")</f>
        <v>Andheri</v>
      </c>
      <c r="F239" s="276" t="str">
        <f>IFERROR(__xludf.DUMMYFUNCTION("""COMPUTED_VALUE"""),"Andheri ")</f>
        <v>Andheri </v>
      </c>
      <c r="G239" s="276" t="str">
        <f>IFERROR(__xludf.DUMMYFUNCTION("""COMPUTED_VALUE"""),"Shubham ")</f>
        <v>Shubham </v>
      </c>
      <c r="H239" s="276" t="str">
        <f>IFERROR(__xludf.DUMMYFUNCTION("""COMPUTED_VALUE"""),"25 Feb: Spoke to Hemant he said the requirement is currently on Hold and are continuing in Colaba itself also Tried reaching out to Dipti Ma'am she disconnected the call 20 Feb: Dipti disconnected my call and Hemant said will have to check with Dipti ma'a"&amp;"m, I have pitched for as is where is Sakinaka 19 Feb: Tried calling Hemant and Dipti Both didn't answer the call 17 Feb: Ringing, Dropped a text 16th Feb: Spoke to Hemant and dipti both they said their budget is max 3.5 lakhs which is the top that they ca"&amp;"n go upto as we shared the layout for landmark for their requirement as well, discuss this with the team 9th Feb: Shared the inventory on mail and asked Hemant ji to visit he said he is busy and will need the layout first 06th Feb: Spoke. The requirement "&amp;"doesn't fit in the Sakinaka space the option of Landmark over mail and asked team to create mock layout 04th Feb: Mr. Hemant from Admin team Visited the space of sakinaka. Liked the space we have to give mock layouts as per the rquirement brief 02nd Feb: "&amp;"Tried calling didn't answer the call, will call aain in sometime. Dropped a Text over Wp. Spoke she has asked me to share the details of Sakinaka and landmark. ")</f>
        <v>25 Feb: Spoke to Hemant he said the requirement is currently on Hold and are continuing in Colaba itself also Tried reaching out to Dipti Ma'am she disconnected the call 20 Feb: Dipti disconnected my call and Hemant said will have to check with Dipti ma'am, I have pitched for as is where is Sakinaka 19 Feb: Tried calling Hemant and Dipti Both didn't answer the call 17 Feb: Ringing, Dropped a text 16th Feb: Spoke to Hemant and dipti both they said their budget is max 3.5 lakhs which is the top that they can go upto as we shared the layout for landmark for their requirement as well, discuss this with the team 9th Feb: Shared the inventory on mail and asked Hemant ji to visit he said he is busy and will need the layout first 06th Feb: Spoke. The requirement doesn't fit in the Sakinaka space the option of Landmark over mail and asked team to create mock layout 04th Feb: Mr. Hemant from Admin team Visited the space of sakinaka. Liked the space we have to give mock layouts as per the rquirement brief 02nd Feb: Tried calling didn't answer the call, will call aain in sometime. Dropped a Text over Wp. Spoke she has asked me to share the details of Sakinaka and landmark. </v>
      </c>
    </row>
    <row r="240">
      <c r="A240" s="400">
        <f>IFERROR(__xludf.DUMMYFUNCTION("""COMPUTED_VALUE"""),46055.0)</f>
        <v>46055</v>
      </c>
      <c r="B240" s="276" t="str">
        <f>IFERROR(__xludf.DUMMYFUNCTION("""COMPUTED_VALUE"""),"Nishika  Ghoda ")</f>
        <v>Nishika  Ghoda </v>
      </c>
      <c r="C240" s="276"/>
      <c r="D240" s="276" t="str">
        <f>IFERROR(__xludf.DUMMYFUNCTION("""COMPUTED_VALUE"""),"Lost")</f>
        <v>Lost</v>
      </c>
      <c r="E240" s="276" t="str">
        <f>IFERROR(__xludf.DUMMYFUNCTION("""COMPUTED_VALUE"""),"Andheri")</f>
        <v>Andheri</v>
      </c>
      <c r="F240" s="276" t="str">
        <f>IFERROR(__xludf.DUMMYFUNCTION("""COMPUTED_VALUE"""),"Andheri ")</f>
        <v>Andheri </v>
      </c>
      <c r="G240" s="276" t="str">
        <f>IFERROR(__xludf.DUMMYFUNCTION("""COMPUTED_VALUE"""),"Shubham ")</f>
        <v>Shubham </v>
      </c>
      <c r="H240" s="276" t="str">
        <f>IFERROR(__xludf.DUMMYFUNCTION("""COMPUTED_VALUE"""),"02nd Feb: She said has dropped the plan and continuing in their space.")</f>
        <v>02nd Feb: She said has dropped the plan and continuing in their space.</v>
      </c>
    </row>
    <row r="241">
      <c r="A241" s="400">
        <f>IFERROR(__xludf.DUMMYFUNCTION("""COMPUTED_VALUE"""),46055.0)</f>
        <v>46055</v>
      </c>
      <c r="B241" s="276" t="str">
        <f>IFERROR(__xludf.DUMMYFUNCTION("""COMPUTED_VALUE"""),"Rajinder  Sethi ")</f>
        <v>Rajinder  Sethi </v>
      </c>
      <c r="C241" s="276" t="str">
        <f>IFERROR(__xludf.DUMMYFUNCTION("""COMPUTED_VALUE"""),"Silverline clearing and forwarding agency")</f>
        <v>Silverline clearing and forwarding agency</v>
      </c>
      <c r="D241" s="276" t="str">
        <f>IFERROR(__xludf.DUMMYFUNCTION("""COMPUTED_VALUE"""),"Lost")</f>
        <v>Lost</v>
      </c>
      <c r="E241" s="276" t="str">
        <f>IFERROR(__xludf.DUMMYFUNCTION("""COMPUTED_VALUE"""),"Andheri")</f>
        <v>Andheri</v>
      </c>
      <c r="F241" s="276" t="str">
        <f>IFERROR(__xludf.DUMMYFUNCTION("""COMPUTED_VALUE"""),"Andheri ")</f>
        <v>Andheri </v>
      </c>
      <c r="G241" s="276" t="str">
        <f>IFERROR(__xludf.DUMMYFUNCTION("""COMPUTED_VALUE"""),"Shubham ")</f>
        <v>Shubham </v>
      </c>
      <c r="H241" s="276" t="str">
        <f>IFERROR(__xludf.DUMMYFUNCTION("""COMPUTED_VALUE"""),"18 Feb: He said the requirement is closed 16th Feb: Ringing dropped a text 13th Feb: Ringing, dropped a text 09th Feb: Tried calling, didn;t answer dropped a text 06th Feb: Ringing, dropped a Text 04th Feb: Ringing, Dropped a Text 02nd Feb: Busy on anothe"&amp;"r call, will call back in sometime and I have dropped a text. ")</f>
        <v>18 Feb: He said the requirement is closed 16th Feb: Ringing dropped a text 13th Feb: Ringing, dropped a text 09th Feb: Tried calling, didn;t answer dropped a text 06th Feb: Ringing, dropped a Text 04th Feb: Ringing, Dropped a Text 02nd Feb: Busy on another call, will call back in sometime and I have dropped a text. </v>
      </c>
    </row>
    <row r="242">
      <c r="A242" s="400">
        <f>IFERROR(__xludf.DUMMYFUNCTION("""COMPUTED_VALUE"""),46057.0)</f>
        <v>46057</v>
      </c>
      <c r="B242" s="276" t="str">
        <f>IFERROR(__xludf.DUMMYFUNCTION("""COMPUTED_VALUE"""),"Sukanya  Pange ")</f>
        <v>Sukanya  Pange </v>
      </c>
      <c r="C242" s="276" t="str">
        <f>IFERROR(__xludf.DUMMYFUNCTION("""COMPUTED_VALUE"""),"R k Sarang &amp; co ")</f>
        <v>R k Sarang &amp; co </v>
      </c>
      <c r="D242" s="276" t="str">
        <f>IFERROR(__xludf.DUMMYFUNCTION("""COMPUTED_VALUE"""),"Cold")</f>
        <v>Cold</v>
      </c>
      <c r="E242" s="276" t="str">
        <f>IFERROR(__xludf.DUMMYFUNCTION("""COMPUTED_VALUE"""),"Andheri")</f>
        <v>Andheri</v>
      </c>
      <c r="F242" s="276" t="str">
        <f>IFERROR(__xludf.DUMMYFUNCTION("""COMPUTED_VALUE"""),"Andheri ")</f>
        <v>Andheri </v>
      </c>
      <c r="G242" s="276" t="str">
        <f>IFERROR(__xludf.DUMMYFUNCTION("""COMPUTED_VALUE"""),"Shubham ")</f>
        <v>Shubham </v>
      </c>
      <c r="H242" s="276" t="str">
        <f>IFERROR(__xludf.DUMMYFUNCTION("""COMPUTED_VALUE"""),"10 March: Ringing, Dropped a Text 06 March: Ringing, Dropped a Text 02nd MArch: Ringing, Dropped a Text 27 Feb: Ringing, Message Dropped 23rd Feb: Ringing dropped a Text 17th Feb: Ringing, Dropped a text 13th feb: Ringing, Dropped a text 06th Feb: Ringing"&amp;", Dropped a Text 04th Feb: Spoke. Shared the requirement. I have pitched and shared the details of Sakinaka. ")</f>
        <v>10 March: Ringing, Dropped a Text 06 March: Ringing, Dropped a Text 02nd MArch: Ringing, Dropped a Text 27 Feb: Ringing, Message Dropped 23rd Feb: Ringing dropped a Text 17th Feb: Ringing, Dropped a text 13th feb: Ringing, Dropped a text 06th Feb: Ringing, Dropped a Text 04th Feb: Spoke. Shared the requirement. I have pitched and shared the details of Sakinaka. </v>
      </c>
    </row>
    <row r="243">
      <c r="A243" s="400">
        <f>IFERROR(__xludf.DUMMYFUNCTION("""COMPUTED_VALUE"""),46057.0)</f>
        <v>46057</v>
      </c>
      <c r="B243" s="276" t="str">
        <f>IFERROR(__xludf.DUMMYFUNCTION("""COMPUTED_VALUE"""),"Niklilesh Mishra ")</f>
        <v>Niklilesh Mishra </v>
      </c>
      <c r="C243" s="276"/>
      <c r="D243" s="276" t="str">
        <f>IFERROR(__xludf.DUMMYFUNCTION("""COMPUTED_VALUE"""),"Lost")</f>
        <v>Lost</v>
      </c>
      <c r="E243" s="276" t="str">
        <f>IFERROR(__xludf.DUMMYFUNCTION("""COMPUTED_VALUE"""),"Andheri")</f>
        <v>Andheri</v>
      </c>
      <c r="F243" s="276" t="str">
        <f>IFERROR(__xludf.DUMMYFUNCTION("""COMPUTED_VALUE"""),"Andheri ")</f>
        <v>Andheri </v>
      </c>
      <c r="G243" s="276" t="str">
        <f>IFERROR(__xludf.DUMMYFUNCTION("""COMPUTED_VALUE"""),"Shubham ")</f>
        <v>Shubham </v>
      </c>
      <c r="H243" s="276" t="str">
        <f>IFERROR(__xludf.DUMMYFUNCTION("""COMPUTED_VALUE"""),"04th Feb: He just kept the call saying. Already finalized somewhere else ")</f>
        <v>04th Feb: He just kept the call saying. Already finalized somewhere else </v>
      </c>
    </row>
    <row r="244">
      <c r="A244" s="400">
        <f>IFERROR(__xludf.DUMMYFUNCTION("""COMPUTED_VALUE"""),46057.0)</f>
        <v>46057</v>
      </c>
      <c r="B244" s="276" t="str">
        <f>IFERROR(__xludf.DUMMYFUNCTION("""COMPUTED_VALUE"""),"Farhan  Khan ")</f>
        <v>Farhan  Khan </v>
      </c>
      <c r="C244" s="276" t="str">
        <f>IFERROR(__xludf.DUMMYFUNCTION("""COMPUTED_VALUE"""),"Alchemist Talent &amp; marketing soltuions")</f>
        <v>Alchemist Talent &amp; marketing soltuions</v>
      </c>
      <c r="D244" s="276" t="str">
        <f>IFERROR(__xludf.DUMMYFUNCTION("""COMPUTED_VALUE"""),"Hold")</f>
        <v>Hold</v>
      </c>
      <c r="E244" s="276" t="str">
        <f>IFERROR(__xludf.DUMMYFUNCTION("""COMPUTED_VALUE"""),"Andheri")</f>
        <v>Andheri</v>
      </c>
      <c r="F244" s="276" t="str">
        <f>IFERROR(__xludf.DUMMYFUNCTION("""COMPUTED_VALUE"""),"Andheri ")</f>
        <v>Andheri </v>
      </c>
      <c r="G244" s="276" t="str">
        <f>IFERROR(__xludf.DUMMYFUNCTION("""COMPUTED_VALUE"""),"Shubham ")</f>
        <v>Shubham </v>
      </c>
      <c r="H244" s="276" t="str">
        <f>IFERROR(__xludf.DUMMYFUNCTION("""COMPUTED_VALUE"""),"10 March: Spoke he said the reuriement is still on hold 09th Feb: He said the requirment is currently on hold as per his management descision. I have recorded the same on mail 06th Feb: Tried calling him twice, didn't answer, dropped a Text 05th Feb: Trie"&amp;"d calling didn't answer dropped a Text 04th Feb: Spoke. He shared the requirement brief. I have proposed few options on call as well. Current office is in Kanakia zillion. Looking for options on in Andheri kurla Road. I have shared the introductory deck a"&amp;"nd the first cut inventory options over mail ")</f>
        <v>10 March: Spoke he said the reuriement is still on hold 09th Feb: He said the requirment is currently on hold as per his management descision. I have recorded the same on mail 06th Feb: Tried calling him twice, didn't answer, dropped a Text 05th Feb: Tried calling didn't answer dropped a Text 04th Feb: Spoke. He shared the requirement brief. I have proposed few options on call as well. Current office is in Kanakia zillion. Looking for options on in Andheri kurla Road. I have shared the introductory deck and the first cut inventory options over mail </v>
      </c>
    </row>
    <row r="245">
      <c r="A245" s="400">
        <f>IFERROR(__xludf.DUMMYFUNCTION("""COMPUTED_VALUE"""),46058.0)</f>
        <v>46058</v>
      </c>
      <c r="B245" s="276" t="str">
        <f>IFERROR(__xludf.DUMMYFUNCTION("""COMPUTED_VALUE"""),"Dikesh  Darge ")</f>
        <v>Dikesh  Darge </v>
      </c>
      <c r="C245" s="276" t="str">
        <f>IFERROR(__xludf.DUMMYFUNCTION("""COMPUTED_VALUE"""),"SD Expresslink PVT LTD")</f>
        <v>SD Expresslink PVT LTD</v>
      </c>
      <c r="D245" s="276" t="str">
        <f>IFERROR(__xludf.DUMMYFUNCTION("""COMPUTED_VALUE"""),"Lost")</f>
        <v>Lost</v>
      </c>
      <c r="E245" s="276" t="str">
        <f>IFERROR(__xludf.DUMMYFUNCTION("""COMPUTED_VALUE"""),"Andheri")</f>
        <v>Andheri</v>
      </c>
      <c r="F245" s="276" t="str">
        <f>IFERROR(__xludf.DUMMYFUNCTION("""COMPUTED_VALUE"""),"Andheri ")</f>
        <v>Andheri </v>
      </c>
      <c r="G245" s="276" t="str">
        <f>IFERROR(__xludf.DUMMYFUNCTION("""COMPUTED_VALUE"""),"Shubham ")</f>
        <v>Shubham </v>
      </c>
      <c r="H245" s="276" t="str">
        <f>IFERROR(__xludf.DUMMYFUNCTION("""COMPUTED_VALUE"""),"06 March: He said he Already took a space in Sakinaka conventional at 20k rentals 04 March: Ringing, Dropped a text 27 Feb: Switched off, Dropped a text 25 Feb: Switched off, dropped a Text 20 Feb: Ringing Dropped a text. 17 Feb: He didn't answer, Dropped"&amp;" a text. 16th Feb: Tried calling he said he is busy and call tomorrow 06th Feb: Busy on another call, Texted him 05th Feb: Spoke. He has shared the requirement brief, I have pitched and shared the details of Sakinaka over whatsapp ")</f>
        <v>06 March: He said he Already took a space in Sakinaka conventional at 20k rentals 04 March: Ringing, Dropped a text 27 Feb: Switched off, Dropped a text 25 Feb: Switched off, dropped a Text 20 Feb: Ringing Dropped a text. 17 Feb: He didn't answer, Dropped a text. 16th Feb: Tried calling he said he is busy and call tomorrow 06th Feb: Busy on another call, Texted him 05th Feb: Spoke. He has shared the requirement brief, I have pitched and shared the details of Sakinaka over whatsapp </v>
      </c>
    </row>
    <row r="246">
      <c r="A246" s="400">
        <f>IFERROR(__xludf.DUMMYFUNCTION("""COMPUTED_VALUE"""),46058.0)</f>
        <v>46058</v>
      </c>
      <c r="B246" s="276" t="str">
        <f>IFERROR(__xludf.DUMMYFUNCTION("""COMPUTED_VALUE"""),"Bupen Gokani ")</f>
        <v>Bupen Gokani </v>
      </c>
      <c r="C246" s="276" t="str">
        <f>IFERROR(__xludf.DUMMYFUNCTION("""COMPUTED_VALUE"""),"EDifice Medical Technologies ")</f>
        <v>EDifice Medical Technologies </v>
      </c>
      <c r="D246" s="276" t="str">
        <f>IFERROR(__xludf.DUMMYFUNCTION("""COMPUTED_VALUE"""),"Cold")</f>
        <v>Cold</v>
      </c>
      <c r="E246" s="276" t="str">
        <f>IFERROR(__xludf.DUMMYFUNCTION("""COMPUTED_VALUE"""),"Andheri")</f>
        <v>Andheri</v>
      </c>
      <c r="F246" s="276" t="str">
        <f>IFERROR(__xludf.DUMMYFUNCTION("""COMPUTED_VALUE"""),"Andheri ")</f>
        <v>Andheri </v>
      </c>
      <c r="G246" s="276" t="str">
        <f>IFERROR(__xludf.DUMMYFUNCTION("""COMPUTED_VALUE"""),"Shubham ")</f>
        <v>Shubham </v>
      </c>
      <c r="H246" s="276" t="str">
        <f>IFERROR(__xludf.DUMMYFUNCTION("""COMPUTED_VALUE"""),"10 March: Ringing, Dropped a Text 06 March: Ringing, Dropped a Text 02nd MArch: Ringing, Dropped a Text 27 Feb: Ringing, Dropped a Text 23 Feb: Ringing, Dropped a Text 19 Feb: Ringing, Dropped a Text 13 Feb: Ringing, Dropped a Text 06th Feb: Tried Calling"&amp;" Today, Didn't answer Dropped a Text 05th Feb: Ringing, Dropped a Text 05th Feb: Spoke, He is in a meeting asked me to Text on wp")</f>
        <v>10 March: Ringing, Dropped a Text 06 March: Ringing, Dropped a Text 02nd MArch: Ringing, Dropped a Text 27 Feb: Ringing, Dropped a Text 23 Feb: Ringing, Dropped a Text 19 Feb: Ringing, Dropped a Text 13 Feb: Ringing, Dropped a Text 06th Feb: Tried Calling Today, Didn't answer Dropped a Text 05th Feb: Ringing, Dropped a Text 05th Feb: Spoke, He is in a meeting asked me to Text on wp</v>
      </c>
    </row>
    <row r="247">
      <c r="A247" s="400">
        <f>IFERROR(__xludf.DUMMYFUNCTION("""COMPUTED_VALUE"""),46058.0)</f>
        <v>46058</v>
      </c>
      <c r="B247" s="276" t="str">
        <f>IFERROR(__xludf.DUMMYFUNCTION("""COMPUTED_VALUE"""),"Piyush  Rawat")</f>
        <v>Piyush  Rawat</v>
      </c>
      <c r="C247" s="276" t="str">
        <f>IFERROR(__xludf.DUMMYFUNCTION("""COMPUTED_VALUE"""),"Yes Madam ")</f>
        <v>Yes Madam </v>
      </c>
      <c r="D247" s="276" t="str">
        <f>IFERROR(__xludf.DUMMYFUNCTION("""COMPUTED_VALUE"""),"Cold")</f>
        <v>Cold</v>
      </c>
      <c r="E247" s="276" t="str">
        <f>IFERROR(__xludf.DUMMYFUNCTION("""COMPUTED_VALUE"""),"Andheri")</f>
        <v>Andheri</v>
      </c>
      <c r="F247" s="276" t="str">
        <f>IFERROR(__xludf.DUMMYFUNCTION("""COMPUTED_VALUE"""),"Andheri ")</f>
        <v>Andheri </v>
      </c>
      <c r="G247" s="276" t="str">
        <f>IFERROR(__xludf.DUMMYFUNCTION("""COMPUTED_VALUE"""),"Shubham ")</f>
        <v>Shubham </v>
      </c>
      <c r="H247" s="276" t="str">
        <f>IFERROR(__xludf.DUMMYFUNCTION("""COMPUTED_VALUE"""),"10 March: Ringing, Dropped a Text 06 March: Ringing, Dropped a Text 02nd MArch: Ringing, Dropped a Text 27 Feb: Ringing, Dropped a Text 23 Feb: Ringing, Dropped a Text 19 Feb: Ringing, Dropped a Text 13 Feb: Ringing, Dropped a Text 06th Feb: Tried Calling"&amp;" Today, Didn't answer Dropped a Text 05th Feb: Ringing, Dropped a Text")</f>
        <v>10 March: Ringing, Dropped a Text 06 March: Ringing, Dropped a Text 02nd MArch: Ringing, Dropped a Text 27 Feb: Ringing, Dropped a Text 23 Feb: Ringing, Dropped a Text 19 Feb: Ringing, Dropped a Text 13 Feb: Ringing, Dropped a Text 06th Feb: Tried Calling Today, Didn't answer Dropped a Text 05th Feb: Ringing, Dropped a Text</v>
      </c>
    </row>
    <row r="248">
      <c r="A248" s="400">
        <f>IFERROR(__xludf.DUMMYFUNCTION("""COMPUTED_VALUE"""),46060.0)</f>
        <v>46060</v>
      </c>
      <c r="B248" s="276" t="str">
        <f>IFERROR(__xludf.DUMMYFUNCTION("""COMPUTED_VALUE"""),"Mayuresh  Kamat ")</f>
        <v>Mayuresh  Kamat </v>
      </c>
      <c r="C248" s="276" t="str">
        <f>IFERROR(__xludf.DUMMYFUNCTION("""COMPUTED_VALUE"""),"Dart Global ")</f>
        <v>Dart Global </v>
      </c>
      <c r="D248" s="276" t="str">
        <f>IFERROR(__xludf.DUMMYFUNCTION("""COMPUTED_VALUE"""),"Cold")</f>
        <v>Cold</v>
      </c>
      <c r="E248" s="276" t="str">
        <f>IFERROR(__xludf.DUMMYFUNCTION("""COMPUTED_VALUE"""),"Andheri")</f>
        <v>Andheri</v>
      </c>
      <c r="F248" s="276" t="str">
        <f>IFERROR(__xludf.DUMMYFUNCTION("""COMPUTED_VALUE"""),"Andheri ")</f>
        <v>Andheri </v>
      </c>
      <c r="G248" s="276" t="str">
        <f>IFERROR(__xludf.DUMMYFUNCTION("""COMPUTED_VALUE"""),"Shubham ")</f>
        <v>Shubham </v>
      </c>
      <c r="H248" s="276" t="str">
        <f>IFERROR(__xludf.DUMMYFUNCTION("""COMPUTED_VALUE"""),"10 March: Ringing, Dropped a Text 06 March: Ringing, Dropped a Text 02nd MArch: Ringing, Dropped a Text 27 Feb: Ringing, Dropped a voice note and Text  23 Feb: Ringing, Dropped a Text 19 Feb: Ringing, Dropped a Text 13 Feb: Ringing, Dropped a Tex t07th Fe"&amp;"b: Didn't answer my call, dropped a text")</f>
        <v>10 March: Ringing, Dropped a Text 06 March: Ringing, Dropped a Text 02nd MArch: Ringing, Dropped a Text 27 Feb: Ringing, Dropped a voice note and Text  23 Feb: Ringing, Dropped a Text 19 Feb: Ringing, Dropped a Text 13 Feb: Ringing, Dropped a Tex t07th Feb: Didn't answer my call, dropped a text</v>
      </c>
    </row>
    <row r="249">
      <c r="A249" s="400">
        <f>IFERROR(__xludf.DUMMYFUNCTION("""COMPUTED_VALUE"""),46060.0)</f>
        <v>46060</v>
      </c>
      <c r="B249" s="276" t="str">
        <f>IFERROR(__xludf.DUMMYFUNCTION("""COMPUTED_VALUE"""),"Amit  Joshi ")</f>
        <v>Amit  Joshi </v>
      </c>
      <c r="C249" s="276" t="str">
        <f>IFERROR(__xludf.DUMMYFUNCTION("""COMPUTED_VALUE"""),"East Consultancy Pvt Ltd")</f>
        <v>East Consultancy Pvt Ltd</v>
      </c>
      <c r="D249" s="276" t="str">
        <f>IFERROR(__xludf.DUMMYFUNCTION("""COMPUTED_VALUE"""),"Cold")</f>
        <v>Cold</v>
      </c>
      <c r="E249" s="276" t="str">
        <f>IFERROR(__xludf.DUMMYFUNCTION("""COMPUTED_VALUE"""),"Andheri")</f>
        <v>Andheri</v>
      </c>
      <c r="F249" s="276" t="str">
        <f>IFERROR(__xludf.DUMMYFUNCTION("""COMPUTED_VALUE"""),"Andheri ")</f>
        <v>Andheri </v>
      </c>
      <c r="G249" s="276" t="str">
        <f>IFERROR(__xludf.DUMMYFUNCTION("""COMPUTED_VALUE"""),"Shubham ")</f>
        <v>Shubham </v>
      </c>
      <c r="H249" s="276" t="str">
        <f>IFERROR(__xludf.DUMMYFUNCTION("""COMPUTED_VALUE"""),"10 March : Ringing, Dropped a Text 06 March: Ringing, Dropped a Text 02nd March: Ringing, Dropped a Text 27 Feb: Ringing, Dropped a Text 23 Feb: Ringing, Didn't answer 19 feb: Ringing, Dropped a Text 16 feb: Ringing, did not answer 12 feb: Spoke and shaed"&amp;" the details of sakinaka 07th Feb: Disconnected my call dropped a Text ")</f>
        <v>10 March : Ringing, Dropped a Text 06 March: Ringing, Dropped a Text 02nd March: Ringing, Dropped a Text 27 Feb: Ringing, Dropped a Text 23 Feb: Ringing, Didn't answer 19 feb: Ringing, Dropped a Text 16 feb: Ringing, did not answer 12 feb: Spoke and shaed the details of sakinaka 07th Feb: Disconnected my call dropped a Text </v>
      </c>
    </row>
    <row r="250">
      <c r="A250" s="400">
        <f>IFERROR(__xludf.DUMMYFUNCTION("""COMPUTED_VALUE"""),46060.0)</f>
        <v>46060</v>
      </c>
      <c r="B250" s="276" t="str">
        <f>IFERROR(__xludf.DUMMYFUNCTION("""COMPUTED_VALUE"""),"Mahesh  Mhatre ")</f>
        <v>Mahesh  Mhatre </v>
      </c>
      <c r="C250" s="276"/>
      <c r="D250" s="276" t="str">
        <f>IFERROR(__xludf.DUMMYFUNCTION("""COMPUTED_VALUE"""),"Lost")</f>
        <v>Lost</v>
      </c>
      <c r="E250" s="276" t="str">
        <f>IFERROR(__xludf.DUMMYFUNCTION("""COMPUTED_VALUE"""),"Andheri")</f>
        <v>Andheri</v>
      </c>
      <c r="F250" s="276" t="str">
        <f>IFERROR(__xludf.DUMMYFUNCTION("""COMPUTED_VALUE"""),"Andheri ")</f>
        <v>Andheri </v>
      </c>
      <c r="G250" s="276" t="str">
        <f>IFERROR(__xludf.DUMMYFUNCTION("""COMPUTED_VALUE"""),"Shubham ")</f>
        <v>Shubham </v>
      </c>
      <c r="H250" s="276" t="str">
        <f>IFERROR(__xludf.DUMMYFUNCTION("""COMPUTED_VALUE"""),"07th Feb: He said I am not at all looking for a space DND")</f>
        <v>07th Feb: He said I am not at all looking for a space DND</v>
      </c>
    </row>
    <row r="251">
      <c r="A251" s="400">
        <f>IFERROR(__xludf.DUMMYFUNCTION("""COMPUTED_VALUE"""),46060.0)</f>
        <v>46060</v>
      </c>
      <c r="B251" s="276" t="str">
        <f>IFERROR(__xludf.DUMMYFUNCTION("""COMPUTED_VALUE"""),"Nilesh Mishra ")</f>
        <v>Nilesh Mishra </v>
      </c>
      <c r="C251" s="276"/>
      <c r="D251" s="276" t="str">
        <f>IFERROR(__xludf.DUMMYFUNCTION("""COMPUTED_VALUE"""),"Lost")</f>
        <v>Lost</v>
      </c>
      <c r="E251" s="276" t="str">
        <f>IFERROR(__xludf.DUMMYFUNCTION("""COMPUTED_VALUE"""),"Andheri")</f>
        <v>Andheri</v>
      </c>
      <c r="F251" s="276" t="str">
        <f>IFERROR(__xludf.DUMMYFUNCTION("""COMPUTED_VALUE"""),"Andheri ")</f>
        <v>Andheri </v>
      </c>
      <c r="G251" s="276" t="str">
        <f>IFERROR(__xludf.DUMMYFUNCTION("""COMPUTED_VALUE"""),"Shubham ")</f>
        <v>Shubham </v>
      </c>
      <c r="H251" s="276" t="str">
        <f>IFERROR(__xludf.DUMMYFUNCTION("""COMPUTED_VALUE"""),"09 Feb: He said the requirement is no longer live due to budget issues 07th Feb: Spoke he wants 3 seats and the budget is Rs. 4000 to 5000 per seat only. Shared the details over Whatsapp of sakinaka")</f>
        <v>09 Feb: He said the requirement is no longer live due to budget issues 07th Feb: Spoke he wants 3 seats and the budget is Rs. 4000 to 5000 per seat only. Shared the details over Whatsapp of sakinaka</v>
      </c>
    </row>
    <row r="252">
      <c r="A252" s="400">
        <f>IFERROR(__xludf.DUMMYFUNCTION("""COMPUTED_VALUE"""),46060.0)</f>
        <v>46060</v>
      </c>
      <c r="B252" s="276" t="str">
        <f>IFERROR(__xludf.DUMMYFUNCTION("""COMPUTED_VALUE"""),"Ravi  Malviya ")</f>
        <v>Ravi  Malviya </v>
      </c>
      <c r="C252" s="276" t="str">
        <f>IFERROR(__xludf.DUMMYFUNCTION("""COMPUTED_VALUE"""),"Gl Security Pvt Ltd ")</f>
        <v>Gl Security Pvt Ltd </v>
      </c>
      <c r="D252" s="276" t="str">
        <f>IFERROR(__xludf.DUMMYFUNCTION("""COMPUTED_VALUE"""),"Cold")</f>
        <v>Cold</v>
      </c>
      <c r="E252" s="276" t="str">
        <f>IFERROR(__xludf.DUMMYFUNCTION("""COMPUTED_VALUE"""),"Andheri")</f>
        <v>Andheri</v>
      </c>
      <c r="F252" s="276" t="str">
        <f>IFERROR(__xludf.DUMMYFUNCTION("""COMPUTED_VALUE"""),"Andheri ")</f>
        <v>Andheri </v>
      </c>
      <c r="G252" s="276" t="str">
        <f>IFERROR(__xludf.DUMMYFUNCTION("""COMPUTED_VALUE"""),"Shubham ")</f>
        <v>Shubham </v>
      </c>
      <c r="H252" s="276" t="str">
        <f>IFERROR(__xludf.DUMMYFUNCTION("""COMPUTED_VALUE"""),"10 March: Spoke he said busy in a meeting will call back  06 March: Ringing, dropped a text 02nd MArch : Ringing, dropped a text 27 Feb: Ringing, Message dropped 23rd Feb:Ringing, Dropped a text16th Feb: Ringing, Dropped a text 11th Feb : Tried calling di"&amp;"d not answer the call 07th Feb: Spoke He said thier first prefernce is not sharing the space but then too he asked for the details. Shared the same over wp")</f>
        <v>10 March: Spoke he said busy in a meeting will call back  06 March: Ringing, dropped a text 02nd MArch : Ringing, dropped a text 27 Feb: Ringing, Message dropped 23rd Feb:Ringing, Dropped a text16th Feb: Ringing, Dropped a text 11th Feb : Tried calling did not answer the call 07th Feb: Spoke He said thier first prefernce is not sharing the space but then too he asked for the details. Shared the same over wp</v>
      </c>
    </row>
    <row r="253">
      <c r="A253" s="400">
        <f>IFERROR(__xludf.DUMMYFUNCTION("""COMPUTED_VALUE"""),46060.0)</f>
        <v>46060</v>
      </c>
      <c r="B253" s="276" t="str">
        <f>IFERROR(__xludf.DUMMYFUNCTION("""COMPUTED_VALUE"""),"Rohit  Dalvi ")</f>
        <v>Rohit  Dalvi </v>
      </c>
      <c r="C253" s="276"/>
      <c r="D253" s="276" t="str">
        <f>IFERROR(__xludf.DUMMYFUNCTION("""COMPUTED_VALUE"""),"Lost")</f>
        <v>Lost</v>
      </c>
      <c r="E253" s="276" t="str">
        <f>IFERROR(__xludf.DUMMYFUNCTION("""COMPUTED_VALUE"""),"Andheri")</f>
        <v>Andheri</v>
      </c>
      <c r="F253" s="276" t="str">
        <f>IFERROR(__xludf.DUMMYFUNCTION("""COMPUTED_VALUE"""),"Andheri ")</f>
        <v>Andheri </v>
      </c>
      <c r="G253" s="276" t="str">
        <f>IFERROR(__xludf.DUMMYFUNCTION("""COMPUTED_VALUE"""),"Shubham ")</f>
        <v>Shubham </v>
      </c>
      <c r="H253" s="276" t="str">
        <f>IFERROR(__xludf.DUMMYFUNCTION("""COMPUTED_VALUE"""),"09 feb: He is not looking for space 07th Feb: Asked me to call on monday ")</f>
        <v>09 feb: He is not looking for space 07th Feb: Asked me to call on monday </v>
      </c>
    </row>
    <row r="254">
      <c r="A254" s="400">
        <f>IFERROR(__xludf.DUMMYFUNCTION("""COMPUTED_VALUE"""),46060.0)</f>
        <v>46060</v>
      </c>
      <c r="B254" s="276" t="str">
        <f>IFERROR(__xludf.DUMMYFUNCTION("""COMPUTED_VALUE"""),"Vikram  Choudhary ")</f>
        <v>Vikram  Choudhary </v>
      </c>
      <c r="C254" s="276"/>
      <c r="D254" s="276" t="str">
        <f>IFERROR(__xludf.DUMMYFUNCTION("""COMPUTED_VALUE"""),"Lost")</f>
        <v>Lost</v>
      </c>
      <c r="E254" s="276" t="str">
        <f>IFERROR(__xludf.DUMMYFUNCTION("""COMPUTED_VALUE"""),"Andheri")</f>
        <v>Andheri</v>
      </c>
      <c r="F254" s="276" t="str">
        <f>IFERROR(__xludf.DUMMYFUNCTION("""COMPUTED_VALUE"""),"Andheri ")</f>
        <v>Andheri </v>
      </c>
      <c r="G254" s="276" t="str">
        <f>IFERROR(__xludf.DUMMYFUNCTION("""COMPUTED_VALUE"""),"Shubham ")</f>
        <v>Shubham </v>
      </c>
      <c r="H254" s="276" t="str">
        <f>IFERROR(__xludf.DUMMYFUNCTION("""COMPUTED_VALUE"""),"10 MArch: Spoke he is not looking for any space and kept the call 06 March: Ringing, dropped a text 02nd March: Ringing, dropped a text 27 Feb: Ringing, Dropped a Text 19 Feb:  Ringing, Dropped a Text13th Feb : Ringing, dropped a text 09 feb: called by sh"&amp;"ravani Didn't answer 07th Feb: Disconnected my call dropped a Text ")</f>
        <v>10 MArch: Spoke he is not looking for any space and kept the call 06 March: Ringing, dropped a text 02nd March: Ringing, dropped a text 27 Feb: Ringing, Dropped a Text 19 Feb:  Ringing, Dropped a Text13th Feb : Ringing, dropped a text 09 feb: called by shravani Didn't answer 07th Feb: Disconnected my call dropped a Text </v>
      </c>
    </row>
    <row r="255">
      <c r="A255" s="400">
        <f>IFERROR(__xludf.DUMMYFUNCTION("""COMPUTED_VALUE"""),46060.0)</f>
        <v>46060</v>
      </c>
      <c r="B255" s="276" t="str">
        <f>IFERROR(__xludf.DUMMYFUNCTION("""COMPUTED_VALUE"""),"Dev  Chand ")</f>
        <v>Dev  Chand </v>
      </c>
      <c r="C255" s="276"/>
      <c r="D255" s="276" t="str">
        <f>IFERROR(__xludf.DUMMYFUNCTION("""COMPUTED_VALUE"""),"Cold")</f>
        <v>Cold</v>
      </c>
      <c r="E255" s="276" t="str">
        <f>IFERROR(__xludf.DUMMYFUNCTION("""COMPUTED_VALUE"""),"Andheri")</f>
        <v>Andheri</v>
      </c>
      <c r="F255" s="276" t="str">
        <f>IFERROR(__xludf.DUMMYFUNCTION("""COMPUTED_VALUE"""),"Andheri ")</f>
        <v>Andheri </v>
      </c>
      <c r="G255" s="276" t="str">
        <f>IFERROR(__xludf.DUMMYFUNCTION("""COMPUTED_VALUE"""),"Shubham ")</f>
        <v>Shubham </v>
      </c>
      <c r="H255" s="276" t="str">
        <f>IFERROR(__xludf.DUMMYFUNCTION("""COMPUTED_VALUE"""),"10 MArch: Ringing, dropped a text and voice note 06 March : Ringing, dropped a text 02nd March: Riging, dropped a Text  27 Feb: Ringing, Dropped a Text 23 Feb: Ringing, Dropped a Text 19 Feb: Ringing, dropped a Text 16th Feb: Asked to call me tomorrow 07t"&amp;"h Feb: Asked me to call on monday ")</f>
        <v>10 MArch: Ringing, dropped a text and voice note 06 March : Ringing, dropped a text 02nd March: Riging, dropped a Text  27 Feb: Ringing, Dropped a Text 23 Feb: Ringing, Dropped a Text 19 Feb: Ringing, dropped a Text 16th Feb: Asked to call me tomorrow 07th Feb: Asked me to call on monday </v>
      </c>
    </row>
    <row r="256">
      <c r="A256" s="400">
        <f>IFERROR(__xludf.DUMMYFUNCTION("""COMPUTED_VALUE"""),46062.0)</f>
        <v>46062</v>
      </c>
      <c r="B256" s="276" t="str">
        <f>IFERROR(__xludf.DUMMYFUNCTION("""COMPUTED_VALUE"""),"Krishnendu Chatterjee")</f>
        <v>Krishnendu Chatterjee</v>
      </c>
      <c r="C256" s="276" t="str">
        <f>IFERROR(__xludf.DUMMYFUNCTION("""COMPUTED_VALUE"""),"AGOS Aviation")</f>
        <v>AGOS Aviation</v>
      </c>
      <c r="D256" s="276" t="str">
        <f>IFERROR(__xludf.DUMMYFUNCTION("""COMPUTED_VALUE"""),"Lost")</f>
        <v>Lost</v>
      </c>
      <c r="E256" s="276" t="str">
        <f>IFERROR(__xludf.DUMMYFUNCTION("""COMPUTED_VALUE"""),"Andheri")</f>
        <v>Andheri</v>
      </c>
      <c r="F256" s="276" t="str">
        <f>IFERROR(__xludf.DUMMYFUNCTION("""COMPUTED_VALUE"""),"Andheri ")</f>
        <v>Andheri </v>
      </c>
      <c r="G256" s="276" t="str">
        <f>IFERROR(__xludf.DUMMYFUNCTION("""COMPUTED_VALUE"""),"Shubham ")</f>
        <v>Shubham </v>
      </c>
      <c r="H256" s="276" t="str">
        <f>IFERROR(__xludf.DUMMYFUNCTION("""COMPUTED_VALUE"""),"9 Feb: He needs a virtual office ")</f>
        <v>9 Feb: He needs a virtual office </v>
      </c>
    </row>
    <row r="257">
      <c r="A257" s="400">
        <f>IFERROR(__xludf.DUMMYFUNCTION("""COMPUTED_VALUE"""),46062.0)</f>
        <v>46062</v>
      </c>
      <c r="B257" s="276" t="str">
        <f>IFERROR(__xludf.DUMMYFUNCTION("""COMPUTED_VALUE"""),"Maqbool Ahmed")</f>
        <v>Maqbool Ahmed</v>
      </c>
      <c r="C257" s="276" t="str">
        <f>IFERROR(__xludf.DUMMYFUNCTION("""COMPUTED_VALUE"""),"MH Chemicals India")</f>
        <v>MH Chemicals India</v>
      </c>
      <c r="D257" s="276" t="str">
        <f>IFERROR(__xludf.DUMMYFUNCTION("""COMPUTED_VALUE"""),"Lost")</f>
        <v>Lost</v>
      </c>
      <c r="E257" s="276" t="str">
        <f>IFERROR(__xludf.DUMMYFUNCTION("""COMPUTED_VALUE"""),"Andheri")</f>
        <v>Andheri</v>
      </c>
      <c r="F257" s="276" t="str">
        <f>IFERROR(__xludf.DUMMYFUNCTION("""COMPUTED_VALUE"""),"Andheri ")</f>
        <v>Andheri </v>
      </c>
      <c r="G257" s="276" t="str">
        <f>IFERROR(__xludf.DUMMYFUNCTION("""COMPUTED_VALUE"""),"Shubham ")</f>
        <v>Shubham </v>
      </c>
      <c r="H257" s="276" t="str">
        <f>IFERROR(__xludf.DUMMYFUNCTION("""COMPUTED_VALUE"""),"9 feb: Wrong Number ")</f>
        <v>9 feb: Wrong Number </v>
      </c>
    </row>
    <row r="258">
      <c r="A258" s="400">
        <f>IFERROR(__xludf.DUMMYFUNCTION("""COMPUTED_VALUE"""),46062.0)</f>
        <v>46062</v>
      </c>
      <c r="B258" s="276" t="str">
        <f>IFERROR(__xludf.DUMMYFUNCTION("""COMPUTED_VALUE"""),"Pradeep Sawant")</f>
        <v>Pradeep Sawant</v>
      </c>
      <c r="C258" s="276" t="str">
        <f>IFERROR(__xludf.DUMMYFUNCTION("""COMPUTED_VALUE"""),"Ginger Hotels")</f>
        <v>Ginger Hotels</v>
      </c>
      <c r="D258" s="276" t="str">
        <f>IFERROR(__xludf.DUMMYFUNCTION("""COMPUTED_VALUE"""),"Hold")</f>
        <v>Hold</v>
      </c>
      <c r="E258" s="276" t="str">
        <f>IFERROR(__xludf.DUMMYFUNCTION("""COMPUTED_VALUE"""),"Andheri")</f>
        <v>Andheri</v>
      </c>
      <c r="F258" s="276" t="str">
        <f>IFERROR(__xludf.DUMMYFUNCTION("""COMPUTED_VALUE"""),"Andheri ")</f>
        <v>Andheri </v>
      </c>
      <c r="G258" s="276" t="str">
        <f>IFERROR(__xludf.DUMMYFUNCTION("""COMPUTED_VALUE"""),"Shubham ")</f>
        <v>Shubham </v>
      </c>
      <c r="H258" s="276" t="str">
        <f>IFERROR(__xludf.DUMMYFUNCTION("""COMPUTED_VALUE"""),"27 Feb: Spoke. He said the requirment is hold due to System Migration and will resume in April connect then 25 Feb: Ringing, Dropped a Text 20 feb: Ringing, dropped a text He replied saying he is out for a seminar and will return on monday Reach out then."&amp;"19 Feb: Ringing Msg dropped. 17th Feb: Ringing, dropped a text 16 feb: Spoke. He said he is looking for 30 seats in Andheri and I have proposed the space of sakinaka over mail (Pushing for Visit) he said he will check and let us know by weekend becuase hi"&amp;"s boss is travelling 9 Feb: Called but no answer")</f>
        <v>27 Feb: Spoke. He said the requirment is hold due to System Migration and will resume in April connect then 25 Feb: Ringing, Dropped a Text 20 feb: Ringing, dropped a text He replied saying he is out for a seminar and will return on monday Reach out then.19 Feb: Ringing Msg dropped. 17th Feb: Ringing, dropped a text 16 feb: Spoke. He said he is looking for 30 seats in Andheri and I have proposed the space of sakinaka over mail (Pushing for Visit) he said he will check and let us know by weekend becuase his boss is travelling 9 Feb: Called but no answer</v>
      </c>
    </row>
    <row r="259">
      <c r="A259" s="400">
        <f>IFERROR(__xludf.DUMMYFUNCTION("""COMPUTED_VALUE"""),46062.0)</f>
        <v>46062</v>
      </c>
      <c r="B259" s="276" t="str">
        <f>IFERROR(__xludf.DUMMYFUNCTION("""COMPUTED_VALUE"""),"Sanjay Parekh")</f>
        <v>Sanjay Parekh</v>
      </c>
      <c r="C259" s="276" t="str">
        <f>IFERROR(__xludf.DUMMYFUNCTION("""COMPUTED_VALUE"""),"Avon Lifestle Products Pvt Ltd")</f>
        <v>Avon Lifestle Products Pvt Ltd</v>
      </c>
      <c r="D259" s="276" t="str">
        <f>IFERROR(__xludf.DUMMYFUNCTION("""COMPUTED_VALUE"""),"Cold")</f>
        <v>Cold</v>
      </c>
      <c r="E259" s="276" t="str">
        <f>IFERROR(__xludf.DUMMYFUNCTION("""COMPUTED_VALUE"""),"Andheri")</f>
        <v>Andheri</v>
      </c>
      <c r="F259" s="276" t="str">
        <f>IFERROR(__xludf.DUMMYFUNCTION("""COMPUTED_VALUE"""),"Andheri ")</f>
        <v>Andheri </v>
      </c>
      <c r="G259" s="276" t="str">
        <f>IFERROR(__xludf.DUMMYFUNCTION("""COMPUTED_VALUE"""),"Shubham ")</f>
        <v>Shubham </v>
      </c>
      <c r="H259" s="276" t="str">
        <f>IFERROR(__xludf.DUMMYFUNCTION("""COMPUTED_VALUE"""),"10 MArch: Busy on a call dopped a Text 06 March: Ringing, dropped a text 02nd March: Ringing, dropped a text 27 Feb: Tried calling didn't answer Dropped a voice note and text over whatsapp 9 Feb: his office building may go into redevelopment hence explori"&amp;"ng the market. wants a call back on 20th Feb and can meet between 23rd to 28th Feb for a discussion and looking for roughly 100 seats touch base then.")</f>
        <v>10 MArch: Busy on a call dopped a Text 06 March: Ringing, dropped a text 02nd March: Ringing, dropped a text 27 Feb: Tried calling didn't answer Dropped a voice note and text over whatsapp 9 Feb: his office building may go into redevelopment hence exploring the market. wants a call back on 20th Feb and can meet between 23rd to 28th Feb for a discussion and looking for roughly 100 seats touch base then.</v>
      </c>
    </row>
    <row r="260">
      <c r="A260" s="400">
        <f>IFERROR(__xludf.DUMMYFUNCTION("""COMPUTED_VALUE"""),46062.0)</f>
        <v>46062</v>
      </c>
      <c r="B260" s="276" t="str">
        <f>IFERROR(__xludf.DUMMYFUNCTION("""COMPUTED_VALUE"""),"Ajay Soni")</f>
        <v>Ajay Soni</v>
      </c>
      <c r="C260" s="276" t="str">
        <f>IFERROR(__xludf.DUMMYFUNCTION("""COMPUTED_VALUE"""),"CDEF Services LLP")</f>
        <v>CDEF Services LLP</v>
      </c>
      <c r="D260" s="276" t="str">
        <f>IFERROR(__xludf.DUMMYFUNCTION("""COMPUTED_VALUE"""),"Lost")</f>
        <v>Lost</v>
      </c>
      <c r="E260" s="276" t="str">
        <f>IFERROR(__xludf.DUMMYFUNCTION("""COMPUTED_VALUE"""),"Andheri")</f>
        <v>Andheri</v>
      </c>
      <c r="F260" s="276" t="str">
        <f>IFERROR(__xludf.DUMMYFUNCTION("""COMPUTED_VALUE"""),"Andheri ")</f>
        <v>Andheri </v>
      </c>
      <c r="G260" s="276" t="str">
        <f>IFERROR(__xludf.DUMMYFUNCTION("""COMPUTED_VALUE"""),"Shubham ")</f>
        <v>Shubham </v>
      </c>
      <c r="H260" s="276" t="str">
        <f>IFERROR(__xludf.DUMMYFUNCTION("""COMPUTED_VALUE"""),"27 Feb: Ringing Dropped a Text called back he said he wants a residential premises only 23 Feb: Ringing, Dropped a text 19 Feb: Ringing Dropped a text 16th Feb: Ringing, dropped a Text 13 feb: Called by shravani Ringing, dropped a Text Feb 10: Called 20 t"&amp;"o 30 seats even a 5 to 6 bhk flat works with commercial use permission, ")</f>
        <v>27 Feb: Ringing Dropped a Text called back he said he wants a residential premises only 23 Feb: Ringing, Dropped a text 19 Feb: Ringing Dropped a text 16th Feb: Ringing, dropped a Text 13 feb: Called by shravani Ringing, dropped a Text Feb 10: Called 20 to 30 seats even a 5 to 6 bhk flat works with commercial use permission, </v>
      </c>
    </row>
    <row r="261">
      <c r="A261" s="400">
        <f>IFERROR(__xludf.DUMMYFUNCTION("""COMPUTED_VALUE"""),46062.0)</f>
        <v>46062</v>
      </c>
      <c r="B261" s="276" t="str">
        <f>IFERROR(__xludf.DUMMYFUNCTION("""COMPUTED_VALUE"""),"Sachin Agarwal")</f>
        <v>Sachin Agarwal</v>
      </c>
      <c r="C261" s="276" t="str">
        <f>IFERROR(__xludf.DUMMYFUNCTION("""COMPUTED_VALUE"""),"A.P. Sanzgiri &amp; Co")</f>
        <v>A.P. Sanzgiri &amp; Co</v>
      </c>
      <c r="D261" s="276" t="str">
        <f>IFERROR(__xludf.DUMMYFUNCTION("""COMPUTED_VALUE"""),"Cold")</f>
        <v>Cold</v>
      </c>
      <c r="E261" s="276" t="str">
        <f>IFERROR(__xludf.DUMMYFUNCTION("""COMPUTED_VALUE"""),"Andheri")</f>
        <v>Andheri</v>
      </c>
      <c r="F261" s="276" t="str">
        <f>IFERROR(__xludf.DUMMYFUNCTION("""COMPUTED_VALUE"""),"Andheri ")</f>
        <v>Andheri </v>
      </c>
      <c r="G261" s="276" t="str">
        <f>IFERROR(__xludf.DUMMYFUNCTION("""COMPUTED_VALUE"""),"Shubham ")</f>
        <v>Shubham </v>
      </c>
      <c r="H261" s="276" t="str">
        <f>IFERROR(__xludf.DUMMYFUNCTION("""COMPUTED_VALUE"""),"10 March: he said the requirement is on hold due to March ending touch base in April 06 MArch: Ringing, dropped a text 02Nd March: Ringing, dropped a text 27 feb: Disconnected the call dropped a text 23 Feb: Ringing, Dropped a Text 19 feb: Disconnected th"&amp;"e call dropped a text 17 feb: Ringing, dropped a text. 12 Feb: His current office is in Santacurz and will share his requirement on whatsapp. He was not interested in MOS but would like to know the commercials.")</f>
        <v>10 March: he said the requirement is on hold due to March ending touch base in April 06 MArch: Ringing, dropped a text 02Nd March: Ringing, dropped a text 27 feb: Disconnected the call dropped a text 23 Feb: Ringing, Dropped a Text 19 feb: Disconnected the call dropped a text 17 feb: Ringing, dropped a text. 12 Feb: His current office is in Santacurz and will share his requirement on whatsapp. He was not interested in MOS but would like to know the commercials.</v>
      </c>
    </row>
    <row r="262">
      <c r="A262" s="400">
        <f>IFERROR(__xludf.DUMMYFUNCTION("""COMPUTED_VALUE"""),46064.0)</f>
        <v>46064</v>
      </c>
      <c r="B262" s="276" t="str">
        <f>IFERROR(__xludf.DUMMYFUNCTION("""COMPUTED_VALUE"""),"Vikas Tarekar")</f>
        <v>Vikas Tarekar</v>
      </c>
      <c r="C262" s="276" t="str">
        <f>IFERROR(__xludf.DUMMYFUNCTION("""COMPUTED_VALUE"""),"Urban Corp Bank")</f>
        <v>Urban Corp Bank</v>
      </c>
      <c r="D262" s="276" t="str">
        <f>IFERROR(__xludf.DUMMYFUNCTION("""COMPUTED_VALUE"""),"Hold")</f>
        <v>Hold</v>
      </c>
      <c r="E262" s="276" t="str">
        <f>IFERROR(__xludf.DUMMYFUNCTION("""COMPUTED_VALUE"""),"Andheri")</f>
        <v>Andheri</v>
      </c>
      <c r="F262" s="276" t="str">
        <f>IFERROR(__xludf.DUMMYFUNCTION("""COMPUTED_VALUE"""),"Andheri ")</f>
        <v>Andheri </v>
      </c>
      <c r="G262" s="276" t="str">
        <f>IFERROR(__xludf.DUMMYFUNCTION("""COMPUTED_VALUE"""),"Shubham ")</f>
        <v>Shubham </v>
      </c>
      <c r="H262" s="276" t="str">
        <f>IFERROR(__xludf.DUMMYFUNCTION("""COMPUTED_VALUE"""),"09 March : As per Last discussion with Mehul sir they Might not be our client because they need their own office as per RBI Guidelines 07 March: Ringing, Dropped a message by Mehul Sir 05 March: Mehul Sir Tried calling him didn't Answer will call again 26"&amp;" Feb: Mehul sir spoke he said Will resume on 5th March  25 Feb: Followup mail Sent 9 Feb: Ringing, dropped a Text 16 Feb: Layout and commercial offer sent 12 Feb: Visit done, layout and commercials to be shared")</f>
        <v>09 March : As per Last discussion with Mehul sir they Might not be our client because they need their own office as per RBI Guidelines 07 March: Ringing, Dropped a message by Mehul Sir 05 March: Mehul Sir Tried calling him didn't Answer will call again 26 Feb: Mehul sir spoke he said Will resume on 5th March  25 Feb: Followup mail Sent 9 Feb: Ringing, dropped a Text 16 Feb: Layout and commercial offer sent 12 Feb: Visit done, layout and commercials to be shared</v>
      </c>
    </row>
    <row r="263">
      <c r="A263" s="400">
        <f>IFERROR(__xludf.DUMMYFUNCTION("""COMPUTED_VALUE"""),46066.0)</f>
        <v>46066</v>
      </c>
      <c r="B263" s="276" t="str">
        <f>IFERROR(__xludf.DUMMYFUNCTION("""COMPUTED_VALUE"""),"Raj Impex")</f>
        <v>Raj Impex</v>
      </c>
      <c r="C263" s="276"/>
      <c r="D263" s="276" t="str">
        <f>IFERROR(__xludf.DUMMYFUNCTION("""COMPUTED_VALUE"""),"Hold")</f>
        <v>Hold</v>
      </c>
      <c r="E263" s="276" t="str">
        <f>IFERROR(__xludf.DUMMYFUNCTION("""COMPUTED_VALUE"""),"Andheri")</f>
        <v>Andheri</v>
      </c>
      <c r="F263" s="276" t="str">
        <f>IFERROR(__xludf.DUMMYFUNCTION("""COMPUTED_VALUE"""),"Andheri ")</f>
        <v>Andheri </v>
      </c>
      <c r="G263" s="276" t="str">
        <f>IFERROR(__xludf.DUMMYFUNCTION("""COMPUTED_VALUE"""),"Shubham ")</f>
        <v>Shubham </v>
      </c>
      <c r="H263" s="276" t="str">
        <f>IFERROR(__xludf.DUMMYFUNCTION("""COMPUTED_VALUE"""),"04 March: Ringing, dropped a text he replied saying currently the requirement is on hold 27 Feb: Switched off, Dropped a Message 25 feb: He asked to whatsapp currently in a meeting 19 feb: Ringing Dropped a text. He recalled me and has a requirement of 1 "&amp;"seat I have shared the details over wp and pitched Sakinaka 17 Feb: Ringing, dropped a text 13 Feb: Ringing, dropped a text. ")</f>
        <v>04 March: Ringing, dropped a text he replied saying currently the requirement is on hold 27 Feb: Switched off, Dropped a Message 25 feb: He asked to whatsapp currently in a meeting 19 feb: Ringing Dropped a text. He recalled me and has a requirement of 1 seat I have shared the details over wp and pitched Sakinaka 17 Feb: Ringing, dropped a text 13 Feb: Ringing, dropped a text. </v>
      </c>
    </row>
    <row r="264">
      <c r="A264" s="400">
        <f>IFERROR(__xludf.DUMMYFUNCTION("""COMPUTED_VALUE"""),46066.0)</f>
        <v>46066</v>
      </c>
      <c r="B264" s="276" t="str">
        <f>IFERROR(__xludf.DUMMYFUNCTION("""COMPUTED_VALUE"""),"Edward  Dsouza")</f>
        <v>Edward  Dsouza</v>
      </c>
      <c r="C264" s="276" t="str">
        <f>IFERROR(__xludf.DUMMYFUNCTION("""COMPUTED_VALUE"""),"Service Master India")</f>
        <v>Service Master India</v>
      </c>
      <c r="D264" s="276" t="str">
        <f>IFERROR(__xludf.DUMMYFUNCTION("""COMPUTED_VALUE"""),"Cold")</f>
        <v>Cold</v>
      </c>
      <c r="E264" s="276" t="str">
        <f>IFERROR(__xludf.DUMMYFUNCTION("""COMPUTED_VALUE"""),"Andheri")</f>
        <v>Andheri</v>
      </c>
      <c r="F264" s="276" t="str">
        <f>IFERROR(__xludf.DUMMYFUNCTION("""COMPUTED_VALUE"""),"Andheri ")</f>
        <v>Andheri </v>
      </c>
      <c r="G264" s="276" t="str">
        <f>IFERROR(__xludf.DUMMYFUNCTION("""COMPUTED_VALUE"""),"Shubham ")</f>
        <v>Shubham </v>
      </c>
      <c r="H264" s="276" t="str">
        <f>IFERROR(__xludf.DUMMYFUNCTION("""COMPUTED_VALUE"""),"10 March: Switch off, dropped a text 06 March: Ringing, dropped a text 02nd March: Ringing, dropped a text 27 Feb: Ringing, Dropped a Text 23rd Feb: Ringing, Dropped a text 19 feb: Disconnected the call, dropped a text 17 feb: Ringing, dropped a text 13 F"&amp;"eb: Disconnected the call.")</f>
        <v>10 March: Switch off, dropped a text 06 March: Ringing, dropped a text 02nd March: Ringing, dropped a text 27 Feb: Ringing, Dropped a Text 23rd Feb: Ringing, Dropped a text 19 feb: Disconnected the call, dropped a text 17 feb: Ringing, dropped a text 13 Feb: Disconnected the call.</v>
      </c>
    </row>
    <row r="265">
      <c r="A265" s="400">
        <f>IFERROR(__xludf.DUMMYFUNCTION("""COMPUTED_VALUE"""),46069.0)</f>
        <v>46069</v>
      </c>
      <c r="B265" s="276" t="str">
        <f>IFERROR(__xludf.DUMMYFUNCTION("""COMPUTED_VALUE"""),"Devang Thakkar ")</f>
        <v>Devang Thakkar </v>
      </c>
      <c r="C265" s="276" t="str">
        <f>IFERROR(__xludf.DUMMYFUNCTION("""COMPUTED_VALUE"""),"Metcraft Steel Pvt LTD ")</f>
        <v>Metcraft Steel Pvt LTD </v>
      </c>
      <c r="D265" s="276" t="str">
        <f>IFERROR(__xludf.DUMMYFUNCTION("""COMPUTED_VALUE"""),"Hold")</f>
        <v>Hold</v>
      </c>
      <c r="E265" s="276" t="str">
        <f>IFERROR(__xludf.DUMMYFUNCTION("""COMPUTED_VALUE"""),"Andheri")</f>
        <v>Andheri</v>
      </c>
      <c r="F265" s="276" t="str">
        <f>IFERROR(__xludf.DUMMYFUNCTION("""COMPUTED_VALUE"""),"Andheri ")</f>
        <v>Andheri </v>
      </c>
      <c r="G265" s="276" t="str">
        <f>IFERROR(__xludf.DUMMYFUNCTION("""COMPUTED_VALUE"""),"Shubham ")</f>
        <v>Shubham </v>
      </c>
      <c r="H265" s="276" t="str">
        <f>IFERROR(__xludf.DUMMYFUNCTION("""COMPUTED_VALUE"""),"06 March: He said the requirement is on hold due to budgeting issue internally 04 March: Didn't Connect, Dropped a text  27 Feb: Ringing, dropped a Text 25 Feb: He has not checked the details as he was travelling and will check tomorrow and revert 20 Feb:"&amp;" He said Whatsapp me whatever inventeries we have expect for Sakinaka as there is lot of traffic, I have shared Landmark and Kanakia Wallstreet 17 Feb: Ringing, Dropped a text 16 Feb: Spoke he said call tomorrow, he is caught up today ")</f>
        <v>06 March: He said the requirement is on hold due to budgeting issue internally 04 March: Didn't Connect, Dropped a text  27 Feb: Ringing, dropped a Text 25 Feb: He has not checked the details as he was travelling and will check tomorrow and revert 20 Feb: He said Whatsapp me whatever inventeries we have expect for Sakinaka as there is lot of traffic, I have shared Landmark and Kanakia Wallstreet 17 Feb: Ringing, Dropped a text 16 Feb: Spoke he said call tomorrow, he is caught up today </v>
      </c>
    </row>
    <row r="266">
      <c r="A266" s="400">
        <f>IFERROR(__xludf.DUMMYFUNCTION("""COMPUTED_VALUE"""),46069.0)</f>
        <v>46069</v>
      </c>
      <c r="B266" s="276" t="str">
        <f>IFERROR(__xludf.DUMMYFUNCTION("""COMPUTED_VALUE"""),"Rajkumar  Vijan")</f>
        <v>Rajkumar  Vijan</v>
      </c>
      <c r="C266" s="276" t="str">
        <f>IFERROR(__xludf.DUMMYFUNCTION("""COMPUTED_VALUE"""),"Aviva ")</f>
        <v>Aviva </v>
      </c>
      <c r="D266" s="276" t="str">
        <f>IFERROR(__xludf.DUMMYFUNCTION("""COMPUTED_VALUE"""),"Cold")</f>
        <v>Cold</v>
      </c>
      <c r="E266" s="276" t="str">
        <f>IFERROR(__xludf.DUMMYFUNCTION("""COMPUTED_VALUE"""),"Andheri")</f>
        <v>Andheri</v>
      </c>
      <c r="F266" s="276" t="str">
        <f>IFERROR(__xludf.DUMMYFUNCTION("""COMPUTED_VALUE"""),"Andheri ")</f>
        <v>Andheri </v>
      </c>
      <c r="G266" s="276" t="str">
        <f>IFERROR(__xludf.DUMMYFUNCTION("""COMPUTED_VALUE"""),"Shubham ")</f>
        <v>Shubham </v>
      </c>
      <c r="H266" s="276" t="str">
        <f>IFERROR(__xludf.DUMMYFUNCTION("""COMPUTED_VALUE"""),"10 March: Busy on call, dropped a text 06 March: Ringing, dropped a text 02nd March: Ringing, dropped a text 27 Feb: Ringing, Dropped a Text 23 Feb: Ringing, Dropped a Text 20 Feb: Disconnected My call, dropped a text. 17 feb: Ringing, Dropped a Text 16 F"&amp;"eb: He disconnect my call, dropped a text ")</f>
        <v>10 March: Busy on call, dropped a text 06 March: Ringing, dropped a text 02nd March: Ringing, dropped a text 27 Feb: Ringing, Dropped a Text 23 Feb: Ringing, Dropped a Text 20 Feb: Disconnected My call, dropped a text. 17 feb: Ringing, Dropped a Text 16 Feb: He disconnect my call, dropped a text </v>
      </c>
    </row>
    <row r="267">
      <c r="A267" s="400">
        <f>IFERROR(__xludf.DUMMYFUNCTION("""COMPUTED_VALUE"""),46072.0)</f>
        <v>46072</v>
      </c>
      <c r="B267" s="276" t="str">
        <f>IFERROR(__xludf.DUMMYFUNCTION("""COMPUTED_VALUE"""),"Aditya  Joshi ")</f>
        <v>Aditya  Joshi </v>
      </c>
      <c r="C267" s="276" t="str">
        <f>IFERROR(__xludf.DUMMYFUNCTION("""COMPUTED_VALUE"""),"Bacardi ")</f>
        <v>Bacardi </v>
      </c>
      <c r="D267" s="276" t="str">
        <f>IFERROR(__xludf.DUMMYFUNCTION("""COMPUTED_VALUE"""),"Cold")</f>
        <v>Cold</v>
      </c>
      <c r="E267" s="276" t="str">
        <f>IFERROR(__xludf.DUMMYFUNCTION("""COMPUTED_VALUE"""),"Andheri")</f>
        <v>Andheri</v>
      </c>
      <c r="F267" s="276" t="str">
        <f>IFERROR(__xludf.DUMMYFUNCTION("""COMPUTED_VALUE"""),"Andheri ")</f>
        <v>Andheri </v>
      </c>
      <c r="G267" s="276" t="str">
        <f>IFERROR(__xludf.DUMMYFUNCTION("""COMPUTED_VALUE"""),"Shubham ")</f>
        <v>Shubham </v>
      </c>
      <c r="H267" s="276" t="str">
        <f>IFERROR(__xludf.DUMMYFUNCTION("""COMPUTED_VALUE"""),"10 March:Ringing, dropped a text 6 March : Ringing, dropped a text 02nd March: Ringing, dropped a text 27 Feb: Ringing, Dropped a Text 23 Feb : Ringing, Dropped a Text20 Feb: Disconnected My call, dropped a text 19 Feb: Ringing, Dropped a Text ")</f>
        <v>10 March:Ringing, dropped a text 6 March : Ringing, dropped a text 02nd March: Ringing, dropped a text 27 Feb: Ringing, Dropped a Text 23 Feb : Ringing, Dropped a Text20 Feb: Disconnected My call, dropped a text 19 Feb: Ringing, Dropped a Text </v>
      </c>
    </row>
    <row r="268">
      <c r="A268" s="400">
        <f>IFERROR(__xludf.DUMMYFUNCTION("""COMPUTED_VALUE"""),46072.0)</f>
        <v>46072</v>
      </c>
      <c r="B268" s="276" t="str">
        <f>IFERROR(__xludf.DUMMYFUNCTION("""COMPUTED_VALUE"""),"Rahim  Aslam ")</f>
        <v>Rahim  Aslam </v>
      </c>
      <c r="C268" s="276" t="str">
        <f>IFERROR(__xludf.DUMMYFUNCTION("""COMPUTED_VALUE"""),"One Above ")</f>
        <v>One Above </v>
      </c>
      <c r="D268" s="276" t="str">
        <f>IFERROR(__xludf.DUMMYFUNCTION("""COMPUTED_VALUE"""),"Lost")</f>
        <v>Lost</v>
      </c>
      <c r="E268" s="276" t="str">
        <f>IFERROR(__xludf.DUMMYFUNCTION("""COMPUTED_VALUE"""),"Andheri")</f>
        <v>Andheri</v>
      </c>
      <c r="F268" s="276" t="str">
        <f>IFERROR(__xludf.DUMMYFUNCTION("""COMPUTED_VALUE"""),"Andheri ")</f>
        <v>Andheri </v>
      </c>
      <c r="G268" s="276" t="str">
        <f>IFERROR(__xludf.DUMMYFUNCTION("""COMPUTED_VALUE"""),"Shubham ")</f>
        <v>Shubham </v>
      </c>
      <c r="H268" s="276" t="str">
        <f>IFERROR(__xludf.DUMMYFUNCTION("""COMPUTED_VALUE"""),"13 Mach: Ringing, dropped a text saying shared the images and the team is working on the  layout  12 March: Sent Images and actioned he layout with the team for AJ House and Indiana Business center 10 March: Sent Detailed MOM With the client over mail nee"&amp;"d to share the Images and Best fit layouts 09 March : We did site inspection yesterday with Alia Ma'am 06 March: Shared the options of Marol over mail. Site Visit on Monday at 3pm 04 March: Spoke we have to share the options of Marol only because they hav"&amp;"e only 4 lakh as a budget and doesn't want to go to Sakinaka 27 Feb: Spoke he connected me to her HR Admin (Alia), She asked for the options shared to Rahim on Whatsapp I will Mail the inventory deck to her, Current office is in Marol Antarishkh Building "&amp;"25 Feb: Ringing, Dropped a text 23 feb: Spoke he said send the options over whatsapp and not mail and then he will discuss with team and let us know and kept the call. Shared the inventory Deck over whatsapp 20 feb: Ringing, Dropped a Text 19 Feb: Ringing"&amp;", Dropped a Text ")</f>
        <v>13 Mach: Ringing, dropped a text saying shared the images and the team is working on the  layout  12 March: Sent Images and actioned he layout with the team for AJ House and Indiana Business center 10 March: Sent Detailed MOM With the client over mail need to share the Images and Best fit layouts 09 March : We did site inspection yesterday with Alia Ma'am 06 March: Shared the options of Marol over mail. Site Visit on Monday at 3pm 04 March: Spoke we have to share the options of Marol only because they have only 4 lakh as a budget and doesn't want to go to Sakinaka 27 Feb: Spoke he connected me to her HR Admin (Alia), She asked for the options shared to Rahim on Whatsapp I will Mail the inventory deck to her, Current office is in Marol Antarishkh Building 25 Feb: Ringing, Dropped a text 23 feb: Spoke he said send the options over whatsapp and not mail and then he will discuss with team and let us know and kept the call. Shared the inventory Deck over whatsapp 20 feb: Ringing, Dropped a Text 19 Feb: Ringing, Dropped a Text </v>
      </c>
    </row>
    <row r="269">
      <c r="A269" s="400">
        <f>IFERROR(__xludf.DUMMYFUNCTION("""COMPUTED_VALUE"""),46072.0)</f>
        <v>46072</v>
      </c>
      <c r="B269" s="276" t="str">
        <f>IFERROR(__xludf.DUMMYFUNCTION("""COMPUTED_VALUE"""),"Ivan  Shikha ")</f>
        <v>Ivan  Shikha </v>
      </c>
      <c r="C269" s="276" t="str">
        <f>IFERROR(__xludf.DUMMYFUNCTION("""COMPUTED_VALUE"""),"Haavia Inc ")</f>
        <v>Haavia Inc </v>
      </c>
      <c r="D269" s="276" t="str">
        <f>IFERROR(__xludf.DUMMYFUNCTION("""COMPUTED_VALUE"""),"Cold")</f>
        <v>Cold</v>
      </c>
      <c r="E269" s="276" t="str">
        <f>IFERROR(__xludf.DUMMYFUNCTION("""COMPUTED_VALUE"""),"Andheri")</f>
        <v>Andheri</v>
      </c>
      <c r="F269" s="276" t="str">
        <f>IFERROR(__xludf.DUMMYFUNCTION("""COMPUTED_VALUE"""),"Andheri ")</f>
        <v>Andheri </v>
      </c>
      <c r="G269" s="276" t="str">
        <f>IFERROR(__xludf.DUMMYFUNCTION("""COMPUTED_VALUE"""),"Shubham ")</f>
        <v>Shubham </v>
      </c>
      <c r="H269" s="276" t="str">
        <f>IFERROR(__xludf.DUMMYFUNCTION("""COMPUTED_VALUE"""),"10 March : Ringing, dropped a text 06 March: Ringing, dropped a text 02 March: Ringing, dropped a text 27 Feb: Ringing, Dropped a Text 23 Feb: She Replied to text saying Looking for space in Hyderabad I have asked for the details of Requirment no reply ye"&amp;"t 20 Feb: Disconnected My call, dropped a text 19 Feb: Ringing, Dropped a Text 2")</f>
        <v>10 March : Ringing, dropped a text 06 March: Ringing, dropped a text 02 March: Ringing, dropped a text 27 Feb: Ringing, Dropped a Text 23 Feb: She Replied to text saying Looking for space in Hyderabad I have asked for the details of Requirment no reply yet 20 Feb: Disconnected My call, dropped a text 19 Feb: Ringing, Dropped a Text 2</v>
      </c>
    </row>
    <row r="270">
      <c r="A270" s="400">
        <f>IFERROR(__xludf.DUMMYFUNCTION("""COMPUTED_VALUE"""),46072.0)</f>
        <v>46072</v>
      </c>
      <c r="B270" s="276" t="str">
        <f>IFERROR(__xludf.DUMMYFUNCTION("""COMPUTED_VALUE"""),"Viral  Vora ")</f>
        <v>Viral  Vora </v>
      </c>
      <c r="C270" s="276"/>
      <c r="D270" s="276" t="str">
        <f>IFERROR(__xludf.DUMMYFUNCTION("""COMPUTED_VALUE"""),"Lost")</f>
        <v>Lost</v>
      </c>
      <c r="E270" s="276" t="str">
        <f>IFERROR(__xludf.DUMMYFUNCTION("""COMPUTED_VALUE"""),"Andheri")</f>
        <v>Andheri</v>
      </c>
      <c r="F270" s="276" t="str">
        <f>IFERROR(__xludf.DUMMYFUNCTION("""COMPUTED_VALUE"""),"Andheri ")</f>
        <v>Andheri </v>
      </c>
      <c r="G270" s="276" t="str">
        <f>IFERROR(__xludf.DUMMYFUNCTION("""COMPUTED_VALUE"""),"Shubham ")</f>
        <v>Shubham </v>
      </c>
      <c r="H270" s="276" t="str">
        <f>IFERROR(__xludf.DUMMYFUNCTION("""COMPUTED_VALUE"""),"19 Feb: He said he has not put up any inquiry and is not looking for space ")</f>
        <v>19 Feb: He said he has not put up any inquiry and is not looking for space </v>
      </c>
    </row>
    <row r="271">
      <c r="A271" s="400">
        <f>IFERROR(__xludf.DUMMYFUNCTION("""COMPUTED_VALUE"""),46078.0)</f>
        <v>46078</v>
      </c>
      <c r="B271" s="276" t="str">
        <f>IFERROR(__xludf.DUMMYFUNCTION("""COMPUTED_VALUE"""),"Ashutosh  Singh ")</f>
        <v>Ashutosh  Singh </v>
      </c>
      <c r="C271" s="276" t="str">
        <f>IFERROR(__xludf.DUMMYFUNCTION("""COMPUTED_VALUE"""),"Ibs ")</f>
        <v>Ibs </v>
      </c>
      <c r="D271" s="276" t="str">
        <f>IFERROR(__xludf.DUMMYFUNCTION("""COMPUTED_VALUE"""),"Cold")</f>
        <v>Cold</v>
      </c>
      <c r="E271" s="276" t="str">
        <f>IFERROR(__xludf.DUMMYFUNCTION("""COMPUTED_VALUE"""),"Andheri")</f>
        <v>Andheri</v>
      </c>
      <c r="F271" s="276" t="str">
        <f>IFERROR(__xludf.DUMMYFUNCTION("""COMPUTED_VALUE"""),"Andheri ")</f>
        <v>Andheri </v>
      </c>
      <c r="G271" s="276" t="str">
        <f>IFERROR(__xludf.DUMMYFUNCTION("""COMPUTED_VALUE"""),"Shubham ")</f>
        <v>Shubham </v>
      </c>
      <c r="H271" s="276" t="str">
        <f>IFERROR(__xludf.DUMMYFUNCTION("""COMPUTED_VALUE"""),"10 March: Ringing, dropped a text  05 March : Ringing, dropped a text no reply yet 02nd March : Ringing, dropped a Text 27 feb: Busy on call, dropped a text 25 Feb: Ringing, Dropped a Text ")</f>
        <v>10 March: Ringing, dropped a text  05 March : Ringing, dropped a text no reply yet 02nd March : Ringing, dropped a Text 27 feb: Busy on call, dropped a text 25 Feb: Ringing, Dropped a Text </v>
      </c>
    </row>
    <row r="272">
      <c r="A272" s="400">
        <f>IFERROR(__xludf.DUMMYFUNCTION("""COMPUTED_VALUE"""),46078.0)</f>
        <v>46078</v>
      </c>
      <c r="B272" s="276" t="str">
        <f>IFERROR(__xludf.DUMMYFUNCTION("""COMPUTED_VALUE"""),"Parag  Gaitonde ")</f>
        <v>Parag  Gaitonde </v>
      </c>
      <c r="C272" s="276" t="str">
        <f>IFERROR(__xludf.DUMMYFUNCTION("""COMPUTED_VALUE"""),"Advaisys LLP")</f>
        <v>Advaisys LLP</v>
      </c>
      <c r="D272" s="276" t="str">
        <f>IFERROR(__xludf.DUMMYFUNCTION("""COMPUTED_VALUE"""),"Lost")</f>
        <v>Lost</v>
      </c>
      <c r="E272" s="276" t="str">
        <f>IFERROR(__xludf.DUMMYFUNCTION("""COMPUTED_VALUE"""),"Andheri")</f>
        <v>Andheri</v>
      </c>
      <c r="F272" s="276" t="str">
        <f>IFERROR(__xludf.DUMMYFUNCTION("""COMPUTED_VALUE"""),"Andheri ")</f>
        <v>Andheri </v>
      </c>
      <c r="G272" s="276" t="str">
        <f>IFERROR(__xludf.DUMMYFUNCTION("""COMPUTED_VALUE"""),"Shubham ")</f>
        <v>Shubham </v>
      </c>
      <c r="H272" s="276" t="str">
        <f>IFERROR(__xludf.DUMMYFUNCTION("""COMPUTED_VALUE"""),"14 March: Spoke he visited the space of Crescent solitaire but he dosn't want a shared office 13 Mach: Ringing, dropped a text 10th March: Disconnected the call, dropped a text 06 March: Ringing, dropped a text 04 March: Disconnected the call, dropped a t"&amp;"ext 27 Feb: Spoke He said he will get back to us in regards to sakinaka as he is not Comfortable to share the space 25 Feb: Spoke. He shared the requirment brief not really looking for space in Sakinaka, But he asked for the details because he has the bud"&amp;"get of 70-80k. Sent the details over whatsapp and mail ")</f>
        <v>14 March: Spoke he visited the space of Crescent solitaire but he dosn't want a shared office 13 Mach: Ringing, dropped a text 10th March: Disconnected the call, dropped a text 06 March: Ringing, dropped a text 04 March: Disconnected the call, dropped a text 27 Feb: Spoke He said he will get back to us in regards to sakinaka as he is not Comfortable to share the space 25 Feb: Spoke. He shared the requirment brief not really looking for space in Sakinaka, But he asked for the details because he has the budget of 70-80k. Sent the details over whatsapp and mail </v>
      </c>
    </row>
    <row r="273">
      <c r="A273" s="400">
        <f>IFERROR(__xludf.DUMMYFUNCTION("""COMPUTED_VALUE"""),46078.0)</f>
        <v>46078</v>
      </c>
      <c r="B273" s="276" t="str">
        <f>IFERROR(__xludf.DUMMYFUNCTION("""COMPUTED_VALUE"""),"Pinki  Parikh")</f>
        <v>Pinki  Parikh</v>
      </c>
      <c r="C273" s="276" t="str">
        <f>IFERROR(__xludf.DUMMYFUNCTION("""COMPUTED_VALUE"""),"Aleido India Pvt LTD")</f>
        <v>Aleido India Pvt LTD</v>
      </c>
      <c r="D273" s="276" t="str">
        <f>IFERROR(__xludf.DUMMYFUNCTION("""COMPUTED_VALUE"""),"Warm")</f>
        <v>Warm</v>
      </c>
      <c r="E273" s="276" t="str">
        <f>IFERROR(__xludf.DUMMYFUNCTION("""COMPUTED_VALUE"""),"Andheri")</f>
        <v>Andheri</v>
      </c>
      <c r="F273" s="276" t="str">
        <f>IFERROR(__xludf.DUMMYFUNCTION("""COMPUTED_VALUE"""),"Andheri ")</f>
        <v>Andheri </v>
      </c>
      <c r="G273" s="276" t="str">
        <f>IFERROR(__xludf.DUMMYFUNCTION("""COMPUTED_VALUE"""),"Shubham ")</f>
        <v>Shubham </v>
      </c>
      <c r="H273" s="276" t="str">
        <f>IFERROR(__xludf.DUMMYFUNCTION("""COMPUTED_VALUE"""),"26 May: Spoke she said she is busy and she will call back in sometime. 13 Mach: Ringing, dropped a text 06 March: Busy on call, Dropped a text Spoke She said their country head is travelling and will come in Next to Next week touch base then 05 March: Rin"&amp;"ging,called twice dropped a text 04 March : She said their country head has finalised some space in Marol the LOI is in process but I have asked for a meeting tomorrow and will showcase Sakinaka Space Accordingly  27 Feb: Spoke She said she has forwarded "&amp;"the option to the management and they have a internal discussion Monday reach out again onn Monday 25 Feb: Spoke. She shared the requirement brief and I have Ptiched Sakinaka. Shared the details over Whatsapp and Mail she said she will discuss and comebac"&amp;"k ")</f>
        <v>26 May: Spoke she said she is busy and she will call back in sometime. 13 Mach: Ringing, dropped a text 06 March: Busy on call, Dropped a text Spoke She said their country head is travelling and will come in Next to Next week touch base then 05 March: Ringing,called twice dropped a text 04 March : She said their country head has finalised some space in Marol the LOI is in process but I have asked for a meeting tomorrow and will showcase Sakinaka Space Accordingly  27 Feb: Spoke She said she has forwarded the option to the management and they have a internal discussion Monday reach out again onn Monday 25 Feb: Spoke. She shared the requirement brief and I have Ptiched Sakinaka. Shared the details over Whatsapp and Mail she said she will discuss and comeback </v>
      </c>
    </row>
    <row r="274">
      <c r="A274" s="400">
        <f>IFERROR(__xludf.DUMMYFUNCTION("""COMPUTED_VALUE"""),46078.0)</f>
        <v>46078</v>
      </c>
      <c r="B274" s="276" t="str">
        <f>IFERROR(__xludf.DUMMYFUNCTION("""COMPUTED_VALUE"""),"Vinit  Gupta ")</f>
        <v>Vinit  Gupta </v>
      </c>
      <c r="C274" s="276" t="str">
        <f>IFERROR(__xludf.DUMMYFUNCTION("""COMPUTED_VALUE"""),"Classic Group ")</f>
        <v>Classic Group </v>
      </c>
      <c r="D274" s="276" t="str">
        <f>IFERROR(__xludf.DUMMYFUNCTION("""COMPUTED_VALUE"""),"Cold")</f>
        <v>Cold</v>
      </c>
      <c r="E274" s="276" t="str">
        <f>IFERROR(__xludf.DUMMYFUNCTION("""COMPUTED_VALUE"""),"Andheri")</f>
        <v>Andheri</v>
      </c>
      <c r="F274" s="276" t="str">
        <f>IFERROR(__xludf.DUMMYFUNCTION("""COMPUTED_VALUE"""),"Andheri ")</f>
        <v>Andheri </v>
      </c>
      <c r="G274" s="276" t="str">
        <f>IFERROR(__xludf.DUMMYFUNCTION("""COMPUTED_VALUE"""),"Shubham ")</f>
        <v>Shubham </v>
      </c>
      <c r="H274" s="276" t="str">
        <f>IFERROR(__xludf.DUMMYFUNCTION("""COMPUTED_VALUE"""),"10 March: Busy on another call, dropped a text 05 March: Switch off 02 March: Ringing, dropped a Text 27 feb: Ringing, dropped a Text 25 Feb: Ringing, Dropped a Text ")</f>
        <v>10 March: Busy on another call, dropped a text 05 March: Switch off 02 March: Ringing, dropped a Text 27 feb: Ringing, dropped a Text 25 Feb: Ringing, Dropped a Text </v>
      </c>
    </row>
    <row r="275">
      <c r="A275" s="400">
        <f>IFERROR(__xludf.DUMMYFUNCTION("""COMPUTED_VALUE"""),46080.0)</f>
        <v>46080</v>
      </c>
      <c r="B275" s="276" t="str">
        <f>IFERROR(__xludf.DUMMYFUNCTION("""COMPUTED_VALUE"""),"Amol  Gadhave ")</f>
        <v>Amol  Gadhave </v>
      </c>
      <c r="C275" s="276"/>
      <c r="D275" s="276" t="str">
        <f>IFERROR(__xludf.DUMMYFUNCTION("""COMPUTED_VALUE"""),"Lost")</f>
        <v>Lost</v>
      </c>
      <c r="E275" s="276" t="str">
        <f>IFERROR(__xludf.DUMMYFUNCTION("""COMPUTED_VALUE"""),"Andheri")</f>
        <v>Andheri</v>
      </c>
      <c r="F275" s="276" t="str">
        <f>IFERROR(__xludf.DUMMYFUNCTION("""COMPUTED_VALUE"""),"Andheri ")</f>
        <v>Andheri </v>
      </c>
      <c r="G275" s="276" t="str">
        <f>IFERROR(__xludf.DUMMYFUNCTION("""COMPUTED_VALUE"""),"Shubham ")</f>
        <v>Shubham </v>
      </c>
      <c r="H275" s="276" t="str">
        <f>IFERROR(__xludf.DUMMYFUNCTION("""COMPUTED_VALUE"""),"27 Feb: He said There is no requirememt as of now and kept the call. ")</f>
        <v>27 Feb: He said There is no requirememt as of now and kept the call. </v>
      </c>
    </row>
    <row r="276">
      <c r="A276" s="276" t="str">
        <f>IFERROR(__xludf.DUMMYFUNCTION("""COMPUTED_VALUE"""),"5th Jan")</f>
        <v>5th Jan</v>
      </c>
      <c r="B276" s="276" t="str">
        <f>IFERROR(__xludf.DUMMYFUNCTION("""COMPUTED_VALUE"""),"Deepak Mehta")</f>
        <v>Deepak Mehta</v>
      </c>
      <c r="C276" s="276" t="str">
        <f>IFERROR(__xludf.DUMMYFUNCTION("""COMPUTED_VALUE"""),"kara ventures")</f>
        <v>kara ventures</v>
      </c>
      <c r="D276" s="276" t="str">
        <f>IFERROR(__xludf.DUMMYFUNCTION("""COMPUTED_VALUE"""),"Cold")</f>
        <v>Cold</v>
      </c>
      <c r="E276" s="276" t="str">
        <f>IFERROR(__xludf.DUMMYFUNCTION("""COMPUTED_VALUE"""),"Lower Parel")</f>
        <v>Lower Parel</v>
      </c>
      <c r="F276" s="276" t="str">
        <f>IFERROR(__xludf.DUMMYFUNCTION("""COMPUTED_VALUE"""),"Lower Parel")</f>
        <v>Lower Parel</v>
      </c>
      <c r="G276" s="276" t="str">
        <f>IFERROR(__xludf.DUMMYFUNCTION("""COMPUTED_VALUE"""),"Shravani")</f>
        <v>Shravani</v>
      </c>
      <c r="H276" s="276" t="str">
        <f>IFERROR(__xludf.DUMMYFUNCTION("""COMPUTED_VALUE"""),"26 May: His budget is 250 per sq.ft. 9 March: Busy on call. 21 Jan: Ringing. 16 Feb: Ringing. 4 Feb: Followed on Mail. 3 Feb: Ringing. 31 Jan: Dropped a text. 30 Jan: Ringing. 29 Jan: Ringing, dropped a text.  21 Jan: He is travelling, will connect next w"&amp;"eek. 20 Jan: Disconnected my call, dropped a text. 16 Jan: He said he will update me about the visit plans soon.15 Jan: Followed up for visit plans. 13 Jan: He needs 1000sq.ft to 1500sq.ft. He has asked me to share the details.12 Jan : Ringing. 9 Jan: Dro"&amp;"pped a WA msg with pricings and attached images as well. 8 Jan: Ringing. 7 Jan: Ringing. 5 Jan: Ringing, Dropped text.")</f>
        <v>26 May: His budget is 250 per sq.ft. 9 March: Busy on call. 21 Jan: Ringing. 16 Feb: Ringing. 4 Feb: Followed on Mail. 3 Feb: Ringing. 31 Jan: Dropped a text. 30 Jan: Ringing. 29 Jan: Ringing, dropped a text.  21 Jan: He is travelling, will connect next week. 20 Jan: Disconnected my call, dropped a text. 16 Jan: He said he will update me about the visit plans soon.15 Jan: Followed up for visit plans. 13 Jan: He needs 1000sq.ft to 1500sq.ft. He has asked me to share the details.12 Jan : Ringing. 9 Jan: Dropped a WA msg with pricings and attached images as well. 8 Jan: Ringing. 7 Jan: Ringing. 5 Jan: Ringing, Dropped text.</v>
      </c>
    </row>
    <row r="277">
      <c r="A277" s="276" t="str">
        <f>IFERROR(__xludf.DUMMYFUNCTION("""COMPUTED_VALUE"""),"5th Jan")</f>
        <v>5th Jan</v>
      </c>
      <c r="B277" s="276" t="str">
        <f>IFERROR(__xludf.DUMMYFUNCTION("""COMPUTED_VALUE"""),"Kishore Lunawat")</f>
        <v>Kishore Lunawat</v>
      </c>
      <c r="C277" s="276" t="str">
        <f>IFERROR(__xludf.DUMMYFUNCTION("""COMPUTED_VALUE"""),"aarav")</f>
        <v>aarav</v>
      </c>
      <c r="D277" s="276" t="str">
        <f>IFERROR(__xludf.DUMMYFUNCTION("""COMPUTED_VALUE"""),"Cold")</f>
        <v>Cold</v>
      </c>
      <c r="E277" s="276" t="str">
        <f>IFERROR(__xludf.DUMMYFUNCTION("""COMPUTED_VALUE"""),"Lower Parel")</f>
        <v>Lower Parel</v>
      </c>
      <c r="F277" s="276" t="str">
        <f>IFERROR(__xludf.DUMMYFUNCTION("""COMPUTED_VALUE"""),"Lower Parel")</f>
        <v>Lower Parel</v>
      </c>
      <c r="G277" s="276" t="str">
        <f>IFERROR(__xludf.DUMMYFUNCTION("""COMPUTED_VALUE"""),"Shravani")</f>
        <v>Shravani</v>
      </c>
      <c r="H277" s="276" t="str">
        <f>IFERROR(__xludf.DUMMYFUNCTION("""COMPUTED_VALUE"""),"26 May: Ringing. 9 March: OS. 21 Jan: Ringing. 16 Feb: Busy on call. 4 Feb: Followed on Mail. 3 Feb: Ringing. 31 Jan: Dropped a text. 29 Jan: He said call me after somedays. 28 Jan: Ringing. 27 Jan: Ringing. 22 Jan: Ringing. 21 Jan: Ringing. 20 Jan: Disco"&amp;"nnected my call, dropped a text.16: Disconnected my call, dropped a text. 15 Jan: Followed up for visit plans. 13 Jan: Ringing. 12 Jan: He said he will call me back. 9 Jan: Dropped a WA msg with pricings and attached images as well. 8 Jan: Ringing. 7 Jan:"&amp;" Asked to call back later. 5 Jan: Ringing, Dropped text.")</f>
        <v>26 May: Ringing. 9 March: OS. 21 Jan: Ringing. 16 Feb: Busy on call. 4 Feb: Followed on Mail. 3 Feb: Ringing. 31 Jan: Dropped a text. 29 Jan: He said call me after somedays. 28 Jan: Ringing. 27 Jan: Ringing. 22 Jan: Ringing. 21 Jan: Ringing. 20 Jan: Disconnected my call, dropped a text.16: Disconnected my call, dropped a text. 15 Jan: Followed up for visit plans. 13 Jan: Ringing. 12 Jan: He said he will call me back. 9 Jan: Dropped a WA msg with pricings and attached images as well. 8 Jan: Ringing. 7 Jan: Asked to call back later. 5 Jan: Ringing, Dropped text.</v>
      </c>
    </row>
    <row r="278">
      <c r="A278" s="276" t="str">
        <f>IFERROR(__xludf.DUMMYFUNCTION("""COMPUTED_VALUE"""),"5th Jan")</f>
        <v>5th Jan</v>
      </c>
      <c r="B278" s="276" t="str">
        <f>IFERROR(__xludf.DUMMYFUNCTION("""COMPUTED_VALUE"""),"Kalpesh Bokadiya")</f>
        <v>Kalpesh Bokadiya</v>
      </c>
      <c r="C278" s="276" t="str">
        <f>IFERROR(__xludf.DUMMYFUNCTION("""COMPUTED_VALUE"""),"Mumbai, Maharashtra")</f>
        <v>Mumbai, Maharashtra</v>
      </c>
      <c r="D278" s="276" t="str">
        <f>IFERROR(__xludf.DUMMYFUNCTION("""COMPUTED_VALUE"""),"Lost")</f>
        <v>Lost</v>
      </c>
      <c r="E278" s="276" t="str">
        <f>IFERROR(__xludf.DUMMYFUNCTION("""COMPUTED_VALUE"""),"Lower Parel")</f>
        <v>Lower Parel</v>
      </c>
      <c r="F278" s="276" t="str">
        <f>IFERROR(__xludf.DUMMYFUNCTION("""COMPUTED_VALUE"""),"Lower Parel")</f>
        <v>Lower Parel</v>
      </c>
      <c r="G278" s="276" t="str">
        <f>IFERROR(__xludf.DUMMYFUNCTION("""COMPUTED_VALUE"""),"Shravani")</f>
        <v>Shravani</v>
      </c>
      <c r="H278" s="276" t="str">
        <f>IFERROR(__xludf.DUMMYFUNCTION("""COMPUTED_VALUE"""),"20 Jan: He said the space is out of my budget.16 Jan: Ringing. 15 Jan: Followed up for visit plans. 13 Jan: Disconnected the call. 12 Jan: He said he will call me back. 9 Jan: Dropped a WA msg with pricings and attached images as well. 8 Jan: Disconnected"&amp;" the call. 7 Jan: Tried calling but no answer. 5 Jan: Needs 2-5 Seater Cabin.")</f>
        <v>20 Jan: He said the space is out of my budget.16 Jan: Ringing. 15 Jan: Followed up for visit plans. 13 Jan: Disconnected the call. 12 Jan: He said he will call me back. 9 Jan: Dropped a WA msg with pricings and attached images as well. 8 Jan: Disconnected the call. 7 Jan: Tried calling but no answer. 5 Jan: Needs 2-5 Seater Cabin.</v>
      </c>
    </row>
    <row r="279">
      <c r="A279" s="276" t="str">
        <f>IFERROR(__xludf.DUMMYFUNCTION("""COMPUTED_VALUE"""),"5th Jan")</f>
        <v>5th Jan</v>
      </c>
      <c r="B279" s="276" t="str">
        <f>IFERROR(__xludf.DUMMYFUNCTION("""COMPUTED_VALUE"""),"Pravin Dhatrak")</f>
        <v>Pravin Dhatrak</v>
      </c>
      <c r="C279" s="276" t="str">
        <f>IFERROR(__xludf.DUMMYFUNCTION("""COMPUTED_VALUE"""),"worknetix")</f>
        <v>worknetix</v>
      </c>
      <c r="D279" s="276" t="str">
        <f>IFERROR(__xludf.DUMMYFUNCTION("""COMPUTED_VALUE"""),"Lost")</f>
        <v>Lost</v>
      </c>
      <c r="E279" s="276" t="str">
        <f>IFERROR(__xludf.DUMMYFUNCTION("""COMPUTED_VALUE"""),"Lower Parel")</f>
        <v>Lower Parel</v>
      </c>
      <c r="F279" s="276" t="str">
        <f>IFERROR(__xludf.DUMMYFUNCTION("""COMPUTED_VALUE"""),"Lower Parel")</f>
        <v>Lower Parel</v>
      </c>
      <c r="G279" s="276" t="str">
        <f>IFERROR(__xludf.DUMMYFUNCTION("""COMPUTED_VALUE"""),"Shravani")</f>
        <v>Shravani</v>
      </c>
      <c r="H279" s="276" t="str">
        <f>IFERROR(__xludf.DUMMYFUNCTION("""COMPUTED_VALUE"""),"8 Jan: He took a 1 seater space in Dadar at 7k. 7 Jan: Offered waiting room for 4 people at 40k. He will confirm timings. 5 Jan: Needs 1 open WS, budget 7k.")</f>
        <v>8 Jan: He took a 1 seater space in Dadar at 7k. 7 Jan: Offered waiting room for 4 people at 40k. He will confirm timings. 5 Jan: Needs 1 open WS, budget 7k.</v>
      </c>
    </row>
    <row r="280">
      <c r="A280" s="276" t="str">
        <f>IFERROR(__xludf.DUMMYFUNCTION("""COMPUTED_VALUE"""),"5th Jan")</f>
        <v>5th Jan</v>
      </c>
      <c r="B280" s="276" t="str">
        <f>IFERROR(__xludf.DUMMYFUNCTION("""COMPUTED_VALUE"""),"Suryakant Kadakane")</f>
        <v>Suryakant Kadakane</v>
      </c>
      <c r="C280" s="276" t="str">
        <f>IFERROR(__xludf.DUMMYFUNCTION("""COMPUTED_VALUE"""),"Legal &amp; Financials")</f>
        <v>Legal &amp; Financials</v>
      </c>
      <c r="D280" s="276" t="str">
        <f>IFERROR(__xludf.DUMMYFUNCTION("""COMPUTED_VALUE"""),"Lost")</f>
        <v>Lost</v>
      </c>
      <c r="E280" s="276" t="str">
        <f>IFERROR(__xludf.DUMMYFUNCTION("""COMPUTED_VALUE"""),"Lower Parel")</f>
        <v>Lower Parel</v>
      </c>
      <c r="F280" s="276" t="str">
        <f>IFERROR(__xludf.DUMMYFUNCTION("""COMPUTED_VALUE"""),"Lower Parel")</f>
        <v>Lower Parel</v>
      </c>
      <c r="G280" s="276" t="str">
        <f>IFERROR(__xludf.DUMMYFUNCTION("""COMPUTED_VALUE"""),"Shravani")</f>
        <v>Shravani</v>
      </c>
      <c r="H280" s="276" t="str">
        <f>IFERROR(__xludf.DUMMYFUNCTION("""COMPUTED_VALUE"""),"20 Jan: he said is looking for a conventional office. 16 Jan: Dropped a text. 15 Jan: Followed up for visit plans. 13 Jan: He is busy right now. 12 Jan: Not answering the call. 9 Jan: Dropped a WA msg with pricings and attached images as well. 8 Jan: Ring"&amp;"ing. 7 Jan: Busy on call, dropped text. 5 Jan: 6 seater cabin.")</f>
        <v>20 Jan: he said is looking for a conventional office. 16 Jan: Dropped a text. 15 Jan: Followed up for visit plans. 13 Jan: He is busy right now. 12 Jan: Not answering the call. 9 Jan: Dropped a WA msg with pricings and attached images as well. 8 Jan: Ringing. 7 Jan: Busy on call, dropped text. 5 Jan: 6 seater cabin.</v>
      </c>
    </row>
    <row r="281">
      <c r="A281" s="276" t="str">
        <f>IFERROR(__xludf.DUMMYFUNCTION("""COMPUTED_VALUE"""),"5th Jan")</f>
        <v>5th Jan</v>
      </c>
      <c r="B281" s="276" t="str">
        <f>IFERROR(__xludf.DUMMYFUNCTION("""COMPUTED_VALUE"""),"RAM Yadav")</f>
        <v>RAM Yadav</v>
      </c>
      <c r="C281" s="276" t="str">
        <f>IFERROR(__xludf.DUMMYFUNCTION("""COMPUTED_VALUE"""),"MS")</f>
        <v>MS</v>
      </c>
      <c r="D281" s="276" t="str">
        <f>IFERROR(__xludf.DUMMYFUNCTION("""COMPUTED_VALUE"""),"Cold")</f>
        <v>Cold</v>
      </c>
      <c r="E281" s="276" t="str">
        <f>IFERROR(__xludf.DUMMYFUNCTION("""COMPUTED_VALUE"""),"Lower Parel")</f>
        <v>Lower Parel</v>
      </c>
      <c r="F281" s="276" t="str">
        <f>IFERROR(__xludf.DUMMYFUNCTION("""COMPUTED_VALUE"""),"Lower Parel")</f>
        <v>Lower Parel</v>
      </c>
      <c r="G281" s="276" t="str">
        <f>IFERROR(__xludf.DUMMYFUNCTION("""COMPUTED_VALUE"""),"Shravani")</f>
        <v>Shravani</v>
      </c>
      <c r="H281" s="276" t="str">
        <f>IFERROR(__xludf.DUMMYFUNCTION("""COMPUTED_VALUE"""),"26 May: Ringing. 9 March: Ringing. 21 Feb: Ringing. 16 Feb: Ringing. 4 Feb: Dropped a followup mail. 3 Feb: Busy on call. 31 Jan: Dropped a text. 30 Jan: Ringing. 29 Jan: Ringing. 28 Jan: Declined the call. 27 Jan: Ringing. 22 Jan: Disconnected the call. "&amp;"21 Jan: Ringing. 20 Jan: Busy on Call. 16 Jan: Dropped a text. 15 Jan: Followed up for visit plans. 13 Jan: Disconnected by call. 12 Jan: Ringing. 9 Jan: Dropped a WA msg with pricings and attached images as well. 8 Jan: He said he is busy and will call b"&amp;"ack after some time. 7 Jan: Ringing (Dropped text). 5 Jan: Asked him to plan a visit.")</f>
        <v>26 May: Ringing. 9 March: Ringing. 21 Feb: Ringing. 16 Feb: Ringing. 4 Feb: Dropped a followup mail. 3 Feb: Busy on call. 31 Jan: Dropped a text. 30 Jan: Ringing. 29 Jan: Ringing. 28 Jan: Declined the call. 27 Jan: Ringing. 22 Jan: Disconnected the call. 21 Jan: Ringing. 20 Jan: Busy on Call. 16 Jan: Dropped a text. 15 Jan: Followed up for visit plans. 13 Jan: Disconnected by call. 12 Jan: Ringing. 9 Jan: Dropped a WA msg with pricings and attached images as well. 8 Jan: He said he is busy and will call back after some time. 7 Jan: Ringing (Dropped text). 5 Jan: Asked him to plan a visit.</v>
      </c>
    </row>
    <row r="282">
      <c r="A282" s="276" t="str">
        <f>IFERROR(__xludf.DUMMYFUNCTION("""COMPUTED_VALUE"""),"5th Jan")</f>
        <v>5th Jan</v>
      </c>
      <c r="B282" s="276" t="str">
        <f>IFERROR(__xludf.DUMMYFUNCTION("""COMPUTED_VALUE"""),"Ganesh Khorate")</f>
        <v>Ganesh Khorate</v>
      </c>
      <c r="C282" s="276" t="str">
        <f>IFERROR(__xludf.DUMMYFUNCTION("""COMPUTED_VALUE"""),"Capital Bankar")</f>
        <v>Capital Bankar</v>
      </c>
      <c r="D282" s="276" t="str">
        <f>IFERROR(__xludf.DUMMYFUNCTION("""COMPUTED_VALUE"""),"Cold")</f>
        <v>Cold</v>
      </c>
      <c r="E282" s="276" t="str">
        <f>IFERROR(__xludf.DUMMYFUNCTION("""COMPUTED_VALUE"""),"Lower Parel")</f>
        <v>Lower Parel</v>
      </c>
      <c r="F282" s="276" t="str">
        <f>IFERROR(__xludf.DUMMYFUNCTION("""COMPUTED_VALUE"""),"Lower Parel")</f>
        <v>Lower Parel</v>
      </c>
      <c r="G282" s="276" t="str">
        <f>IFERROR(__xludf.DUMMYFUNCTION("""COMPUTED_VALUE"""),"Shravani")</f>
        <v>Shravani</v>
      </c>
      <c r="H282" s="276" t="str">
        <f>IFERROR(__xludf.DUMMYFUNCTION("""COMPUTED_VALUE"""),"26 May: Ringing. 9 March: Busy on call. 21 Feb: Ringing. 16 Feb: Ringing. 4 Feb: Dropped a followup mail. 3 Feb: Ringing. 31 Jan: Dropped a text. 30 Jan: Decline the call. 29 Jan: Ringing. 28 Jan: Ringing. 27 Jan: Ringing. 22 Jan: Ringing. 21 Jan: Ringing"&amp;", dropped a text. 20 Jan: Ringing. 16 Jan: Disconnected the call. 15 Jan: Followed up for visit plans. 13 Jan: Ringing. 12 Jan: Ringing. 9 Jan: Dropped a WA msg with pricings and attached images as well. 8 Jan: Ringing. 7 Jan: Ringing (Dropped text). 5 Ja"&amp;"n: Needs 10-15 Open WS (Monthly Pass).")</f>
        <v>26 May: Ringing. 9 March: Busy on call. 21 Feb: Ringing. 16 Feb: Ringing. 4 Feb: Dropped a followup mail. 3 Feb: Ringing. 31 Jan: Dropped a text. 30 Jan: Decline the call. 29 Jan: Ringing. 28 Jan: Ringing. 27 Jan: Ringing. 22 Jan: Ringing. 21 Jan: Ringing, dropped a text. 20 Jan: Ringing. 16 Jan: Disconnected the call. 15 Jan: Followed up for visit plans. 13 Jan: Ringing. 12 Jan: Ringing. 9 Jan: Dropped a WA msg with pricings and attached images as well. 8 Jan: Ringing. 7 Jan: Ringing (Dropped text). 5 Jan: Needs 10-15 Open WS (Monthly Pass).</v>
      </c>
    </row>
    <row r="283">
      <c r="A283" s="276" t="str">
        <f>IFERROR(__xludf.DUMMYFUNCTION("""COMPUTED_VALUE"""),"5th Jan")</f>
        <v>5th Jan</v>
      </c>
      <c r="B283" s="276" t="str">
        <f>IFERROR(__xludf.DUMMYFUNCTION("""COMPUTED_VALUE"""),"Santosh Adivarekar")</f>
        <v>Santosh Adivarekar</v>
      </c>
      <c r="C283" s="276" t="str">
        <f>IFERROR(__xludf.DUMMYFUNCTION("""COMPUTED_VALUE"""),"jo jeeta wo hi sikandar")</f>
        <v>jo jeeta wo hi sikandar</v>
      </c>
      <c r="D283" s="276" t="str">
        <f>IFERROR(__xludf.DUMMYFUNCTION("""COMPUTED_VALUE"""),"Lost")</f>
        <v>Lost</v>
      </c>
      <c r="E283" s="276" t="str">
        <f>IFERROR(__xludf.DUMMYFUNCTION("""COMPUTED_VALUE"""),"Lower Parel")</f>
        <v>Lower Parel</v>
      </c>
      <c r="F283" s="276" t="str">
        <f>IFERROR(__xludf.DUMMYFUNCTION("""COMPUTED_VALUE"""),"Lower Parel")</f>
        <v>Lower Parel</v>
      </c>
      <c r="G283" s="276" t="str">
        <f>IFERROR(__xludf.DUMMYFUNCTION("""COMPUTED_VALUE"""),"Shravani")</f>
        <v>Shravani</v>
      </c>
      <c r="H283" s="276" t="str">
        <f>IFERROR(__xludf.DUMMYFUNCTION("""COMPUTED_VALUE"""),"5 Jan: He already took an office in Marathon Futurex last week.")</f>
        <v>5 Jan: He already took an office in Marathon Futurex last week.</v>
      </c>
    </row>
    <row r="284">
      <c r="A284" s="276" t="str">
        <f>IFERROR(__xludf.DUMMYFUNCTION("""COMPUTED_VALUE"""),"5th Jan")</f>
        <v>5th Jan</v>
      </c>
      <c r="B284" s="276" t="str">
        <f>IFERROR(__xludf.DUMMYFUNCTION("""COMPUTED_VALUE"""),"Chirag Joshi")</f>
        <v>Chirag Joshi</v>
      </c>
      <c r="C284" s="276" t="str">
        <f>IFERROR(__xludf.DUMMYFUNCTION("""COMPUTED_VALUE"""),"Uday Foods")</f>
        <v>Uday Foods</v>
      </c>
      <c r="D284" s="276" t="str">
        <f>IFERROR(__xludf.DUMMYFUNCTION("""COMPUTED_VALUE"""),"Lost")</f>
        <v>Lost</v>
      </c>
      <c r="E284" s="276" t="str">
        <f>IFERROR(__xludf.DUMMYFUNCTION("""COMPUTED_VALUE"""),"Lower Parel")</f>
        <v>Lower Parel</v>
      </c>
      <c r="F284" s="276" t="str">
        <f>IFERROR(__xludf.DUMMYFUNCTION("""COMPUTED_VALUE"""),"Lower Parel")</f>
        <v>Lower Parel</v>
      </c>
      <c r="G284" s="276" t="str">
        <f>IFERROR(__xludf.DUMMYFUNCTION("""COMPUTED_VALUE"""),"Shravani")</f>
        <v>Shravani</v>
      </c>
      <c r="H284" s="276" t="str">
        <f>IFERROR(__xludf.DUMMYFUNCTION("""COMPUTED_VALUE"""),"3 Feb: He is not looking in lower parel now because the reates are too high. 31 Jan: Dropped a text. 30 Jan: Ringing. 29 Jan: Ringing. 28 Jan: Declined the call. 27 Jan: Disconnected the call. 22 Jan: Ringing, dropped a text. 21 Jan: Ringing. 20 Jan: Ring"&amp;"ing, dropped a text. 15 Jan: Followed up for visit plans. 13 Jan: Ringing. 12 Jan: He said he will call me tomorrow. 9 Jan: Dropped a WA msg with pricings and attached images as well. 8 Jan: Disconnected the call. 7 Jan: Wants images before confirming a v"&amp;"isit. 5 Jan: Ringing, Dropped text.")</f>
        <v>3 Feb: He is not looking in lower parel now because the reates are too high. 31 Jan: Dropped a text. 30 Jan: Ringing. 29 Jan: Ringing. 28 Jan: Declined the call. 27 Jan: Disconnected the call. 22 Jan: Ringing, dropped a text. 21 Jan: Ringing. 20 Jan: Ringing, dropped a text. 15 Jan: Followed up for visit plans. 13 Jan: Ringing. 12 Jan: He said he will call me tomorrow. 9 Jan: Dropped a WA msg with pricings and attached images as well. 8 Jan: Disconnected the call. 7 Jan: Wants images before confirming a visit. 5 Jan: Ringing, Dropped text.</v>
      </c>
    </row>
    <row r="285">
      <c r="A285" s="276" t="str">
        <f>IFERROR(__xludf.DUMMYFUNCTION("""COMPUTED_VALUE"""),"5th Jan")</f>
        <v>5th Jan</v>
      </c>
      <c r="B285" s="276" t="str">
        <f>IFERROR(__xludf.DUMMYFUNCTION("""COMPUTED_VALUE"""),"Ali ")</f>
        <v>Ali </v>
      </c>
      <c r="C285" s="276" t="str">
        <f>IFERROR(__xludf.DUMMYFUNCTION("""COMPUTED_VALUE"""),"Squawk Digital")</f>
        <v>Squawk Digital</v>
      </c>
      <c r="D285" s="276" t="str">
        <f>IFERROR(__xludf.DUMMYFUNCTION("""COMPUTED_VALUE"""),"Lost")</f>
        <v>Lost</v>
      </c>
      <c r="E285" s="276" t="str">
        <f>IFERROR(__xludf.DUMMYFUNCTION("""COMPUTED_VALUE"""),"Lower Parel")</f>
        <v>Lower Parel</v>
      </c>
      <c r="F285" s="276" t="str">
        <f>IFERROR(__xludf.DUMMYFUNCTION("""COMPUTED_VALUE"""),"Lower Parel")</f>
        <v>Lower Parel</v>
      </c>
      <c r="G285" s="276" t="str">
        <f>IFERROR(__xludf.DUMMYFUNCTION("""COMPUTED_VALUE"""),"Shravani")</f>
        <v>Shravani</v>
      </c>
      <c r="H285" s="276" t="str">
        <f>IFERROR(__xludf.DUMMYFUNCTION("""COMPUTED_VALUE"""),"12 Jan: He is not looking options in Lower Parel rightnow. 8 Jan: He is currently not in town so he will connect me on monday. 7 Jan: Will revert back post 3 days. 5 Jan: Looking for monthly pass, budget around 10k.")</f>
        <v>12 Jan: He is not looking options in Lower Parel rightnow. 8 Jan: He is currently not in town so he will connect me on monday. 7 Jan: Will revert back post 3 days. 5 Jan: Looking for monthly pass, budget around 10k.</v>
      </c>
    </row>
    <row r="286">
      <c r="A286" s="276" t="str">
        <f>IFERROR(__xludf.DUMMYFUNCTION("""COMPUTED_VALUE"""),"6th Jan")</f>
        <v>6th Jan</v>
      </c>
      <c r="B286" s="276" t="str">
        <f>IFERROR(__xludf.DUMMYFUNCTION("""COMPUTED_VALUE"""),"sunil Lahori")</f>
        <v>sunil Lahori</v>
      </c>
      <c r="C286" s="276" t="str">
        <f>IFERROR(__xludf.DUMMYFUNCTION("""COMPUTED_VALUE"""),"Self-Employed")</f>
        <v>Self-Employed</v>
      </c>
      <c r="D286" s="276" t="str">
        <f>IFERROR(__xludf.DUMMYFUNCTION("""COMPUTED_VALUE"""),"Lost")</f>
        <v>Lost</v>
      </c>
      <c r="E286" s="276" t="str">
        <f>IFERROR(__xludf.DUMMYFUNCTION("""COMPUTED_VALUE"""),"Lower Parel")</f>
        <v>Lower Parel</v>
      </c>
      <c r="F286" s="276" t="str">
        <f>IFERROR(__xludf.DUMMYFUNCTION("""COMPUTED_VALUE"""),"Lower Parel")</f>
        <v>Lower Parel</v>
      </c>
      <c r="G286" s="276" t="str">
        <f>IFERROR(__xludf.DUMMYFUNCTION("""COMPUTED_VALUE"""),"Shravani")</f>
        <v>Shravani</v>
      </c>
      <c r="H286" s="276" t="str">
        <f>IFERROR(__xludf.DUMMYFUNCTION("""COMPUTED_VALUE"""),"20 Jan: He wants a space in Bandra. 15 Jan: Followed up for visit plans. 13 Jan: He will be available for a visit after 15th Jan. 8 Jan: He said, he is just exploring if he has any plans for visit he will call me. 7 Jan: Busy on call, Dropped text. 6 Jan:"&amp;" Needs 12 seater + 1 Boss Cabin.")</f>
        <v>20 Jan: He wants a space in Bandra. 15 Jan: Followed up for visit plans. 13 Jan: He will be available for a visit after 15th Jan. 8 Jan: He said, he is just exploring if he has any plans for visit he will call me. 7 Jan: Busy on call, Dropped text. 6 Jan: Needs 12 seater + 1 Boss Cabin.</v>
      </c>
    </row>
    <row r="287">
      <c r="A287" s="276" t="str">
        <f>IFERROR(__xludf.DUMMYFUNCTION("""COMPUTED_VALUE"""),"6th Jan")</f>
        <v>6th Jan</v>
      </c>
      <c r="B287" s="276" t="str">
        <f>IFERROR(__xludf.DUMMYFUNCTION("""COMPUTED_VALUE"""),"Prashant Shivnekar")</f>
        <v>Prashant Shivnekar</v>
      </c>
      <c r="C287" s="276" t="str">
        <f>IFERROR(__xludf.DUMMYFUNCTION("""COMPUTED_VALUE"""),"Capital Creation")</f>
        <v>Capital Creation</v>
      </c>
      <c r="D287" s="276" t="str">
        <f>IFERROR(__xludf.DUMMYFUNCTION("""COMPUTED_VALUE"""),"Lost")</f>
        <v>Lost</v>
      </c>
      <c r="E287" s="276" t="str">
        <f>IFERROR(__xludf.DUMMYFUNCTION("""COMPUTED_VALUE"""),"Lower Parel")</f>
        <v>Lower Parel</v>
      </c>
      <c r="F287" s="276" t="str">
        <f>IFERROR(__xludf.DUMMYFUNCTION("""COMPUTED_VALUE"""),"Lower Parel")</f>
        <v>Lower Parel</v>
      </c>
      <c r="G287" s="276" t="str">
        <f>IFERROR(__xludf.DUMMYFUNCTION("""COMPUTED_VALUE"""),"Shravani")</f>
        <v>Shravani</v>
      </c>
      <c r="H287" s="276" t="str">
        <f>IFERROR(__xludf.DUMMYFUNCTION("""COMPUTED_VALUE"""),"16 Feb: He is looking for a conventional office. 3 Feb: Busy on call. 31 Jan: Dropped a text. 29 Jan: Declined the call. 28 Jan: dropped a text. 27 Jan: Ringing. 21 Jan: He will inform me a day before whenever he wants to visit.  20 Jan: Ringing. 15 Jan: "&amp;"Followed up for visit plans. 13 Jan: Disconnected the call. 12 Jan: Ringing. 9 Jan: Dropped a WA msg with pricings and attached images as well. 8 Jan: Ringing. 7 Jan: Busy on call, Dropped text. 6 Jan: Needs 9 Seats. Currently paying 19k.")</f>
        <v>16 Feb: He is looking for a conventional office. 3 Feb: Busy on call. 31 Jan: Dropped a text. 29 Jan: Declined the call. 28 Jan: dropped a text. 27 Jan: Ringing. 21 Jan: He will inform me a day before whenever he wants to visit.  20 Jan: Ringing. 15 Jan: Followed up for visit plans. 13 Jan: Disconnected the call. 12 Jan: Ringing. 9 Jan: Dropped a WA msg with pricings and attached images as well. 8 Jan: Ringing. 7 Jan: Busy on call, Dropped text. 6 Jan: Needs 9 Seats. Currently paying 19k.</v>
      </c>
    </row>
    <row r="288">
      <c r="A288" s="276" t="str">
        <f>IFERROR(__xludf.DUMMYFUNCTION("""COMPUTED_VALUE"""),"6th Jan")</f>
        <v>6th Jan</v>
      </c>
      <c r="B288" s="276" t="str">
        <f>IFERROR(__xludf.DUMMYFUNCTION("""COMPUTED_VALUE"""),"Seema Nichani")</f>
        <v>Seema Nichani</v>
      </c>
      <c r="C288" s="276" t="str">
        <f>IFERROR(__xludf.DUMMYFUNCTION("""COMPUTED_VALUE"""),"Deepwork")</f>
        <v>Deepwork</v>
      </c>
      <c r="D288" s="276"/>
      <c r="E288" s="276" t="str">
        <f>IFERROR(__xludf.DUMMYFUNCTION("""COMPUTED_VALUE"""),"Lower Parel")</f>
        <v>Lower Parel</v>
      </c>
      <c r="F288" s="276" t="str">
        <f>IFERROR(__xludf.DUMMYFUNCTION("""COMPUTED_VALUE"""),"Lower Parel")</f>
        <v>Lower Parel</v>
      </c>
      <c r="G288" s="276" t="str">
        <f>IFERROR(__xludf.DUMMYFUNCTION("""COMPUTED_VALUE"""),"Shravani")</f>
        <v>Shravani</v>
      </c>
      <c r="H288" s="276" t="str">
        <f>IFERROR(__xludf.DUMMYFUNCTION("""COMPUTED_VALUE"""),"6 Jan: Manju Sir took this up.")</f>
        <v>6 Jan: Manju Sir took this up.</v>
      </c>
    </row>
    <row r="289">
      <c r="A289" s="276" t="str">
        <f>IFERROR(__xludf.DUMMYFUNCTION("""COMPUTED_VALUE"""),"6th Jan")</f>
        <v>6th Jan</v>
      </c>
      <c r="B289" s="276" t="str">
        <f>IFERROR(__xludf.DUMMYFUNCTION("""COMPUTED_VALUE"""),"Dipesh Gindra")</f>
        <v>Dipesh Gindra</v>
      </c>
      <c r="C289" s="276" t="str">
        <f>IFERROR(__xludf.DUMMYFUNCTION("""COMPUTED_VALUE"""),"Brooks")</f>
        <v>Brooks</v>
      </c>
      <c r="D289" s="276" t="str">
        <f>IFERROR(__xludf.DUMMYFUNCTION("""COMPUTED_VALUE"""),"Hold")</f>
        <v>Hold</v>
      </c>
      <c r="E289" s="276" t="str">
        <f>IFERROR(__xludf.DUMMYFUNCTION("""COMPUTED_VALUE"""),"Lower Parel")</f>
        <v>Lower Parel</v>
      </c>
      <c r="F289" s="276" t="str">
        <f>IFERROR(__xludf.DUMMYFUNCTION("""COMPUTED_VALUE"""),"Lower Parel")</f>
        <v>Lower Parel</v>
      </c>
      <c r="G289" s="276" t="str">
        <f>IFERROR(__xludf.DUMMYFUNCTION("""COMPUTED_VALUE"""),"Shravani")</f>
        <v>Shravani</v>
      </c>
      <c r="H289" s="276" t="str">
        <f>IFERROR(__xludf.DUMMYFUNCTION("""COMPUTED_VALUE"""),"26 May: Ringing. 21 Jan: The requirement is on hold, he will get back to me in March. 20 Jan: Ringing. 15 Jan: Followed up for visit plans. 13 Jan: Ringing. 12 Jan: Busy on call. 9 Jan: Dropped a WA msg with pricings and attached images as well. 8 Jan: Ri"&amp;"nging. 7 Jan: Will call back post 30 mins. 6 Jan: Call him tomorrow post 11:30 AM.")</f>
        <v>26 May: Ringing. 21 Jan: The requirement is on hold, he will get back to me in March. 20 Jan: Ringing. 15 Jan: Followed up for visit plans. 13 Jan: Ringing. 12 Jan: Busy on call. 9 Jan: Dropped a WA msg with pricings and attached images as well. 8 Jan: Ringing. 7 Jan: Will call back post 30 mins. 6 Jan: Call him tomorrow post 11:30 AM.</v>
      </c>
    </row>
    <row r="290">
      <c r="A290" s="276" t="str">
        <f>IFERROR(__xludf.DUMMYFUNCTION("""COMPUTED_VALUE"""),"6th Jan")</f>
        <v>6th Jan</v>
      </c>
      <c r="B290" s="276" t="str">
        <f>IFERROR(__xludf.DUMMYFUNCTION("""COMPUTED_VALUE"""),"Deepak Chury")</f>
        <v>Deepak Chury</v>
      </c>
      <c r="C290" s="276" t="str">
        <f>IFERROR(__xludf.DUMMYFUNCTION("""COMPUTED_VALUE"""),"Acme")</f>
        <v>Acme</v>
      </c>
      <c r="D290" s="276" t="str">
        <f>IFERROR(__xludf.DUMMYFUNCTION("""COMPUTED_VALUE"""),"Hold")</f>
        <v>Hold</v>
      </c>
      <c r="E290" s="276" t="str">
        <f>IFERROR(__xludf.DUMMYFUNCTION("""COMPUTED_VALUE"""),"Lower Parel")</f>
        <v>Lower Parel</v>
      </c>
      <c r="F290" s="276" t="str">
        <f>IFERROR(__xludf.DUMMYFUNCTION("""COMPUTED_VALUE"""),"Lower Parel")</f>
        <v>Lower Parel</v>
      </c>
      <c r="G290" s="276" t="str">
        <f>IFERROR(__xludf.DUMMYFUNCTION("""COMPUTED_VALUE"""),"Shravani")</f>
        <v>Shravani</v>
      </c>
      <c r="H290" s="276" t="str">
        <f>IFERROR(__xludf.DUMMYFUNCTION("""COMPUTED_VALUE"""),"26 May: Ringing. 3 Feb: It is on hold. 27 Jan: He is occupied with some work will get back in next week. 20 Jan: He said he will inform me about the visit plan soon. 15 Jan: Followed up for visit plans. 13 Jan: He said he is busy. 12 Jan: He is busy right"&amp;"now, he will call me back. 9 Jan: Dropped a WA msg with pricings and attached images as well. 8 Jan: Ringing. 7 Jan: Shared the details and asked him to visit. 6 Jan: Busy on call.")</f>
        <v>26 May: Ringing. 3 Feb: It is on hold. 27 Jan: He is occupied with some work will get back in next week. 20 Jan: He said he will inform me about the visit plan soon. 15 Jan: Followed up for visit plans. 13 Jan: He said he is busy. 12 Jan: He is busy rightnow, he will call me back. 9 Jan: Dropped a WA msg with pricings and attached images as well. 8 Jan: Ringing. 7 Jan: Shared the details and asked him to visit. 6 Jan: Busy on call.</v>
      </c>
    </row>
    <row r="291">
      <c r="A291" s="276" t="str">
        <f>IFERROR(__xludf.DUMMYFUNCTION("""COMPUTED_VALUE"""),"7th Jan")</f>
        <v>7th Jan</v>
      </c>
      <c r="B291" s="276" t="str">
        <f>IFERROR(__xludf.DUMMYFUNCTION("""COMPUTED_VALUE"""),"Roland Ohol")</f>
        <v>Roland Ohol</v>
      </c>
      <c r="C291" s="276" t="str">
        <f>IFERROR(__xludf.DUMMYFUNCTION("""COMPUTED_VALUE"""),"Roland Events")</f>
        <v>Roland Events</v>
      </c>
      <c r="D291" s="276" t="str">
        <f>IFERROR(__xludf.DUMMYFUNCTION("""COMPUTED_VALUE"""),"Lost")</f>
        <v>Lost</v>
      </c>
      <c r="E291" s="276" t="str">
        <f>IFERROR(__xludf.DUMMYFUNCTION("""COMPUTED_VALUE"""),"Lower Parel")</f>
        <v>Lower Parel</v>
      </c>
      <c r="F291" s="276" t="str">
        <f>IFERROR(__xludf.DUMMYFUNCTION("""COMPUTED_VALUE"""),"Lower Parel")</f>
        <v>Lower Parel</v>
      </c>
      <c r="G291" s="276" t="str">
        <f>IFERROR(__xludf.DUMMYFUNCTION("""COMPUTED_VALUE"""),"Shravani")</f>
        <v>Shravani</v>
      </c>
      <c r="H291" s="276" t="str">
        <f>IFERROR(__xludf.DUMMYFUNCTION("""COMPUTED_VALUE"""),"20 Jan: He said as of now they are not looking in Lower Parel. 15 Jan: Followed up for visit plans. 13 Jan: Ringing. 12 Jan: Ringing. 9 Jan: Dropped a WA msg with pricings and attached images as well. 8 Jan: He said, he is just exploring. I have shared wi"&amp;"th him the images and pricings. 7 Jan: Ringing, Dropped him a text.")</f>
        <v>20 Jan: He said as of now they are not looking in Lower Parel. 15 Jan: Followed up for visit plans. 13 Jan: Ringing. 12 Jan: Ringing. 9 Jan: Dropped a WA msg with pricings and attached images as well. 8 Jan: He said, he is just exploring. I have shared with him the images and pricings. 7 Jan: Ringing, Dropped him a text.</v>
      </c>
    </row>
    <row r="292">
      <c r="A292" s="276" t="str">
        <f>IFERROR(__xludf.DUMMYFUNCTION("""COMPUTED_VALUE"""),"8th Jan")</f>
        <v>8th Jan</v>
      </c>
      <c r="B292" s="276" t="str">
        <f>IFERROR(__xludf.DUMMYFUNCTION("""COMPUTED_VALUE"""),"Bhaairav Suuthar")</f>
        <v>Bhaairav Suuthar</v>
      </c>
      <c r="C292" s="276" t="str">
        <f>IFERROR(__xludf.DUMMYFUNCTION("""COMPUTED_VALUE"""),"Interkrafts llp")</f>
        <v>Interkrafts llp</v>
      </c>
      <c r="D292" s="276" t="str">
        <f>IFERROR(__xludf.DUMMYFUNCTION("""COMPUTED_VALUE"""),"Cold")</f>
        <v>Cold</v>
      </c>
      <c r="E292" s="276" t="str">
        <f>IFERROR(__xludf.DUMMYFUNCTION("""COMPUTED_VALUE"""),"Lower Parel")</f>
        <v>Lower Parel</v>
      </c>
      <c r="F292" s="276" t="str">
        <f>IFERROR(__xludf.DUMMYFUNCTION("""COMPUTED_VALUE"""),"Lower Parel")</f>
        <v>Lower Parel</v>
      </c>
      <c r="G292" s="276" t="str">
        <f>IFERROR(__xludf.DUMMYFUNCTION("""COMPUTED_VALUE"""),"Shravani")</f>
        <v>Shravani</v>
      </c>
      <c r="H292" s="276" t="str">
        <f>IFERROR(__xludf.DUMMYFUNCTION("""COMPUTED_VALUE"""),"26 May: Ringing. 9 March: Declined the call.  21 Feb: Busy on call. 16 Feb: Ringing. 4 Feb: dropped a mail. 3 Feb: Shared with the details. 31 Jan: Dropped a text. 30Jan: Ringing. 29 Jan: Busy on call. 28 Jan: Ringing. 27 Jan: Ringing. 24 Jan: Ringing, dr"&amp;"opped a text. 22 Jan: Ringing, dropped a text. 21 Jan: Disconnected my call. 20 Jan: Ringing, Dropped a text.15 Jan: Followed up for visit plans. 13 Jan: Disconnected the call. 12 Jan: Ringing. 9 Jan: Dropped a WA msg with pricings and attached images as "&amp;"well. ")</f>
        <v>26 May: Ringing. 9 March: Declined the call.  21 Feb: Busy on call. 16 Feb: Ringing. 4 Feb: dropped a mail. 3 Feb: Shared with the details. 31 Jan: Dropped a text. 30Jan: Ringing. 29 Jan: Busy on call. 28 Jan: Ringing. 27 Jan: Ringing. 24 Jan: Ringing, dropped a text. 22 Jan: Ringing, dropped a text. 21 Jan: Disconnected my call. 20 Jan: Ringing, Dropped a text.15 Jan: Followed up for visit plans. 13 Jan: Disconnected the call. 12 Jan: Ringing. 9 Jan: Dropped a WA msg with pricings and attached images as well. </v>
      </c>
    </row>
    <row r="293">
      <c r="A293" s="276" t="str">
        <f>IFERROR(__xludf.DUMMYFUNCTION("""COMPUTED_VALUE"""),"8th Jan")</f>
        <v>8th Jan</v>
      </c>
      <c r="B293" s="276" t="str">
        <f>IFERROR(__xludf.DUMMYFUNCTION("""COMPUTED_VALUE"""),"Gautam Lalan")</f>
        <v>Gautam Lalan</v>
      </c>
      <c r="C293" s="276" t="str">
        <f>IFERROR(__xludf.DUMMYFUNCTION("""COMPUTED_VALUE"""),"SAS Global Reisen")</f>
        <v>SAS Global Reisen</v>
      </c>
      <c r="D293" s="276" t="str">
        <f>IFERROR(__xludf.DUMMYFUNCTION("""COMPUTED_VALUE"""),"Lost")</f>
        <v>Lost</v>
      </c>
      <c r="E293" s="276" t="str">
        <f>IFERROR(__xludf.DUMMYFUNCTION("""COMPUTED_VALUE"""),"Lower Parel")</f>
        <v>Lower Parel</v>
      </c>
      <c r="F293" s="276" t="str">
        <f>IFERROR(__xludf.DUMMYFUNCTION("""COMPUTED_VALUE"""),"Lower Parel")</f>
        <v>Lower Parel</v>
      </c>
      <c r="G293" s="276" t="str">
        <f>IFERROR(__xludf.DUMMYFUNCTION("""COMPUTED_VALUE"""),"Shravani")</f>
        <v>Shravani</v>
      </c>
      <c r="H293" s="276" t="str">
        <f>IFERROR(__xludf.DUMMYFUNCTION("""COMPUTED_VALUE"""),"Already registered through a broker")</f>
        <v>Already registered through a broker</v>
      </c>
    </row>
    <row r="294">
      <c r="A294" s="276" t="str">
        <f>IFERROR(__xludf.DUMMYFUNCTION("""COMPUTED_VALUE"""),"8th Jan")</f>
        <v>8th Jan</v>
      </c>
      <c r="B294" s="276" t="str">
        <f>IFERROR(__xludf.DUMMYFUNCTION("""COMPUTED_VALUE"""),"Geetendra Dhhanawat")</f>
        <v>Geetendra Dhhanawat</v>
      </c>
      <c r="C294" s="276" t="str">
        <f>IFERROR(__xludf.DUMMYFUNCTION("""COMPUTED_VALUE"""),"Biomentors online")</f>
        <v>Biomentors online</v>
      </c>
      <c r="D294" s="276" t="str">
        <f>IFERROR(__xludf.DUMMYFUNCTION("""COMPUTED_VALUE"""),"Lost")</f>
        <v>Lost</v>
      </c>
      <c r="E294" s="276" t="str">
        <f>IFERROR(__xludf.DUMMYFUNCTION("""COMPUTED_VALUE"""),"Lower Parel")</f>
        <v>Lower Parel</v>
      </c>
      <c r="F294" s="276" t="str">
        <f>IFERROR(__xludf.DUMMYFUNCTION("""COMPUTED_VALUE"""),"Lower Parel")</f>
        <v>Lower Parel</v>
      </c>
      <c r="G294" s="276" t="str">
        <f>IFERROR(__xludf.DUMMYFUNCTION("""COMPUTED_VALUE"""),"Shravani")</f>
        <v>Shravani</v>
      </c>
      <c r="H294" s="276"/>
    </row>
    <row r="295">
      <c r="A295" s="276" t="str">
        <f>IFERROR(__xludf.DUMMYFUNCTION("""COMPUTED_VALUE"""),"8th Jan")</f>
        <v>8th Jan</v>
      </c>
      <c r="B295" s="276" t="str">
        <f>IFERROR(__xludf.DUMMYFUNCTION("""COMPUTED_VALUE"""),"Pankaj Solanki")</f>
        <v>Pankaj Solanki</v>
      </c>
      <c r="C295" s="276" t="str">
        <f>IFERROR(__xludf.DUMMYFUNCTION("""COMPUTED_VALUE"""),"Approach")</f>
        <v>Approach</v>
      </c>
      <c r="D295" s="276" t="str">
        <f>IFERROR(__xludf.DUMMYFUNCTION("""COMPUTED_VALUE"""),"Lost")</f>
        <v>Lost</v>
      </c>
      <c r="E295" s="276" t="str">
        <f>IFERROR(__xludf.DUMMYFUNCTION("""COMPUTED_VALUE"""),"Lower Parel")</f>
        <v>Lower Parel</v>
      </c>
      <c r="F295" s="276" t="str">
        <f>IFERROR(__xludf.DUMMYFUNCTION("""COMPUTED_VALUE"""),"Lower Parel")</f>
        <v>Lower Parel</v>
      </c>
      <c r="G295" s="276" t="str">
        <f>IFERROR(__xludf.DUMMYFUNCTION("""COMPUTED_VALUE"""),"Shravani")</f>
        <v>Shravani</v>
      </c>
      <c r="H295" s="276" t="str">
        <f>IFERROR(__xludf.DUMMYFUNCTION("""COMPUTED_VALUE"""),"12 Jan: He said his budget is around 60k not more that that.")</f>
        <v>12 Jan: He said his budget is around 60k not more that that.</v>
      </c>
    </row>
    <row r="296">
      <c r="A296" s="276" t="str">
        <f>IFERROR(__xludf.DUMMYFUNCTION("""COMPUTED_VALUE"""),"8th Jan")</f>
        <v>8th Jan</v>
      </c>
      <c r="B296" s="276" t="str">
        <f>IFERROR(__xludf.DUMMYFUNCTION("""COMPUTED_VALUE"""),"Hanif Lakdawala")</f>
        <v>Hanif Lakdawala</v>
      </c>
      <c r="C296" s="276" t="str">
        <f>IFERROR(__xludf.DUMMYFUNCTION("""COMPUTED_VALUE"""),"Akbar Peerbhoy college of Commerce &amp; Eco")</f>
        <v>Akbar Peerbhoy college of Commerce &amp; Eco</v>
      </c>
      <c r="D296" s="276" t="str">
        <f>IFERROR(__xludf.DUMMYFUNCTION("""COMPUTED_VALUE"""),"Cold")</f>
        <v>Cold</v>
      </c>
      <c r="E296" s="276" t="str">
        <f>IFERROR(__xludf.DUMMYFUNCTION("""COMPUTED_VALUE"""),"Lower Parel")</f>
        <v>Lower Parel</v>
      </c>
      <c r="F296" s="276" t="str">
        <f>IFERROR(__xludf.DUMMYFUNCTION("""COMPUTED_VALUE"""),"Lower Parel")</f>
        <v>Lower Parel</v>
      </c>
      <c r="G296" s="276" t="str">
        <f>IFERROR(__xludf.DUMMYFUNCTION("""COMPUTED_VALUE"""),"Shravani")</f>
        <v>Shravani</v>
      </c>
      <c r="H296" s="276" t="str">
        <f>IFERROR(__xludf.DUMMYFUNCTION("""COMPUTED_VALUE"""),"26 May: Ringing. 9 march: Ringing. 21 Feb: Ringing. 16 Feb: Ringing. 3 Feb: Ringing. 31 Jan: Dropped a text. 30 Jan: Ringing. 29 Jan: Busy on call. 28 Jan: Ringing. 27 Jan: dropped a text. 22 Jan: He is caught up with some work, he will update me regardin"&amp;"g his visit plan next week. 21 Jan: Ringing, dropped a text. 20 Jan: He needs around 2 to 4 workstations, he will try to visit this week. 15 Jan: Followed up for visit plans. 13 Jan: Ringing. 12 Jan: Ringing. 9 Jan: Dropped a WA msg with pricings and atta"&amp;"ched images as well. ")</f>
        <v>26 May: Ringing. 9 march: Ringing. 21 Feb: Ringing. 16 Feb: Ringing. 3 Feb: Ringing. 31 Jan: Dropped a text. 30 Jan: Ringing. 29 Jan: Busy on call. 28 Jan: Ringing. 27 Jan: dropped a text. 22 Jan: He is caught up with some work, he will update me regarding his visit plan next week. 21 Jan: Ringing, dropped a text. 20 Jan: He needs around 2 to 4 workstations, he will try to visit this week. 15 Jan: Followed up for visit plans. 13 Jan: Ringing. 12 Jan: Ringing. 9 Jan: Dropped a WA msg with pricings and attached images as well. </v>
      </c>
    </row>
    <row r="297">
      <c r="A297" s="276" t="str">
        <f>IFERROR(__xludf.DUMMYFUNCTION("""COMPUTED_VALUE"""),"8th Jan")</f>
        <v>8th Jan</v>
      </c>
      <c r="B297" s="276" t="str">
        <f>IFERROR(__xludf.DUMMYFUNCTION("""COMPUTED_VALUE"""),"Pramod Ghadigaonkar")</f>
        <v>Pramod Ghadigaonkar</v>
      </c>
      <c r="C297" s="276" t="str">
        <f>IFERROR(__xludf.DUMMYFUNCTION("""COMPUTED_VALUE"""),"Buzil Rossari Pvt Ltd")</f>
        <v>Buzil Rossari Pvt Ltd</v>
      </c>
      <c r="D297" s="276" t="str">
        <f>IFERROR(__xludf.DUMMYFUNCTION("""COMPUTED_VALUE"""),"Lost")</f>
        <v>Lost</v>
      </c>
      <c r="E297" s="276" t="str">
        <f>IFERROR(__xludf.DUMMYFUNCTION("""COMPUTED_VALUE"""),"Lower Parel")</f>
        <v>Lower Parel</v>
      </c>
      <c r="F297" s="276" t="str">
        <f>IFERROR(__xludf.DUMMYFUNCTION("""COMPUTED_VALUE"""),"Lower Parel")</f>
        <v>Lower Parel</v>
      </c>
      <c r="G297" s="276" t="str">
        <f>IFERROR(__xludf.DUMMYFUNCTION("""COMPUTED_VALUE"""),"Shravani")</f>
        <v>Shravani</v>
      </c>
      <c r="H297" s="276" t="str">
        <f>IFERROR(__xludf.DUMMYFUNCTION("""COMPUTED_VALUE"""),"8 Jan: He is looking for a warehouse.")</f>
        <v>8 Jan: He is looking for a warehouse.</v>
      </c>
    </row>
    <row r="298">
      <c r="A298" s="276" t="str">
        <f>IFERROR(__xludf.DUMMYFUNCTION("""COMPUTED_VALUE"""),"8th Jan")</f>
        <v>8th Jan</v>
      </c>
      <c r="B298" s="276" t="str">
        <f>IFERROR(__xludf.DUMMYFUNCTION("""COMPUTED_VALUE"""),"Arvinder Chandhok")</f>
        <v>Arvinder Chandhok</v>
      </c>
      <c r="C298" s="276" t="str">
        <f>IFERROR(__xludf.DUMMYFUNCTION("""COMPUTED_VALUE"""),"Property Dealer")</f>
        <v>Property Dealer</v>
      </c>
      <c r="D298" s="276" t="str">
        <f>IFERROR(__xludf.DUMMYFUNCTION("""COMPUTED_VALUE"""),"Warm")</f>
        <v>Warm</v>
      </c>
      <c r="E298" s="276" t="str">
        <f>IFERROR(__xludf.DUMMYFUNCTION("""COMPUTED_VALUE"""),"Lower Parel")</f>
        <v>Lower Parel</v>
      </c>
      <c r="F298" s="276" t="str">
        <f>IFERROR(__xludf.DUMMYFUNCTION("""COMPUTED_VALUE"""),"Lower Parel")</f>
        <v>Lower Parel</v>
      </c>
      <c r="G298" s="276" t="str">
        <f>IFERROR(__xludf.DUMMYFUNCTION("""COMPUTED_VALUE"""),"Shravani")</f>
        <v>Shravani</v>
      </c>
      <c r="H298" s="276" t="str">
        <f>IFERROR(__xludf.DUMMYFUNCTION("""COMPUTED_VALUE"""),"21 Jan: He said he spoke with his client, and they require only an A-grade building. 20 Jan: Ringing, dropped a text. 15 Jan: Followed up for visit plans. 13 Jan: The broker mentioned he will update me about the visit soon. 12 Jan: Dropped a text.")</f>
        <v>21 Jan: He said he spoke with his client, and they require only an A-grade building. 20 Jan: Ringing, dropped a text. 15 Jan: Followed up for visit plans. 13 Jan: The broker mentioned he will update me about the visit soon. 12 Jan: Dropped a text.</v>
      </c>
    </row>
    <row r="299">
      <c r="A299" s="276" t="str">
        <f>IFERROR(__xludf.DUMMYFUNCTION("""COMPUTED_VALUE"""),"9th Jan")</f>
        <v>9th Jan</v>
      </c>
      <c r="B299" s="276" t="str">
        <f>IFERROR(__xludf.DUMMYFUNCTION("""COMPUTED_VALUE"""),"Amit  Sinha")</f>
        <v>Amit  Sinha</v>
      </c>
      <c r="C299" s="276" t="str">
        <f>IFERROR(__xludf.DUMMYFUNCTION("""COMPUTED_VALUE"""),"Dojo Marketing Communications")</f>
        <v>Dojo Marketing Communications</v>
      </c>
      <c r="D299" s="276" t="str">
        <f>IFERROR(__xludf.DUMMYFUNCTION("""COMPUTED_VALUE"""),"Warm")</f>
        <v>Warm</v>
      </c>
      <c r="E299" s="276" t="str">
        <f>IFERROR(__xludf.DUMMYFUNCTION("""COMPUTED_VALUE"""),"Lower Parel")</f>
        <v>Lower Parel</v>
      </c>
      <c r="F299" s="276" t="str">
        <f>IFERROR(__xludf.DUMMYFUNCTION("""COMPUTED_VALUE"""),"Lower parel")</f>
        <v>Lower parel</v>
      </c>
      <c r="G299" s="276" t="str">
        <f>IFERROR(__xludf.DUMMYFUNCTION("""COMPUTED_VALUE"""),"Shravani")</f>
        <v>Shravani</v>
      </c>
      <c r="H299" s="276" t="str">
        <f>IFERROR(__xludf.DUMMYFUNCTION("""COMPUTED_VALUE"""),"26 May: 9 March: Ringing, drooped a text. 21 Feb: Dropped a text. 16 Feb: He is busy and will get back to me soon. 21 Jan: He will be visiting in 2nd week of Feb. 20 Jan: Ringing, Dropped a mail. 12 Jan: He informed me that he is currently dealing with a "&amp;"medical emergency and will get back to me once he is available.")</f>
        <v>26 May: 9 March: Ringing, drooped a text. 21 Feb: Dropped a text. 16 Feb: He is busy and will get back to me soon. 21 Jan: He will be visiting in 2nd week of Feb. 20 Jan: Ringing, Dropped a mail. 12 Jan: He informed me that he is currently dealing with a medical emergency and will get back to me once he is available.</v>
      </c>
    </row>
    <row r="300">
      <c r="A300" s="276" t="str">
        <f>IFERROR(__xludf.DUMMYFUNCTION("""COMPUTED_VALUE"""),"9th Jan")</f>
        <v>9th Jan</v>
      </c>
      <c r="B300" s="276" t="str">
        <f>IFERROR(__xludf.DUMMYFUNCTION("""COMPUTED_VALUE"""),"Dhanish Mehta")</f>
        <v>Dhanish Mehta</v>
      </c>
      <c r="C300" s="276" t="str">
        <f>IFERROR(__xludf.DUMMYFUNCTION("""COMPUTED_VALUE"""),"UVM")</f>
        <v>UVM</v>
      </c>
      <c r="D300" s="276" t="str">
        <f>IFERROR(__xludf.DUMMYFUNCTION("""COMPUTED_VALUE"""),"Lost")</f>
        <v>Lost</v>
      </c>
      <c r="E300" s="276" t="str">
        <f>IFERROR(__xludf.DUMMYFUNCTION("""COMPUTED_VALUE"""),"Lower Parel")</f>
        <v>Lower Parel</v>
      </c>
      <c r="F300" s="276" t="str">
        <f>IFERROR(__xludf.DUMMYFUNCTION("""COMPUTED_VALUE"""),"Lower parel")</f>
        <v>Lower parel</v>
      </c>
      <c r="G300" s="276" t="str">
        <f>IFERROR(__xludf.DUMMYFUNCTION("""COMPUTED_VALUE"""),"Shravani")</f>
        <v>Shravani</v>
      </c>
      <c r="H300" s="276" t="str">
        <f>IFERROR(__xludf.DUMMYFUNCTION("""COMPUTED_VALUE"""),"20 Jan: He visited the space last week and he needs a 2 seater cabin. He is not interested in open workstations. 15 Jan: Followed up for visit plans. 13 Jan: He will update me about the visit post 2 days. 12 Jan: Not answering my call, dropped a text.")</f>
        <v>20 Jan: He visited the space last week and he needs a 2 seater cabin. He is not interested in open workstations. 15 Jan: Followed up for visit plans. 13 Jan: He will update me about the visit post 2 days. 12 Jan: Not answering my call, dropped a text.</v>
      </c>
    </row>
    <row r="301">
      <c r="A301" s="276" t="str">
        <f>IFERROR(__xludf.DUMMYFUNCTION("""COMPUTED_VALUE"""),"9th Jan")</f>
        <v>9th Jan</v>
      </c>
      <c r="B301" s="276" t="str">
        <f>IFERROR(__xludf.DUMMYFUNCTION("""COMPUTED_VALUE"""),"Sachin Dhatrak")</f>
        <v>Sachin Dhatrak</v>
      </c>
      <c r="C301" s="276" t="str">
        <f>IFERROR(__xludf.DUMMYFUNCTION("""COMPUTED_VALUE"""),"BOB FINANCE")</f>
        <v>BOB FINANCE</v>
      </c>
      <c r="D301" s="276" t="str">
        <f>IFERROR(__xludf.DUMMYFUNCTION("""COMPUTED_VALUE"""),"Lost")</f>
        <v>Lost</v>
      </c>
      <c r="E301" s="276" t="str">
        <f>IFERROR(__xludf.DUMMYFUNCTION("""COMPUTED_VALUE"""),"Lower Parel")</f>
        <v>Lower Parel</v>
      </c>
      <c r="F301" s="276" t="str">
        <f>IFERROR(__xludf.DUMMYFUNCTION("""COMPUTED_VALUE"""),"Lower parel")</f>
        <v>Lower parel</v>
      </c>
      <c r="G301" s="276" t="str">
        <f>IFERROR(__xludf.DUMMYFUNCTION("""COMPUTED_VALUE"""),"Shravani")</f>
        <v>Shravani</v>
      </c>
      <c r="H301" s="276"/>
    </row>
    <row r="302">
      <c r="A302" s="276" t="str">
        <f>IFERROR(__xludf.DUMMYFUNCTION("""COMPUTED_VALUE"""),"9th Jan")</f>
        <v>9th Jan</v>
      </c>
      <c r="B302" s="276" t="str">
        <f>IFERROR(__xludf.DUMMYFUNCTION("""COMPUTED_VALUE"""),"Gaurav Basutkar")</f>
        <v>Gaurav Basutkar</v>
      </c>
      <c r="C302" s="276" t="str">
        <f>IFERROR(__xludf.DUMMYFUNCTION("""COMPUTED_VALUE"""),"2XBT")</f>
        <v>2XBT</v>
      </c>
      <c r="D302" s="276" t="str">
        <f>IFERROR(__xludf.DUMMYFUNCTION("""COMPUTED_VALUE"""),"Lost")</f>
        <v>Lost</v>
      </c>
      <c r="E302" s="276" t="str">
        <f>IFERROR(__xludf.DUMMYFUNCTION("""COMPUTED_VALUE"""),"Lower Parel")</f>
        <v>Lower Parel</v>
      </c>
      <c r="F302" s="276" t="str">
        <f>IFERROR(__xludf.DUMMYFUNCTION("""COMPUTED_VALUE"""),"Lower parel")</f>
        <v>Lower parel</v>
      </c>
      <c r="G302" s="276" t="str">
        <f>IFERROR(__xludf.DUMMYFUNCTION("""COMPUTED_VALUE"""),"Shravani")</f>
        <v>Shravani</v>
      </c>
      <c r="H302" s="276" t="str">
        <f>IFERROR(__xludf.DUMMYFUNCTION("""COMPUTED_VALUE"""),"17 Jan: The space is out of his budget. 15 Jan: Followed up for visit plans. 12 Jan: he has asked me to share the details on whatsapp. He will try to visit next week.")</f>
        <v>17 Jan: The space is out of his budget. 15 Jan: Followed up for visit plans. 12 Jan: he has asked me to share the details on whatsapp. He will try to visit next week.</v>
      </c>
    </row>
    <row r="303">
      <c r="A303" s="400">
        <f>IFERROR(__xludf.DUMMYFUNCTION("""COMPUTED_VALUE"""),46032.0)</f>
        <v>46032</v>
      </c>
      <c r="B303" s="276" t="str">
        <f>IFERROR(__xludf.DUMMYFUNCTION("""COMPUTED_VALUE"""),"Rahul Bhadsavle")</f>
        <v>Rahul Bhadsavle</v>
      </c>
      <c r="C303" s="276" t="str">
        <f>IFERROR(__xludf.DUMMYFUNCTION("""COMPUTED_VALUE"""),"talentSteer partners pvt ltd")</f>
        <v>talentSteer partners pvt ltd</v>
      </c>
      <c r="D303" s="276"/>
      <c r="E303" s="276" t="str">
        <f>IFERROR(__xludf.DUMMYFUNCTION("""COMPUTED_VALUE"""),"Lower Parel")</f>
        <v>Lower Parel</v>
      </c>
      <c r="F303" s="276" t="str">
        <f>IFERROR(__xludf.DUMMYFUNCTION("""COMPUTED_VALUE"""),"Lower parel")</f>
        <v>Lower parel</v>
      </c>
      <c r="G303" s="276" t="str">
        <f>IFERROR(__xludf.DUMMYFUNCTION("""COMPUTED_VALUE"""),"Shravani")</f>
        <v>Shravani</v>
      </c>
      <c r="H303" s="276" t="str">
        <f>IFERROR(__xludf.DUMMYFUNCTION("""COMPUTED_VALUE"""),"13 Jan: I have shared him the commercials for 20days i.e 12k and he said I have been offered from some other co-working space at 9k including GST for 30days. 12 Jan: He is busy rightnow asked me to call after 30 min")</f>
        <v>13 Jan: I have shared him the commercials for 20days i.e 12k and he said I have been offered from some other co-working space at 9k including GST for 30days. 12 Jan: He is busy rightnow asked me to call after 30 min</v>
      </c>
    </row>
    <row r="304">
      <c r="A304" s="400">
        <f>IFERROR(__xludf.DUMMYFUNCTION("""COMPUTED_VALUE"""),46032.0)</f>
        <v>46032</v>
      </c>
      <c r="B304" s="276" t="str">
        <f>IFERROR(__xludf.DUMMYFUNCTION("""COMPUTED_VALUE"""),"Aziz Kabani")</f>
        <v>Aziz Kabani</v>
      </c>
      <c r="C304" s="276" t="str">
        <f>IFERROR(__xludf.DUMMYFUNCTION("""COMPUTED_VALUE"""),"Kabani Exports")</f>
        <v>Kabani Exports</v>
      </c>
      <c r="D304" s="276"/>
      <c r="E304" s="276" t="str">
        <f>IFERROR(__xludf.DUMMYFUNCTION("""COMPUTED_VALUE"""),"Lower Parel")</f>
        <v>Lower Parel</v>
      </c>
      <c r="F304" s="276" t="str">
        <f>IFERROR(__xludf.DUMMYFUNCTION("""COMPUTED_VALUE"""),"Lower parel")</f>
        <v>Lower parel</v>
      </c>
      <c r="G304" s="276" t="str">
        <f>IFERROR(__xludf.DUMMYFUNCTION("""COMPUTED_VALUE"""),"Shravani")</f>
        <v>Shravani</v>
      </c>
      <c r="H304" s="276" t="str">
        <f>IFERROR(__xludf.DUMMYFUNCTION("""COMPUTED_VALUE"""),"20 Jan: He is looking for an outright purchase.15 Jan: Followed up for visit plans. 13 Jan: Dropped him a text. 12 Jan: He has asked me to share the details if he likes he will revert back.")</f>
        <v>20 Jan: He is looking for an outright purchase.15 Jan: Followed up for visit plans. 13 Jan: Dropped him a text. 12 Jan: He has asked me to share the details if he likes he will revert back.</v>
      </c>
    </row>
    <row r="305">
      <c r="A305" s="400">
        <f>IFERROR(__xludf.DUMMYFUNCTION("""COMPUTED_VALUE"""),46032.0)</f>
        <v>46032</v>
      </c>
      <c r="B305" s="276" t="str">
        <f>IFERROR(__xludf.DUMMYFUNCTION("""COMPUTED_VALUE"""),"Huseni Slatewala")</f>
        <v>Huseni Slatewala</v>
      </c>
      <c r="C305" s="276" t="str">
        <f>IFERROR(__xludf.DUMMYFUNCTION("""COMPUTED_VALUE"""),"Avisio Creatives")</f>
        <v>Avisio Creatives</v>
      </c>
      <c r="D305" s="276"/>
      <c r="E305" s="276" t="str">
        <f>IFERROR(__xludf.DUMMYFUNCTION("""COMPUTED_VALUE"""),"Lower Parel")</f>
        <v>Lower Parel</v>
      </c>
      <c r="F305" s="276" t="str">
        <f>IFERROR(__xludf.DUMMYFUNCTION("""COMPUTED_VALUE"""),"Lower parel")</f>
        <v>Lower parel</v>
      </c>
      <c r="G305" s="276" t="str">
        <f>IFERROR(__xludf.DUMMYFUNCTION("""COMPUTED_VALUE"""),"Shravani")</f>
        <v>Shravani</v>
      </c>
      <c r="H305" s="276" t="str">
        <f>IFERROR(__xludf.DUMMYFUNCTION("""COMPUTED_VALUE"""),"12 Jan: He needs 600sq.ft - 800sq.ft coventional office he is not interested in managed office concept.")</f>
        <v>12 Jan: He needs 600sq.ft - 800sq.ft coventional office he is not interested in managed office concept.</v>
      </c>
    </row>
    <row r="306">
      <c r="A306" s="400">
        <f>IFERROR(__xludf.DUMMYFUNCTION("""COMPUTED_VALUE"""),46034.0)</f>
        <v>46034</v>
      </c>
      <c r="B306" s="276" t="str">
        <f>IFERROR(__xludf.DUMMYFUNCTION("""COMPUTED_VALUE"""),"Silver Haven")</f>
        <v>Silver Haven</v>
      </c>
      <c r="C306" s="276" t="str">
        <f>IFERROR(__xludf.DUMMYFUNCTION("""COMPUTED_VALUE"""),"Carbiforce")</f>
        <v>Carbiforce</v>
      </c>
      <c r="D306" s="276"/>
      <c r="E306" s="276" t="str">
        <f>IFERROR(__xludf.DUMMYFUNCTION("""COMPUTED_VALUE"""),"Lower Parel")</f>
        <v>Lower Parel</v>
      </c>
      <c r="F306" s="276" t="str">
        <f>IFERROR(__xludf.DUMMYFUNCTION("""COMPUTED_VALUE"""),"Lower parel")</f>
        <v>Lower parel</v>
      </c>
      <c r="G306" s="276" t="str">
        <f>IFERROR(__xludf.DUMMYFUNCTION("""COMPUTED_VALUE"""),"Shravani")</f>
        <v>Shravani</v>
      </c>
      <c r="H306" s="276" t="str">
        <f>IFERROR(__xludf.DUMMYFUNCTION("""COMPUTED_VALUE"""),"3 Feb: Ringing. 31 Jan: Dropped a text. 30 Jan: Ringing. 29 Jan: Busy on call. 28 Jan: Ringing. 27 Jan: Ringing. 24 Jan: dropped a text. 22 Jan: He has asked me to call on Tuesday.  21Jan: Ringing. 20 Jan: Ringing, Dropped a text. 15 Jan: Followed up for "&amp;"visit plans. 13 Jan: Busy on call, dropped a text.")</f>
        <v>3 Feb: Ringing. 31 Jan: Dropped a text. 30 Jan: Ringing. 29 Jan: Busy on call. 28 Jan: Ringing. 27 Jan: Ringing. 24 Jan: dropped a text. 22 Jan: He has asked me to call on Tuesday.  21Jan: Ringing. 20 Jan: Ringing, Dropped a text. 15 Jan: Followed up for visit plans. 13 Jan: Busy on call, dropped a text.</v>
      </c>
    </row>
    <row r="307">
      <c r="A307" s="400">
        <f>IFERROR(__xludf.DUMMYFUNCTION("""COMPUTED_VALUE"""),46034.0)</f>
        <v>46034</v>
      </c>
      <c r="B307" s="276" t="str">
        <f>IFERROR(__xludf.DUMMYFUNCTION("""COMPUTED_VALUE"""),"Arun Sabnis")</f>
        <v>Arun Sabnis</v>
      </c>
      <c r="C307" s="276" t="str">
        <f>IFERROR(__xludf.DUMMYFUNCTION("""COMPUTED_VALUE"""),"Creator Advertising Ltd")</f>
        <v>Creator Advertising Ltd</v>
      </c>
      <c r="D307" s="276"/>
      <c r="E307" s="276" t="str">
        <f>IFERROR(__xludf.DUMMYFUNCTION("""COMPUTED_VALUE"""),"Lower Parel")</f>
        <v>Lower Parel</v>
      </c>
      <c r="F307" s="276" t="str">
        <f>IFERROR(__xludf.DUMMYFUNCTION("""COMPUTED_VALUE"""),"Lower parel")</f>
        <v>Lower parel</v>
      </c>
      <c r="G307" s="276" t="str">
        <f>IFERROR(__xludf.DUMMYFUNCTION("""COMPUTED_VALUE"""),"Shravani")</f>
        <v>Shravani</v>
      </c>
      <c r="H307" s="276" t="str">
        <f>IFERROR(__xludf.DUMMYFUNCTION("""COMPUTED_VALUE"""),"3 Feb: declined the call. 31 Jan: Dropped a text. 30 Jan: Declined the call. 29 Jan: Declined the call. 28 Jan: Ringing. 27 Jan: Ringing. 24 Jan: Ringing. 22 Jan: Disconnected the Call. 21 Jan: Ringing, dropped a text. 20 Jan: Ringing, dropped a text. 15 "&amp;"Jan: Followed up for visit plans. 13 Jan: Ringing, dropped a text. ")</f>
        <v>3 Feb: declined the call. 31 Jan: Dropped a text. 30 Jan: Declined the call. 29 Jan: Declined the call. 28 Jan: Ringing. 27 Jan: Ringing. 24 Jan: Ringing. 22 Jan: Disconnected the Call. 21 Jan: Ringing, dropped a text. 20 Jan: Ringing, dropped a text. 15 Jan: Followed up for visit plans. 13 Jan: Ringing, dropped a text. </v>
      </c>
    </row>
    <row r="308">
      <c r="A308" s="400">
        <f>IFERROR(__xludf.DUMMYFUNCTION("""COMPUTED_VALUE"""),46034.0)</f>
        <v>46034</v>
      </c>
      <c r="B308" s="276" t="str">
        <f>IFERROR(__xludf.DUMMYFUNCTION("""COMPUTED_VALUE"""),"Balan Nadar")</f>
        <v>Balan Nadar</v>
      </c>
      <c r="C308" s="276" t="str">
        <f>IFERROR(__xludf.DUMMYFUNCTION("""COMPUTED_VALUE"""),"Chemistry, Esjay International.")</f>
        <v>Chemistry, Esjay International.</v>
      </c>
      <c r="D308" s="276"/>
      <c r="E308" s="276" t="str">
        <f>IFERROR(__xludf.DUMMYFUNCTION("""COMPUTED_VALUE"""),"Lower Parel")</f>
        <v>Lower Parel</v>
      </c>
      <c r="F308" s="276" t="str">
        <f>IFERROR(__xludf.DUMMYFUNCTION("""COMPUTED_VALUE"""),"Lower parel")</f>
        <v>Lower parel</v>
      </c>
      <c r="G308" s="276" t="str">
        <f>IFERROR(__xludf.DUMMYFUNCTION("""COMPUTED_VALUE"""),"Shravani")</f>
        <v>Shravani</v>
      </c>
      <c r="H308" s="276" t="str">
        <f>IFERROR(__xludf.DUMMYFUNCTION("""COMPUTED_VALUE"""),"21 Jan: He got a bigger conventional office at the same price. 20 Jan: Ringing, Dropped a text. 15 Jan: Followed up for visit plans. 12 Jan: He will visit post 15th Jan.")</f>
        <v>21 Jan: He got a bigger conventional office at the same price. 20 Jan: Ringing, Dropped a text. 15 Jan: Followed up for visit plans. 12 Jan: He will visit post 15th Jan.</v>
      </c>
    </row>
    <row r="309">
      <c r="A309" s="400">
        <f>IFERROR(__xludf.DUMMYFUNCTION("""COMPUTED_VALUE"""),46034.0)</f>
        <v>46034</v>
      </c>
      <c r="B309" s="276" t="str">
        <f>IFERROR(__xludf.DUMMYFUNCTION("""COMPUTED_VALUE"""),"Nitin Karkote")</f>
        <v>Nitin Karkote</v>
      </c>
      <c r="C309" s="276" t="str">
        <f>IFERROR(__xludf.DUMMYFUNCTION("""COMPUTED_VALUE"""),"zensome")</f>
        <v>zensome</v>
      </c>
      <c r="D309" s="276"/>
      <c r="E309" s="276" t="str">
        <f>IFERROR(__xludf.DUMMYFUNCTION("""COMPUTED_VALUE"""),"Lower Parel")</f>
        <v>Lower Parel</v>
      </c>
      <c r="F309" s="276" t="str">
        <f>IFERROR(__xludf.DUMMYFUNCTION("""COMPUTED_VALUE"""),"Lower parel")</f>
        <v>Lower parel</v>
      </c>
      <c r="G309" s="276" t="str">
        <f>IFERROR(__xludf.DUMMYFUNCTION("""COMPUTED_VALUE"""),"Shravani")</f>
        <v>Shravani</v>
      </c>
      <c r="H309" s="276" t="str">
        <f>IFERROR(__xludf.DUMMYFUNCTION("""COMPUTED_VALUE"""),"24 Jan: He visited yesterday and asking for pricings as his budget is 30k only. 21 Jan: He will be visiting on Saturday. 20 Jan: He needs a single seater cabin and his budget is around 35k not  more then that. 15 Jan: Followed up for visit plans. 13 Jan: "&amp;"Disconnected the call.")</f>
        <v>24 Jan: He visited yesterday and asking for pricings as his budget is 30k only. 21 Jan: He will be visiting on Saturday. 20 Jan: He needs a single seater cabin and his budget is around 35k not  more then that. 15 Jan: Followed up for visit plans. 13 Jan: Disconnected the call.</v>
      </c>
    </row>
    <row r="310">
      <c r="A310" s="400">
        <f>IFERROR(__xludf.DUMMYFUNCTION("""COMPUTED_VALUE"""),46034.0)</f>
        <v>46034</v>
      </c>
      <c r="B310" s="276" t="str">
        <f>IFERROR(__xludf.DUMMYFUNCTION("""COMPUTED_VALUE"""),"Mohd Abdullah")</f>
        <v>Mohd Abdullah</v>
      </c>
      <c r="C310" s="276" t="str">
        <f>IFERROR(__xludf.DUMMYFUNCTION("""COMPUTED_VALUE"""),"Jet Computers")</f>
        <v>Jet Computers</v>
      </c>
      <c r="D310" s="276"/>
      <c r="E310" s="276" t="str">
        <f>IFERROR(__xludf.DUMMYFUNCTION("""COMPUTED_VALUE"""),"Lower Parel")</f>
        <v>Lower Parel</v>
      </c>
      <c r="F310" s="276" t="str">
        <f>IFERROR(__xludf.DUMMYFUNCTION("""COMPUTED_VALUE"""),"Lower parel")</f>
        <v>Lower parel</v>
      </c>
      <c r="G310" s="276" t="str">
        <f>IFERROR(__xludf.DUMMYFUNCTION("""COMPUTED_VALUE"""),"Shravani")</f>
        <v>Shravani</v>
      </c>
      <c r="H310" s="276"/>
    </row>
    <row r="311">
      <c r="A311" s="400">
        <f>IFERROR(__xludf.DUMMYFUNCTION("""COMPUTED_VALUE"""),46035.0)</f>
        <v>46035</v>
      </c>
      <c r="B311" s="276" t="str">
        <f>IFERROR(__xludf.DUMMYFUNCTION("""COMPUTED_VALUE"""),"Nandan Savnal")</f>
        <v>Nandan Savnal</v>
      </c>
      <c r="C311" s="276" t="str">
        <f>IFERROR(__xludf.DUMMYFUNCTION("""COMPUTED_VALUE"""),"Peoplesys Consulting Pvt. Ltd")</f>
        <v>Peoplesys Consulting Pvt. Ltd</v>
      </c>
      <c r="D311" s="276"/>
      <c r="E311" s="276" t="str">
        <f>IFERROR(__xludf.DUMMYFUNCTION("""COMPUTED_VALUE"""),"Lower Parel")</f>
        <v>Lower Parel</v>
      </c>
      <c r="F311" s="276" t="str">
        <f>IFERROR(__xludf.DUMMYFUNCTION("""COMPUTED_VALUE"""),"Lower Parel")</f>
        <v>Lower Parel</v>
      </c>
      <c r="G311" s="276" t="str">
        <f>IFERROR(__xludf.DUMMYFUNCTION("""COMPUTED_VALUE"""),"Shravani")</f>
        <v>Shravani</v>
      </c>
      <c r="H311" s="276" t="str">
        <f>IFERROR(__xludf.DUMMYFUNCTION("""COMPUTED_VALUE"""),"22 Jan: Riging. 21 Jan: He is asking for 15k, inclusive of GST, with a 24-hour package that includes the meeting room. 20 Jan: He said 15k is too high, he needs some time to think. 19 Jan: Visit Done, have to share the commercials.")</f>
        <v>22 Jan: Riging. 21 Jan: He is asking for 15k, inclusive of GST, with a 24-hour package that includes the meeting room. 20 Jan: He said 15k is too high, he needs some time to think. 19 Jan: Visit Done, have to share the commercials.</v>
      </c>
    </row>
    <row r="312">
      <c r="A312" s="400">
        <f>IFERROR(__xludf.DUMMYFUNCTION("""COMPUTED_VALUE"""),46035.0)</f>
        <v>46035</v>
      </c>
      <c r="B312" s="276" t="str">
        <f>IFERROR(__xludf.DUMMYFUNCTION("""COMPUTED_VALUE"""),"Bhaskaran Adambakkam")</f>
        <v>Bhaskaran Adambakkam</v>
      </c>
      <c r="C312" s="276" t="str">
        <f>IFERROR(__xludf.DUMMYFUNCTION("""COMPUTED_VALUE"""),"Tiptop Driver")</f>
        <v>Tiptop Driver</v>
      </c>
      <c r="D312" s="276"/>
      <c r="E312" s="276" t="str">
        <f>IFERROR(__xludf.DUMMYFUNCTION("""COMPUTED_VALUE"""),"Lower Parel")</f>
        <v>Lower Parel</v>
      </c>
      <c r="F312" s="276" t="str">
        <f>IFERROR(__xludf.DUMMYFUNCTION("""COMPUTED_VALUE"""),"Lower Parel")</f>
        <v>Lower Parel</v>
      </c>
      <c r="G312" s="276" t="str">
        <f>IFERROR(__xludf.DUMMYFUNCTION("""COMPUTED_VALUE"""),"Shravani")</f>
        <v>Shravani</v>
      </c>
      <c r="H312" s="276" t="str">
        <f>IFERROR(__xludf.DUMMYFUNCTION("""COMPUTED_VALUE"""),"29 Jan: His requirement is fulfilled. 28 Jan: He asked me to call tomorrow. 27 Jan: Drooped a text. 24 Jan: Ringing. 23 Jan: Ringing. 21 Jan: OS. 20 Jan: Ringing. 19 Jan: Ringing. 16 Jan: Ringing.15 Jan: Busy on Call.14 Jan: Ringing.13th Jan: Ringing.")</f>
        <v>29 Jan: His requirement is fulfilled. 28 Jan: He asked me to call tomorrow. 27 Jan: Drooped a text. 24 Jan: Ringing. 23 Jan: Ringing. 21 Jan: OS. 20 Jan: Ringing. 19 Jan: Ringing. 16 Jan: Ringing.15 Jan: Busy on Call.14 Jan: Ringing.13th Jan: Ringing.</v>
      </c>
    </row>
    <row r="313">
      <c r="A313" s="400">
        <f>IFERROR(__xludf.DUMMYFUNCTION("""COMPUTED_VALUE"""),46041.0)</f>
        <v>46041</v>
      </c>
      <c r="B313" s="276" t="str">
        <f>IFERROR(__xludf.DUMMYFUNCTION("""COMPUTED_VALUE"""),"Bidesh MC")</f>
        <v>Bidesh MC</v>
      </c>
      <c r="C313" s="276" t="str">
        <f>IFERROR(__xludf.DUMMYFUNCTION("""COMPUTED_VALUE"""),"NSDL - National Securities Depository Limited")</f>
        <v>NSDL - National Securities Depository Limited</v>
      </c>
      <c r="D313" s="276"/>
      <c r="E313" s="276" t="str">
        <f>IFERROR(__xludf.DUMMYFUNCTION("""COMPUTED_VALUE"""),"Lower Parel")</f>
        <v>Lower Parel</v>
      </c>
      <c r="F313" s="276" t="str">
        <f>IFERROR(__xludf.DUMMYFUNCTION("""COMPUTED_VALUE"""),"Lower Parel")</f>
        <v>Lower Parel</v>
      </c>
      <c r="G313" s="276" t="str">
        <f>IFERROR(__xludf.DUMMYFUNCTION("""COMPUTED_VALUE"""),"Shravani")</f>
        <v>Shravani</v>
      </c>
      <c r="H313" s="276" t="str">
        <f>IFERROR(__xludf.DUMMYFUNCTION("""COMPUTED_VALUE"""),"30 Jan: The requirement is on hold. 30 Jan: Dropped a text. 29 Jan: Ringing. 28 Jan: Ringing. 27 Jan: Ringing, dropped a text. 24 Jan: Ringing, dropped a text. 22 Jan: He will let me know about the visit soon. 21 Jan: He has ask me to share a mail. 20 Jan"&amp;": Ringing, Dropped a text. 19 Jan: 20 Seater Cabin")</f>
        <v>30 Jan: The requirement is on hold. 30 Jan: Dropped a text. 29 Jan: Ringing. 28 Jan: Ringing. 27 Jan: Ringing, dropped a text. 24 Jan: Ringing, dropped a text. 22 Jan: He will let me know about the visit soon. 21 Jan: He has ask me to share a mail. 20 Jan: Ringing, Dropped a text. 19 Jan: 20 Seater Cabin</v>
      </c>
    </row>
    <row r="314">
      <c r="A314" s="400">
        <f>IFERROR(__xludf.DUMMYFUNCTION("""COMPUTED_VALUE"""),46041.0)</f>
        <v>46041</v>
      </c>
      <c r="B314" s="276" t="str">
        <f>IFERROR(__xludf.DUMMYFUNCTION("""COMPUTED_VALUE"""),"Gurjeet Singh Bassan")</f>
        <v>Gurjeet Singh Bassan</v>
      </c>
      <c r="C314" s="276" t="str">
        <f>IFERROR(__xludf.DUMMYFUNCTION("""COMPUTED_VALUE"""),"Business")</f>
        <v>Business</v>
      </c>
      <c r="D314" s="276"/>
      <c r="E314" s="276" t="str">
        <f>IFERROR(__xludf.DUMMYFUNCTION("""COMPUTED_VALUE"""),"Lower Parel")</f>
        <v>Lower Parel</v>
      </c>
      <c r="F314" s="276" t="str">
        <f>IFERROR(__xludf.DUMMYFUNCTION("""COMPUTED_VALUE"""),"Lower Parel")</f>
        <v>Lower Parel</v>
      </c>
      <c r="G314" s="276" t="str">
        <f>IFERROR(__xludf.DUMMYFUNCTION("""COMPUTED_VALUE"""),"Shravani")</f>
        <v>Shravani</v>
      </c>
      <c r="H314" s="276" t="str">
        <f>IFERROR(__xludf.DUMMYFUNCTION("""COMPUTED_VALUE"""),"3 Feb: Ringing. 31 Jan: Dropped a text. 30 Jan: Diclined the call. 29 Jan: Ringing. 28 Jan: Ringing. 27 Jan: Ringing. 22 Jan: Ringing. 21 Jan: Ringing, dropped a text. 20 Jan: Disconnected my call. 19 Jan: He is busy rightnow.")</f>
        <v>3 Feb: Ringing. 31 Jan: Dropped a text. 30 Jan: Diclined the call. 29 Jan: Ringing. 28 Jan: Ringing. 27 Jan: Ringing. 22 Jan: Ringing. 21 Jan: Ringing, dropped a text. 20 Jan: Disconnected my call. 19 Jan: He is busy rightnow.</v>
      </c>
    </row>
    <row r="315">
      <c r="A315" s="400">
        <f>IFERROR(__xludf.DUMMYFUNCTION("""COMPUTED_VALUE"""),46041.0)</f>
        <v>46041</v>
      </c>
      <c r="B315" s="276" t="str">
        <f>IFERROR(__xludf.DUMMYFUNCTION("""COMPUTED_VALUE"""),"Dinesh Mhaskar")</f>
        <v>Dinesh Mhaskar</v>
      </c>
      <c r="C315" s="276" t="str">
        <f>IFERROR(__xludf.DUMMYFUNCTION("""COMPUTED_VALUE"""),"Dsense Digital")</f>
        <v>Dsense Digital</v>
      </c>
      <c r="D315" s="276"/>
      <c r="E315" s="276" t="str">
        <f>IFERROR(__xludf.DUMMYFUNCTION("""COMPUTED_VALUE"""),"Lower Parel")</f>
        <v>Lower Parel</v>
      </c>
      <c r="F315" s="276" t="str">
        <f>IFERROR(__xludf.DUMMYFUNCTION("""COMPUTED_VALUE"""),"Lower Parel")</f>
        <v>Lower Parel</v>
      </c>
      <c r="G315" s="276" t="str">
        <f>IFERROR(__xludf.DUMMYFUNCTION("""COMPUTED_VALUE"""),"Shravani")</f>
        <v>Shravani</v>
      </c>
      <c r="H315" s="276" t="str">
        <f>IFERROR(__xludf.DUMMYFUNCTION("""COMPUTED_VALUE"""),"3 Feb: Ringing. 31 Jan: Dropped a text. 30 Jan: Ringing. 29 Jan: Ringing. 28 Jan: Ringing, dropped a text. 27 Jan: Ringing, dropped a text. 24 Jan: He will try to visit next week. 22 Jan: Ringing. 21 Jan: Ringing, dropped a text. 20 Jan: Ringing. 19 Jan: "&amp;"Ringing")</f>
        <v>3 Feb: Ringing. 31 Jan: Dropped a text. 30 Jan: Ringing. 29 Jan: Ringing. 28 Jan: Ringing, dropped a text. 27 Jan: Ringing, dropped a text. 24 Jan: He will try to visit next week. 22 Jan: Ringing. 21 Jan: Ringing, dropped a text. 20 Jan: Ringing. 19 Jan: Ringing</v>
      </c>
    </row>
    <row r="316">
      <c r="A316" s="400">
        <f>IFERROR(__xludf.DUMMYFUNCTION("""COMPUTED_VALUE"""),46041.0)</f>
        <v>46041</v>
      </c>
      <c r="B316" s="276" t="str">
        <f>IFERROR(__xludf.DUMMYFUNCTION("""COMPUTED_VALUE"""),"Yogesh More")</f>
        <v>Yogesh More</v>
      </c>
      <c r="C316" s="276" t="str">
        <f>IFERROR(__xludf.DUMMYFUNCTION("""COMPUTED_VALUE"""),"Self Employed")</f>
        <v>Self Employed</v>
      </c>
      <c r="D316" s="276"/>
      <c r="E316" s="276" t="str">
        <f>IFERROR(__xludf.DUMMYFUNCTION("""COMPUTED_VALUE"""),"Lower Parel")</f>
        <v>Lower Parel</v>
      </c>
      <c r="F316" s="276" t="str">
        <f>IFERROR(__xludf.DUMMYFUNCTION("""COMPUTED_VALUE"""),"Lower Parel")</f>
        <v>Lower Parel</v>
      </c>
      <c r="G316" s="276" t="str">
        <f>IFERROR(__xludf.DUMMYFUNCTION("""COMPUTED_VALUE"""),"Shravani")</f>
        <v>Shravani</v>
      </c>
      <c r="H316" s="276" t="str">
        <f>IFERROR(__xludf.DUMMYFUNCTION("""COMPUTED_VALUE"""),"3 Feb: Declined the call. 31 Jan: Dropped a text. 30 Jan: He wants to move in from April. He is currently out of station and will get back to me once he is back. 24 Jan: He said call me after somedays as he is busy with some personal commitments. 22 Jan: "&amp;"Switched Off. 21 Jan: OS, dropped him a text. 20 Jan: Disconnected my call. 19 Jan: Ringing")</f>
        <v>3 Feb: Declined the call. 31 Jan: Dropped a text. 30 Jan: He wants to move in from April. He is currently out of station and will get back to me once he is back. 24 Jan: He said call me after somedays as he is busy with some personal commitments. 22 Jan: Switched Off. 21 Jan: OS, dropped him a text. 20 Jan: Disconnected my call. 19 Jan: Ringing</v>
      </c>
    </row>
    <row r="317">
      <c r="A317" s="400">
        <f>IFERROR(__xludf.DUMMYFUNCTION("""COMPUTED_VALUE"""),46041.0)</f>
        <v>46041</v>
      </c>
      <c r="B317" s="276" t="str">
        <f>IFERROR(__xludf.DUMMYFUNCTION("""COMPUTED_VALUE"""),"Bharat  Vora")</f>
        <v>Bharat  Vora</v>
      </c>
      <c r="C317" s="276" t="str">
        <f>IFERROR(__xludf.DUMMYFUNCTION("""COMPUTED_VALUE"""),"Self-employed")</f>
        <v>Self-employed</v>
      </c>
      <c r="D317" s="276"/>
      <c r="E317" s="276" t="str">
        <f>IFERROR(__xludf.DUMMYFUNCTION("""COMPUTED_VALUE"""),"Lower Parel")</f>
        <v>Lower Parel</v>
      </c>
      <c r="F317" s="276" t="str">
        <f>IFERROR(__xludf.DUMMYFUNCTION("""COMPUTED_VALUE"""),"Lower parel")</f>
        <v>Lower parel</v>
      </c>
      <c r="G317" s="276" t="str">
        <f>IFERROR(__xludf.DUMMYFUNCTION("""COMPUTED_VALUE"""),"Shravani")</f>
        <v>Shravani</v>
      </c>
      <c r="H317" s="276" t="str">
        <f>IFERROR(__xludf.DUMMYFUNCTION("""COMPUTED_VALUE"""),"3 Feb: Ringing. 31 Jan: Dropped a text. 30: He will call me back next week. 29 Jan: Ringing. 28 Jan: Dropped a text. 24Jan: He is not in town, he will call me once he is back. 22 Jan: Dropped him a text. 21 Jan: I texted him to ask about visit plans, and "&amp;"he said he’d let me know. 20 Jan: He said he will get back to me after sometime. 19 Jan: 5 seater cabin Shared the commercials and images")</f>
        <v>3 Feb: Ringing. 31 Jan: Dropped a text. 30: He will call me back next week. 29 Jan: Ringing. 28 Jan: Dropped a text. 24Jan: He is not in town, he will call me once he is back. 22 Jan: Dropped him a text. 21 Jan: I texted him to ask about visit plans, and he said he’d let me know. 20 Jan: He said he will get back to me after sometime. 19 Jan: 5 seater cabin Shared the commercials and images</v>
      </c>
    </row>
    <row r="318">
      <c r="A318" s="400">
        <f>IFERROR(__xludf.DUMMYFUNCTION("""COMPUTED_VALUE"""),46041.0)</f>
        <v>46041</v>
      </c>
      <c r="B318" s="276" t="str">
        <f>IFERROR(__xludf.DUMMYFUNCTION("""COMPUTED_VALUE"""),"Sandesh Mandavkar")</f>
        <v>Sandesh Mandavkar</v>
      </c>
      <c r="C318" s="276" t="str">
        <f>IFERROR(__xludf.DUMMYFUNCTION("""COMPUTED_VALUE"""),"Swatantra ethnic wear")</f>
        <v>Swatantra ethnic wear</v>
      </c>
      <c r="D318" s="276"/>
      <c r="E318" s="276" t="str">
        <f>IFERROR(__xludf.DUMMYFUNCTION("""COMPUTED_VALUE"""),"Lower Parel")</f>
        <v>Lower Parel</v>
      </c>
      <c r="F318" s="276" t="str">
        <f>IFERROR(__xludf.DUMMYFUNCTION("""COMPUTED_VALUE"""),"Lower parel")</f>
        <v>Lower parel</v>
      </c>
      <c r="G318" s="276" t="str">
        <f>IFERROR(__xludf.DUMMYFUNCTION("""COMPUTED_VALUE"""),"Shravani")</f>
        <v>Shravani</v>
      </c>
      <c r="H318" s="276" t="str">
        <f>IFERROR(__xludf.DUMMYFUNCTION("""COMPUTED_VALUE"""),"21 Jan: He is not interested. 20 Jan: Ringing. 19 Jan: Ringing")</f>
        <v>21 Jan: He is not interested. 20 Jan: Ringing. 19 Jan: Ringing</v>
      </c>
    </row>
    <row r="319">
      <c r="A319" s="400">
        <f>IFERROR(__xludf.DUMMYFUNCTION("""COMPUTED_VALUE"""),46041.0)</f>
        <v>46041</v>
      </c>
      <c r="B319" s="276" t="str">
        <f>IFERROR(__xludf.DUMMYFUNCTION("""COMPUTED_VALUE"""),"Akhil. Srivastava")</f>
        <v>Akhil. Srivastava</v>
      </c>
      <c r="C319" s="276" t="str">
        <f>IFERROR(__xludf.DUMMYFUNCTION("""COMPUTED_VALUE"""),"Dojo Marketing Communications")</f>
        <v>Dojo Marketing Communications</v>
      </c>
      <c r="D319" s="276"/>
      <c r="E319" s="276" t="str">
        <f>IFERROR(__xludf.DUMMYFUNCTION("""COMPUTED_VALUE"""),"Lower Parel")</f>
        <v>Lower Parel</v>
      </c>
      <c r="F319" s="276" t="str">
        <f>IFERROR(__xludf.DUMMYFUNCTION("""COMPUTED_VALUE"""),"Lower parel")</f>
        <v>Lower parel</v>
      </c>
      <c r="G319" s="276" t="str">
        <f>IFERROR(__xludf.DUMMYFUNCTION("""COMPUTED_VALUE"""),"Shravani")</f>
        <v>Shravani</v>
      </c>
      <c r="H319" s="276" t="str">
        <f>IFERROR(__xludf.DUMMYFUNCTION("""COMPUTED_VALUE"""),"3 Feb: Busy on Call. 31 Jan: Dropped a text. 30 Jan: Ringing, dropped a text. 29 Jan: Ringing. 28 Jan: Ringing. 27 Jan: Ringing. 24 Jan: Ringing, dropped a text. 22 Jan: Ringing. 21 Jan: Ringing, dropped a text. 20 Jan: Ringing. 19 Jan: Ringing")</f>
        <v>3 Feb: Busy on Call. 31 Jan: Dropped a text. 30 Jan: Ringing, dropped a text. 29 Jan: Ringing. 28 Jan: Ringing. 27 Jan: Ringing. 24 Jan: Ringing, dropped a text. 22 Jan: Ringing. 21 Jan: Ringing, dropped a text. 20 Jan: Ringing. 19 Jan: Ringing</v>
      </c>
    </row>
    <row r="320">
      <c r="A320" s="400">
        <f>IFERROR(__xludf.DUMMYFUNCTION("""COMPUTED_VALUE"""),46041.0)</f>
        <v>46041</v>
      </c>
      <c r="B320" s="276" t="str">
        <f>IFERROR(__xludf.DUMMYFUNCTION("""COMPUTED_VALUE"""),"shilpa Kamble")</f>
        <v>shilpa Kamble</v>
      </c>
      <c r="C320" s="276" t="str">
        <f>IFERROR(__xludf.DUMMYFUNCTION("""COMPUTED_VALUE"""),"Inspiring Life Communities")</f>
        <v>Inspiring Life Communities</v>
      </c>
      <c r="D320" s="276"/>
      <c r="E320" s="276" t="str">
        <f>IFERROR(__xludf.DUMMYFUNCTION("""COMPUTED_VALUE"""),"Lower Parel")</f>
        <v>Lower Parel</v>
      </c>
      <c r="F320" s="276" t="str">
        <f>IFERROR(__xludf.DUMMYFUNCTION("""COMPUTED_VALUE"""),"Lower parel")</f>
        <v>Lower parel</v>
      </c>
      <c r="G320" s="276" t="str">
        <f>IFERROR(__xludf.DUMMYFUNCTION("""COMPUTED_VALUE"""),"Shravani")</f>
        <v>Shravani</v>
      </c>
      <c r="H320" s="276" t="str">
        <f>IFERROR(__xludf.DUMMYFUNCTION("""COMPUTED_VALUE"""),"3 Feb: Ringing. 31 Jan: Dropped a text. 30 Jan: Declined the call, dropped a text. 29 Jan: Ringing. 28 Jan: Disconnected the call. 27 Jan: Ringing. 24 Jan: Ringing, dropped a text. 22 Jan: Disconnected the call. 21 Jan: Ringing, dropped a text. 20 Jan: Ri"&amp;"nging. 19 Jan: Disconnected the call")</f>
        <v>3 Feb: Ringing. 31 Jan: Dropped a text. 30 Jan: Declined the call, dropped a text. 29 Jan: Ringing. 28 Jan: Disconnected the call. 27 Jan: Ringing. 24 Jan: Ringing, dropped a text. 22 Jan: Disconnected the call. 21 Jan: Ringing, dropped a text. 20 Jan: Ringing. 19 Jan: Disconnected the call</v>
      </c>
    </row>
    <row r="321">
      <c r="A321" s="400">
        <f>IFERROR(__xludf.DUMMYFUNCTION("""COMPUTED_VALUE"""),46041.0)</f>
        <v>46041</v>
      </c>
      <c r="B321" s="276" t="str">
        <f>IFERROR(__xludf.DUMMYFUNCTION("""COMPUTED_VALUE"""),"Dhiren Katariya")</f>
        <v>Dhiren Katariya</v>
      </c>
      <c r="C321" s="276" t="str">
        <f>IFERROR(__xludf.DUMMYFUNCTION("""COMPUTED_VALUE"""),"Globle Consulting")</f>
        <v>Globle Consulting</v>
      </c>
      <c r="D321" s="276"/>
      <c r="E321" s="276" t="str">
        <f>IFERROR(__xludf.DUMMYFUNCTION("""COMPUTED_VALUE"""),"Lower Parel")</f>
        <v>Lower Parel</v>
      </c>
      <c r="F321" s="276" t="str">
        <f>IFERROR(__xludf.DUMMYFUNCTION("""COMPUTED_VALUE"""),"Lower parel")</f>
        <v>Lower parel</v>
      </c>
      <c r="G321" s="276" t="str">
        <f>IFERROR(__xludf.DUMMYFUNCTION("""COMPUTED_VALUE"""),"Shravani")</f>
        <v>Shravani</v>
      </c>
      <c r="H321" s="276" t="str">
        <f>IFERROR(__xludf.DUMMYFUNCTION("""COMPUTED_VALUE"""),"21 Jan: He is looking for a conventional office. 20 Jan: Ringing, Dropped a text. 19 Jan: 5 Seater Cabin")</f>
        <v>21 Jan: He is looking for a conventional office. 20 Jan: Ringing, Dropped a text. 19 Jan: 5 Seater Cabin</v>
      </c>
    </row>
    <row r="322">
      <c r="A322" s="400">
        <f>IFERROR(__xludf.DUMMYFUNCTION("""COMPUTED_VALUE"""),46042.0)</f>
        <v>46042</v>
      </c>
      <c r="B322" s="276" t="str">
        <f>IFERROR(__xludf.DUMMYFUNCTION("""COMPUTED_VALUE"""),"Rahul Maroo")</f>
        <v>Rahul Maroo</v>
      </c>
      <c r="C322" s="276" t="str">
        <f>IFERROR(__xludf.DUMMYFUNCTION("""COMPUTED_VALUE"""),"Bombay Travel Bazaar")</f>
        <v>Bombay Travel Bazaar</v>
      </c>
      <c r="D322" s="276"/>
      <c r="E322" s="276" t="str">
        <f>IFERROR(__xludf.DUMMYFUNCTION("""COMPUTED_VALUE"""),"Lower Parel")</f>
        <v>Lower Parel</v>
      </c>
      <c r="F322" s="276" t="str">
        <f>IFERROR(__xludf.DUMMYFUNCTION("""COMPUTED_VALUE"""),"Lower parel")</f>
        <v>Lower parel</v>
      </c>
      <c r="G322" s="276" t="str">
        <f>IFERROR(__xludf.DUMMYFUNCTION("""COMPUTED_VALUE"""),"Shravani")</f>
        <v>Shravani</v>
      </c>
      <c r="H322" s="276" t="str">
        <f>IFERROR(__xludf.DUMMYFUNCTION("""COMPUTED_VALUE"""),"3 Feb: Droped the plan to shift into a new office. 31 Jan: Dropped a text. 30 Jan: Ringing, dropped a text. 29 Jan: Need to share a commercial deck. 28 Jan: Vicky from his team mentioned that he will be visiting at 6:30pm. 27 Jan: Ringing. 24 Jan: Ringing"&amp;", dropped a text. 23 Jan: Dropped a text. 22 Jan: He will confirm the timings for visit by 2 PM. 21 Jan: Vickey from Rahul's team said he will visit tomorrow. 20 Jan: Shared with him the images and details. ")</f>
        <v>3 Feb: Droped the plan to shift into a new office. 31 Jan: Dropped a text. 30 Jan: Ringing, dropped a text. 29 Jan: Need to share a commercial deck. 28 Jan: Vicky from his team mentioned that he will be visiting at 6:30pm. 27 Jan: Ringing. 24 Jan: Ringing, dropped a text. 23 Jan: Dropped a text. 22 Jan: He will confirm the timings for visit by 2 PM. 21 Jan: Vickey from Rahul's team said he will visit tomorrow. 20 Jan: Shared with him the images and details. </v>
      </c>
    </row>
    <row r="323">
      <c r="A323" s="400">
        <f>IFERROR(__xludf.DUMMYFUNCTION("""COMPUTED_VALUE"""),46043.0)</f>
        <v>46043</v>
      </c>
      <c r="B323" s="276" t="str">
        <f>IFERROR(__xludf.DUMMYFUNCTION("""COMPUTED_VALUE"""),"Medha Sahasrabuddhe")</f>
        <v>Medha Sahasrabuddhe</v>
      </c>
      <c r="C323" s="276" t="str">
        <f>IFERROR(__xludf.DUMMYFUNCTION("""COMPUTED_VALUE"""),"Sticky Media")</f>
        <v>Sticky Media</v>
      </c>
      <c r="D323" s="276"/>
      <c r="E323" s="276" t="str">
        <f>IFERROR(__xludf.DUMMYFUNCTION("""COMPUTED_VALUE"""),"Lower Parel")</f>
        <v>Lower Parel</v>
      </c>
      <c r="F323" s="276" t="str">
        <f>IFERROR(__xludf.DUMMYFUNCTION("""COMPUTED_VALUE"""),"Lower parel")</f>
        <v>Lower parel</v>
      </c>
      <c r="G323" s="276" t="str">
        <f>IFERROR(__xludf.DUMMYFUNCTION("""COMPUTED_VALUE"""),"Shravani")</f>
        <v>Shravani</v>
      </c>
      <c r="H323" s="276" t="str">
        <f>IFERROR(__xludf.DUMMYFUNCTION("""COMPUTED_VALUE"""),"29 Jan: She said I'll call you back if I need any office. 28 Jan: Ringing. 27 Jan: Ringing. 24 Jan: Ringing. 22 Jan: Ringing. 21 Jan: Ringing ")</f>
        <v>29 Jan: She said I'll call you back if I need any office. 28 Jan: Ringing. 27 Jan: Ringing. 24 Jan: Ringing. 22 Jan: Ringing. 21 Jan: Ringing </v>
      </c>
    </row>
    <row r="324">
      <c r="A324" s="400">
        <f>IFERROR(__xludf.DUMMYFUNCTION("""COMPUTED_VALUE"""),46043.0)</f>
        <v>46043</v>
      </c>
      <c r="B324" s="276" t="str">
        <f>IFERROR(__xludf.DUMMYFUNCTION("""COMPUTED_VALUE"""),"Charuhas K")</f>
        <v>Charuhas K</v>
      </c>
      <c r="C324" s="276" t="str">
        <f>IFERROR(__xludf.DUMMYFUNCTION("""COMPUTED_VALUE"""),"Bluemont ent.")</f>
        <v>Bluemont ent.</v>
      </c>
      <c r="D324" s="276"/>
      <c r="E324" s="276" t="str">
        <f>IFERROR(__xludf.DUMMYFUNCTION("""COMPUTED_VALUE"""),"Lower Parel")</f>
        <v>Lower Parel</v>
      </c>
      <c r="F324" s="276" t="str">
        <f>IFERROR(__xludf.DUMMYFUNCTION("""COMPUTED_VALUE"""),"Lower parel")</f>
        <v>Lower parel</v>
      </c>
      <c r="G324" s="276" t="str">
        <f>IFERROR(__xludf.DUMMYFUNCTION("""COMPUTED_VALUE"""),"Shravani")</f>
        <v>Shravani</v>
      </c>
      <c r="H324" s="276" t="str">
        <f>IFERROR(__xludf.DUMMYFUNCTION("""COMPUTED_VALUE"""),"21 Jan: He is not looking for any office option.")</f>
        <v>21 Jan: He is not looking for any office option.</v>
      </c>
    </row>
    <row r="325">
      <c r="A325" s="400">
        <f>IFERROR(__xludf.DUMMYFUNCTION("""COMPUTED_VALUE"""),46045.0)</f>
        <v>46045</v>
      </c>
      <c r="B325" s="276" t="str">
        <f>IFERROR(__xludf.DUMMYFUNCTION("""COMPUTED_VALUE"""),"Ruta Karve Misra")</f>
        <v>Ruta Karve Misra</v>
      </c>
      <c r="C325" s="276" t="str">
        <f>IFERROR(__xludf.DUMMYFUNCTION("""COMPUTED_VALUE"""),"Intoitcare private limited")</f>
        <v>Intoitcare private limited</v>
      </c>
      <c r="D325" s="276"/>
      <c r="E325" s="276" t="str">
        <f>IFERROR(__xludf.DUMMYFUNCTION("""COMPUTED_VALUE"""),"Lower Parel")</f>
        <v>Lower Parel</v>
      </c>
      <c r="F325" s="276" t="str">
        <f>IFERROR(__xludf.DUMMYFUNCTION("""COMPUTED_VALUE"""),"Lower parel")</f>
        <v>Lower parel</v>
      </c>
      <c r="G325" s="276" t="str">
        <f>IFERROR(__xludf.DUMMYFUNCTION("""COMPUTED_VALUE"""),"Shravani")</f>
        <v>Shravani</v>
      </c>
      <c r="H325" s="276" t="str">
        <f>IFERROR(__xludf.DUMMYFUNCTION("""COMPUTED_VALUE"""),"3 Feb: She will discuss the same with her management and will update me. 27 Jan: She is travelling and will connect with me in the next week. 24 Jan: Ringing, dropprd a text. 23 Jan: She needs 4 to 5 Workstations.")</f>
        <v>3 Feb: She will discuss the same with her management and will update me. 27 Jan: She is travelling and will connect with me in the next week. 24 Jan: Ringing, dropprd a text. 23 Jan: She needs 4 to 5 Workstations.</v>
      </c>
    </row>
    <row r="326">
      <c r="A326" s="400">
        <f>IFERROR(__xludf.DUMMYFUNCTION("""COMPUTED_VALUE"""),46045.0)</f>
        <v>46045</v>
      </c>
      <c r="B326" s="276" t="str">
        <f>IFERROR(__xludf.DUMMYFUNCTION("""COMPUTED_VALUE"""),"Samiir Halady")</f>
        <v>Samiir Halady</v>
      </c>
      <c r="C326" s="276" t="str">
        <f>IFERROR(__xludf.DUMMYFUNCTION("""COMPUTED_VALUE"""),"Samiir Halady Consulting")</f>
        <v>Samiir Halady Consulting</v>
      </c>
      <c r="D326" s="276"/>
      <c r="E326" s="276" t="str">
        <f>IFERROR(__xludf.DUMMYFUNCTION("""COMPUTED_VALUE"""),"Lower Parel")</f>
        <v>Lower Parel</v>
      </c>
      <c r="F326" s="276" t="str">
        <f>IFERROR(__xludf.DUMMYFUNCTION("""COMPUTED_VALUE"""),"Lower parel")</f>
        <v>Lower parel</v>
      </c>
      <c r="G326" s="276" t="str">
        <f>IFERROR(__xludf.DUMMYFUNCTION("""COMPUTED_VALUE"""),"Shravani")</f>
        <v>Shravani</v>
      </c>
      <c r="H326" s="276" t="str">
        <f>IFERROR(__xludf.DUMMYFUNCTION("""COMPUTED_VALUE"""),"3 Feb: Os 29 Jan: OS 27 Jan: He has asked me to call on 29 Jan. 23 Jan: OS")</f>
        <v>3 Feb: Os 29 Jan: OS 27 Jan: He has asked me to call on 29 Jan. 23 Jan: OS</v>
      </c>
    </row>
    <row r="327">
      <c r="A327" s="400">
        <f>IFERROR(__xludf.DUMMYFUNCTION("""COMPUTED_VALUE"""),46045.0)</f>
        <v>46045</v>
      </c>
      <c r="B327" s="276" t="str">
        <f>IFERROR(__xludf.DUMMYFUNCTION("""COMPUTED_VALUE"""),"Pratik Parekh")</f>
        <v>Pratik Parekh</v>
      </c>
      <c r="C327" s="276" t="str">
        <f>IFERROR(__xludf.DUMMYFUNCTION("""COMPUTED_VALUE"""),"PPL")</f>
        <v>PPL</v>
      </c>
      <c r="D327" s="276"/>
      <c r="E327" s="276" t="str">
        <f>IFERROR(__xludf.DUMMYFUNCTION("""COMPUTED_VALUE"""),"Lower Parel")</f>
        <v>Lower Parel</v>
      </c>
      <c r="F327" s="276" t="str">
        <f>IFERROR(__xludf.DUMMYFUNCTION("""COMPUTED_VALUE"""),"Lower parel")</f>
        <v>Lower parel</v>
      </c>
      <c r="G327" s="276" t="str">
        <f>IFERROR(__xludf.DUMMYFUNCTION("""COMPUTED_VALUE"""),"Shravani")</f>
        <v>Shravani</v>
      </c>
      <c r="H327" s="276" t="str">
        <f>IFERROR(__xludf.DUMMYFUNCTION("""COMPUTED_VALUE"""),"23 Jan: He is not looking for an office. He wants to do interiors of his existing office in Andheri which is around 2000 sq.ft carpet. I'll ask Shabbir to take this up. Company Name: Prima Plastic Ltd.")</f>
        <v>23 Jan: He is not looking for an office. He wants to do interiors of his existing office in Andheri which is around 2000 sq.ft carpet. I'll ask Shabbir to take this up. Company Name: Prima Plastic Ltd.</v>
      </c>
    </row>
    <row r="328">
      <c r="A328" s="400">
        <f>IFERROR(__xludf.DUMMYFUNCTION("""COMPUTED_VALUE"""),46046.0)</f>
        <v>46046</v>
      </c>
      <c r="B328" s="276" t="str">
        <f>IFERROR(__xludf.DUMMYFUNCTION("""COMPUTED_VALUE"""),"Nishant Sharma")</f>
        <v>Nishant Sharma</v>
      </c>
      <c r="C328" s="276" t="str">
        <f>IFERROR(__xludf.DUMMYFUNCTION("""COMPUTED_VALUE"""),"Jainam Broking Ltd")</f>
        <v>Jainam Broking Ltd</v>
      </c>
      <c r="D328" s="276"/>
      <c r="E328" s="276" t="str">
        <f>IFERROR(__xludf.DUMMYFUNCTION("""COMPUTED_VALUE"""),"Lower Parel")</f>
        <v>Lower Parel</v>
      </c>
      <c r="F328" s="276" t="str">
        <f>IFERROR(__xludf.DUMMYFUNCTION("""COMPUTED_VALUE"""),"Lower parel")</f>
        <v>Lower parel</v>
      </c>
      <c r="G328" s="276" t="str">
        <f>IFERROR(__xludf.DUMMYFUNCTION("""COMPUTED_VALUE"""),"Shravani &amp; Shubham")</f>
        <v>Shravani &amp; Shubham</v>
      </c>
      <c r="H328" s="276" t="str">
        <f>IFERROR(__xludf.DUMMYFUNCTION("""COMPUTED_VALUE"""),"28 Jan: He needs a office in Marol, Shubham is already in contact with him.")</f>
        <v>28 Jan: He needs a office in Marol, Shubham is already in contact with him.</v>
      </c>
    </row>
    <row r="329">
      <c r="A329" s="400">
        <f>IFERROR(__xludf.DUMMYFUNCTION("""COMPUTED_VALUE"""),46046.0)</f>
        <v>46046</v>
      </c>
      <c r="B329" s="276" t="str">
        <f>IFERROR(__xludf.DUMMYFUNCTION("""COMPUTED_VALUE"""),"Aalim Raeen")</f>
        <v>Aalim Raeen</v>
      </c>
      <c r="C329" s="276" t="str">
        <f>IFERROR(__xludf.DUMMYFUNCTION("""COMPUTED_VALUE"""),"Raeen Interiors")</f>
        <v>Raeen Interiors</v>
      </c>
      <c r="D329" s="276"/>
      <c r="E329" s="276" t="str">
        <f>IFERROR(__xludf.DUMMYFUNCTION("""COMPUTED_VALUE"""),"Lower Parel")</f>
        <v>Lower Parel</v>
      </c>
      <c r="F329" s="276" t="str">
        <f>IFERROR(__xludf.DUMMYFUNCTION("""COMPUTED_VALUE"""),"Lower parel")</f>
        <v>Lower parel</v>
      </c>
      <c r="G329" s="276" t="str">
        <f>IFERROR(__xludf.DUMMYFUNCTION("""COMPUTED_VALUE"""),"Shravani")</f>
        <v>Shravani</v>
      </c>
      <c r="H329" s="276" t="str">
        <f>IFERROR(__xludf.DUMMYFUNCTION("""COMPUTED_VALUE"""),"3 Feb: Ringing. 31 Jan: Dropped a text. 30 Jan: Ringing. 28 Jan: He needs sometime to discuss with his team. 27 Jan: Ringing. 24 Jan: Shared all the details on Whatsapp")</f>
        <v>3 Feb: Ringing. 31 Jan: Dropped a text. 30 Jan: Ringing. 28 Jan: He needs sometime to discuss with his team. 27 Jan: Ringing. 24 Jan: Shared all the details on Whatsapp</v>
      </c>
    </row>
    <row r="330">
      <c r="A330" s="400">
        <f>IFERROR(__xludf.DUMMYFUNCTION("""COMPUTED_VALUE"""),46049.0)</f>
        <v>46049</v>
      </c>
      <c r="B330" s="276" t="str">
        <f>IFERROR(__xludf.DUMMYFUNCTION("""COMPUTED_VALUE"""),"Devidayal Jedhiya")</f>
        <v>Devidayal Jedhiya</v>
      </c>
      <c r="C330" s="276" t="str">
        <f>IFERROR(__xludf.DUMMYFUNCTION("""COMPUTED_VALUE"""),"Marine Engineering Resourcing &amp; Consulting Services")</f>
        <v>Marine Engineering Resourcing &amp; Consulting Services</v>
      </c>
      <c r="D330" s="276"/>
      <c r="E330" s="276" t="str">
        <f>IFERROR(__xludf.DUMMYFUNCTION("""COMPUTED_VALUE"""),"Lower Parel")</f>
        <v>Lower Parel</v>
      </c>
      <c r="F330" s="276" t="str">
        <f>IFERROR(__xludf.DUMMYFUNCTION("""COMPUTED_VALUE"""),"Lower parel")</f>
        <v>Lower parel</v>
      </c>
      <c r="G330" s="276" t="str">
        <f>IFERROR(__xludf.DUMMYFUNCTION("""COMPUTED_VALUE"""),"Shravani")</f>
        <v>Shravani</v>
      </c>
      <c r="H330" s="276" t="str">
        <f>IFERROR(__xludf.DUMMYFUNCTION("""COMPUTED_VALUE"""),"27 Jan: Client is looking for a cabin space. I shared the images and video of Rajiv Sir’s cabin; however, he felt the ₹60,000 rent is on the higher side. He mentioned he will get back to us by 15th Feb.")</f>
        <v>27 Jan: Client is looking for a cabin space. I shared the images and video of Rajiv Sir’s cabin; however, he felt the ₹60,000 rent is on the higher side. He mentioned he will get back to us by 15th Feb.</v>
      </c>
    </row>
    <row r="331">
      <c r="A331" s="400">
        <f>IFERROR(__xludf.DUMMYFUNCTION("""COMPUTED_VALUE"""),46049.0)</f>
        <v>46049</v>
      </c>
      <c r="B331" s="276" t="str">
        <f>IFERROR(__xludf.DUMMYFUNCTION("""COMPUTED_VALUE"""),"Abhishek  Asthana")</f>
        <v>Abhishek  Asthana</v>
      </c>
      <c r="C331" s="276" t="str">
        <f>IFERROR(__xludf.DUMMYFUNCTION("""COMPUTED_VALUE"""),"AY Task Consulting Lop")</f>
        <v>AY Task Consulting Lop</v>
      </c>
      <c r="D331" s="276"/>
      <c r="E331" s="276" t="str">
        <f>IFERROR(__xludf.DUMMYFUNCTION("""COMPUTED_VALUE"""),"Lower Parel")</f>
        <v>Lower Parel</v>
      </c>
      <c r="F331" s="276" t="str">
        <f>IFERROR(__xludf.DUMMYFUNCTION("""COMPUTED_VALUE"""),"Lower parel")</f>
        <v>Lower parel</v>
      </c>
      <c r="G331" s="276" t="str">
        <f>IFERROR(__xludf.DUMMYFUNCTION("""COMPUTED_VALUE"""),"Shravani")</f>
        <v>Shravani</v>
      </c>
      <c r="H331" s="276" t="str">
        <f>IFERROR(__xludf.DUMMYFUNCTION("""COMPUTED_VALUE"""),"3 Feb: Declined the call. 31 Jan: Dropped a text. 30 Jan: Dropped a text. 28 Jan: He will get back to me in sometime. 27 Jan: Single Cabin")</f>
        <v>3 Feb: Declined the call. 31 Jan: Dropped a text. 30 Jan: Dropped a text. 28 Jan: He will get back to me in sometime. 27 Jan: Single Cabin</v>
      </c>
    </row>
    <row r="332">
      <c r="A332" s="400">
        <f>IFERROR(__xludf.DUMMYFUNCTION("""COMPUTED_VALUE"""),46049.0)</f>
        <v>46049</v>
      </c>
      <c r="B332" s="276" t="str">
        <f>IFERROR(__xludf.DUMMYFUNCTION("""COMPUTED_VALUE"""),"Mitesh  Diora")</f>
        <v>Mitesh  Diora</v>
      </c>
      <c r="C332" s="276" t="str">
        <f>IFERROR(__xludf.DUMMYFUNCTION("""COMPUTED_VALUE"""),"Swastik Group")</f>
        <v>Swastik Group</v>
      </c>
      <c r="D332" s="276"/>
      <c r="E332" s="276" t="str">
        <f>IFERROR(__xludf.DUMMYFUNCTION("""COMPUTED_VALUE"""),"Lower Parel")</f>
        <v>Lower Parel</v>
      </c>
      <c r="F332" s="276" t="str">
        <f>IFERROR(__xludf.DUMMYFUNCTION("""COMPUTED_VALUE"""),"Lower parel")</f>
        <v>Lower parel</v>
      </c>
      <c r="G332" s="276" t="str">
        <f>IFERROR(__xludf.DUMMYFUNCTION("""COMPUTED_VALUE"""),"Shravani")</f>
        <v>Shravani</v>
      </c>
      <c r="H332" s="276" t="str">
        <f>IFERROR(__xludf.DUMMYFUNCTION("""COMPUTED_VALUE"""),"3 Feb: He wants me to shared the details on whatsapp.28 Jan: He has asked me to call in next week.  27 Jan: He will call me after sometime")</f>
        <v>3 Feb: He wants me to shared the details on whatsapp.28 Jan: He has asked me to call in next week.  27 Jan: He will call me after sometime</v>
      </c>
    </row>
    <row r="333">
      <c r="A333" s="400">
        <f>IFERROR(__xludf.DUMMYFUNCTION("""COMPUTED_VALUE"""),46049.0)</f>
        <v>46049</v>
      </c>
      <c r="B333" s="276" t="str">
        <f>IFERROR(__xludf.DUMMYFUNCTION("""COMPUTED_VALUE"""),"Indrajeet Neversay")</f>
        <v>Indrajeet Neversay</v>
      </c>
      <c r="C333" s="276" t="str">
        <f>IFERROR(__xludf.DUMMYFUNCTION("""COMPUTED_VALUE"""),"Prinseps")</f>
        <v>Prinseps</v>
      </c>
      <c r="D333" s="276"/>
      <c r="E333" s="276" t="str">
        <f>IFERROR(__xludf.DUMMYFUNCTION("""COMPUTED_VALUE"""),"Lower Parel")</f>
        <v>Lower Parel</v>
      </c>
      <c r="F333" s="276" t="str">
        <f>IFERROR(__xludf.DUMMYFUNCTION("""COMPUTED_VALUE"""),"Lower parel")</f>
        <v>Lower parel</v>
      </c>
      <c r="G333" s="276" t="str">
        <f>IFERROR(__xludf.DUMMYFUNCTION("""COMPUTED_VALUE"""),"Shravani")</f>
        <v>Shravani</v>
      </c>
      <c r="H333" s="276" t="str">
        <f>IFERROR(__xludf.DUMMYFUNCTION("""COMPUTED_VALUE"""),"2 Feb: He will need some time because they are busy with some exhibition. 29 Jan: He will discuss with his team and update me. 28 Jan: Visit is done and shared the commercials on mail. 27 Jan: He did not mention any specific requirements; he only requeste"&amp;"d images and videos of the space.")</f>
        <v>2 Feb: He will need some time because they are busy with some exhibition. 29 Jan: He will discuss with his team and update me. 28 Jan: Visit is done and shared the commercials on mail. 27 Jan: He did not mention any specific requirements; he only requested images and videos of the space.</v>
      </c>
    </row>
    <row r="334">
      <c r="A334" s="400">
        <f>IFERROR(__xludf.DUMMYFUNCTION("""COMPUTED_VALUE"""),46049.0)</f>
        <v>46049</v>
      </c>
      <c r="B334" s="276" t="str">
        <f>IFERROR(__xludf.DUMMYFUNCTION("""COMPUTED_VALUE"""),"Cheetan Gaikwad")</f>
        <v>Cheetan Gaikwad</v>
      </c>
      <c r="C334" s="276"/>
      <c r="D334" s="276"/>
      <c r="E334" s="276" t="str">
        <f>IFERROR(__xludf.DUMMYFUNCTION("""COMPUTED_VALUE"""),"Lower Parel")</f>
        <v>Lower Parel</v>
      </c>
      <c r="F334" s="276" t="str">
        <f>IFERROR(__xludf.DUMMYFUNCTION("""COMPUTED_VALUE"""),"Lower parel")</f>
        <v>Lower parel</v>
      </c>
      <c r="G334" s="276" t="str">
        <f>IFERROR(__xludf.DUMMYFUNCTION("""COMPUTED_VALUE"""),"Shravani")</f>
        <v>Shravani</v>
      </c>
      <c r="H334" s="276" t="str">
        <f>IFERROR(__xludf.DUMMYFUNCTION("""COMPUTED_VALUE"""),"27 Jan: His current office is in Andheri. He needs 4 seater cabin but his budget is too low.")</f>
        <v>27 Jan: His current office is in Andheri. He needs 4 seater cabin but his budget is too low.</v>
      </c>
    </row>
    <row r="335">
      <c r="A335" s="400">
        <f>IFERROR(__xludf.DUMMYFUNCTION("""COMPUTED_VALUE"""),46050.0)</f>
        <v>46050</v>
      </c>
      <c r="B335" s="276" t="str">
        <f>IFERROR(__xludf.DUMMYFUNCTION("""COMPUTED_VALUE"""),"Ashish Swarnkar")</f>
        <v>Ashish Swarnkar</v>
      </c>
      <c r="C335" s="276" t="str">
        <f>IFERROR(__xludf.DUMMYFUNCTION("""COMPUTED_VALUE"""),"Entropy")</f>
        <v>Entropy</v>
      </c>
      <c r="D335" s="276"/>
      <c r="E335" s="276" t="str">
        <f>IFERROR(__xludf.DUMMYFUNCTION("""COMPUTED_VALUE"""),"Lower Parel")</f>
        <v>Lower Parel</v>
      </c>
      <c r="F335" s="276" t="str">
        <f>IFERROR(__xludf.DUMMYFUNCTION("""COMPUTED_VALUE"""),"Lower parel")</f>
        <v>Lower parel</v>
      </c>
      <c r="G335" s="276" t="str">
        <f>IFERROR(__xludf.DUMMYFUNCTION("""COMPUTED_VALUE"""),"Shravani")</f>
        <v>Shravani</v>
      </c>
      <c r="H335" s="276" t="str">
        <f>IFERROR(__xludf.DUMMYFUNCTION("""COMPUTED_VALUE"""),"30 Jan: He is not looking for any office space. 28 Jan: Ringing ")</f>
        <v>30 Jan: He is not looking for any office space. 28 Jan: Ringing </v>
      </c>
    </row>
    <row r="336">
      <c r="A336" s="400">
        <f>IFERROR(__xludf.DUMMYFUNCTION("""COMPUTED_VALUE"""),46051.0)</f>
        <v>46051</v>
      </c>
      <c r="B336" s="276" t="str">
        <f>IFERROR(__xludf.DUMMYFUNCTION("""COMPUTED_VALUE"""),"Shruti  Kainya")</f>
        <v>Shruti  Kainya</v>
      </c>
      <c r="C336" s="276" t="str">
        <f>IFERROR(__xludf.DUMMYFUNCTION("""COMPUTED_VALUE"""),"Nutryst")</f>
        <v>Nutryst</v>
      </c>
      <c r="D336" s="276"/>
      <c r="E336" s="276" t="str">
        <f>IFERROR(__xludf.DUMMYFUNCTION("""COMPUTED_VALUE"""),"Lower Parel")</f>
        <v>Lower Parel</v>
      </c>
      <c r="F336" s="276" t="str">
        <f>IFERROR(__xludf.DUMMYFUNCTION("""COMPUTED_VALUE"""),"Lower parel")</f>
        <v>Lower parel</v>
      </c>
      <c r="G336" s="276" t="str">
        <f>IFERROR(__xludf.DUMMYFUNCTION("""COMPUTED_VALUE"""),"Shravani")</f>
        <v>Shravani</v>
      </c>
      <c r="H336" s="276" t="str">
        <f>IFERROR(__xludf.DUMMYFUNCTION("""COMPUTED_VALUE"""),"3 Feb: She will get back to me after somedays as she is not sure about the location. 31 Jan: Dropped a text. 30 Jan: Dropped a text. 29 Jan: I have shared the image and video of Rajiv Sir's Cabin")</f>
        <v>3 Feb: She will get back to me after somedays as she is not sure about the location. 31 Jan: Dropped a text. 30 Jan: Dropped a text. 29 Jan: I have shared the image and video of Rajiv Sir's Cabin</v>
      </c>
    </row>
    <row r="337">
      <c r="A337" s="400">
        <f>IFERROR(__xludf.DUMMYFUNCTION("""COMPUTED_VALUE"""),46051.0)</f>
        <v>46051</v>
      </c>
      <c r="B337" s="276" t="str">
        <f>IFERROR(__xludf.DUMMYFUNCTION("""COMPUTED_VALUE"""),"Ashish Prakash")</f>
        <v>Ashish Prakash</v>
      </c>
      <c r="C337" s="276" t="str">
        <f>IFERROR(__xludf.DUMMYFUNCTION("""COMPUTED_VALUE"""),"Cloud Tech")</f>
        <v>Cloud Tech</v>
      </c>
      <c r="D337" s="276"/>
      <c r="E337" s="276" t="str">
        <f>IFERROR(__xludf.DUMMYFUNCTION("""COMPUTED_VALUE"""),"Lower Parel")</f>
        <v>Lower Parel</v>
      </c>
      <c r="F337" s="276" t="str">
        <f>IFERROR(__xludf.DUMMYFUNCTION("""COMPUTED_VALUE"""),"Lower parel")</f>
        <v>Lower parel</v>
      </c>
      <c r="G337" s="276" t="str">
        <f>IFERROR(__xludf.DUMMYFUNCTION("""COMPUTED_VALUE"""),"Shravani")</f>
        <v>Shravani</v>
      </c>
      <c r="H337" s="276" t="str">
        <f>IFERROR(__xludf.DUMMYFUNCTION("""COMPUTED_VALUE"""),"3 Feb: He needs a office in Andheri, will share his requirement on whatsapp. 31 Jan: Dropped a text. 30 Jan: Ringing, dropped a text. 29 Jan: Ringing")</f>
        <v>3 Feb: He needs a office in Andheri, will share his requirement on whatsapp. 31 Jan: Dropped a text. 30 Jan: Ringing, dropped a text. 29 Jan: Ringing</v>
      </c>
    </row>
    <row r="338">
      <c r="A338" s="400">
        <f>IFERROR(__xludf.DUMMYFUNCTION("""COMPUTED_VALUE"""),46052.0)</f>
        <v>46052</v>
      </c>
      <c r="B338" s="276" t="str">
        <f>IFERROR(__xludf.DUMMYFUNCTION("""COMPUTED_VALUE"""),"Lahu  Angarkhe")</f>
        <v>Lahu  Angarkhe</v>
      </c>
      <c r="C338" s="276" t="str">
        <f>IFERROR(__xludf.DUMMYFUNCTION("""COMPUTED_VALUE"""),"Insurance")</f>
        <v>Insurance</v>
      </c>
      <c r="D338" s="276"/>
      <c r="E338" s="276" t="str">
        <f>IFERROR(__xludf.DUMMYFUNCTION("""COMPUTED_VALUE"""),"Lower Parel")</f>
        <v>Lower Parel</v>
      </c>
      <c r="F338" s="276" t="str">
        <f>IFERROR(__xludf.DUMMYFUNCTION("""COMPUTED_VALUE"""),"Lower parel")</f>
        <v>Lower parel</v>
      </c>
      <c r="G338" s="276" t="str">
        <f>IFERROR(__xludf.DUMMYFUNCTION("""COMPUTED_VALUE"""),"Shravani")</f>
        <v>Shravani</v>
      </c>
      <c r="H338" s="276" t="str">
        <f>IFERROR(__xludf.DUMMYFUNCTION("""COMPUTED_VALUE"""),"30 Jan: He needs a cabin space in Ghatkopar")</f>
        <v>30 Jan: He needs a cabin space in Ghatkopar</v>
      </c>
    </row>
    <row r="339">
      <c r="A339" s="400">
        <f>IFERROR(__xludf.DUMMYFUNCTION("""COMPUTED_VALUE"""),46054.0)</f>
        <v>46054</v>
      </c>
      <c r="B339" s="276" t="str">
        <f>IFERROR(__xludf.DUMMYFUNCTION("""COMPUTED_VALUE"""),"Suresh Doshi")</f>
        <v>Suresh Doshi</v>
      </c>
      <c r="C339" s="276" t="str">
        <f>IFERROR(__xludf.DUMMYFUNCTION("""COMPUTED_VALUE"""),"Classic Holidays")</f>
        <v>Classic Holidays</v>
      </c>
      <c r="D339" s="276" t="str">
        <f>IFERROR(__xludf.DUMMYFUNCTION("""COMPUTED_VALUE"""),"Lost")</f>
        <v>Lost</v>
      </c>
      <c r="E339" s="276" t="str">
        <f>IFERROR(__xludf.DUMMYFUNCTION("""COMPUTED_VALUE"""),"Lower Parel")</f>
        <v>Lower Parel</v>
      </c>
      <c r="F339" s="276" t="str">
        <f>IFERROR(__xludf.DUMMYFUNCTION("""COMPUTED_VALUE"""),"Lower parel")</f>
        <v>Lower parel</v>
      </c>
      <c r="G339" s="276" t="str">
        <f>IFERROR(__xludf.DUMMYFUNCTION("""COMPUTED_VALUE"""),"Shravani")</f>
        <v>Shravani</v>
      </c>
      <c r="H339" s="276" t="str">
        <f>IFERROR(__xludf.DUMMYFUNCTION("""COMPUTED_VALUE"""),"2 Feb: He is not interested")</f>
        <v>2 Feb: He is not interested</v>
      </c>
    </row>
    <row r="340">
      <c r="A340" s="400">
        <f>IFERROR(__xludf.DUMMYFUNCTION("""COMPUTED_VALUE"""),46054.0)</f>
        <v>46054</v>
      </c>
      <c r="B340" s="276" t="str">
        <f>IFERROR(__xludf.DUMMYFUNCTION("""COMPUTED_VALUE"""),"Milind ")</f>
        <v>Milind </v>
      </c>
      <c r="C340" s="276" t="str">
        <f>IFERROR(__xludf.DUMMYFUNCTION("""COMPUTED_VALUE"""),"Arpina Optimus")</f>
        <v>Arpina Optimus</v>
      </c>
      <c r="D340" s="276" t="str">
        <f>IFERROR(__xludf.DUMMYFUNCTION("""COMPUTED_VALUE"""),"Warm")</f>
        <v>Warm</v>
      </c>
      <c r="E340" s="276" t="str">
        <f>IFERROR(__xludf.DUMMYFUNCTION("""COMPUTED_VALUE"""),"Lower Parel")</f>
        <v>Lower Parel</v>
      </c>
      <c r="F340" s="276" t="str">
        <f>IFERROR(__xludf.DUMMYFUNCTION("""COMPUTED_VALUE"""),"Lower parel")</f>
        <v>Lower parel</v>
      </c>
      <c r="G340" s="276" t="str">
        <f>IFERROR(__xludf.DUMMYFUNCTION("""COMPUTED_VALUE"""),"Shravani")</f>
        <v>Shravani</v>
      </c>
      <c r="H340" s="276" t="str">
        <f>IFERROR(__xludf.DUMMYFUNCTION("""COMPUTED_VALUE"""),"26 May: he will call me back later. 9 March: Ringing, Dropped a text. 21 Feb: Busy on call. 16 Feb: Single seater. 3 Feb: Busy on call. 2 Feb: Busy on call.")</f>
        <v>26 May: he will call me back later. 9 March: Ringing, Dropped a text. 21 Feb: Busy on call. 16 Feb: Single seater. 3 Feb: Busy on call. 2 Feb: Busy on call.</v>
      </c>
    </row>
    <row r="341">
      <c r="A341" s="400">
        <f>IFERROR(__xludf.DUMMYFUNCTION("""COMPUTED_VALUE"""),46054.0)</f>
        <v>46054</v>
      </c>
      <c r="B341" s="276" t="str">
        <f>IFERROR(__xludf.DUMMYFUNCTION("""COMPUTED_VALUE"""),"Sonal Naidu")</f>
        <v>Sonal Naidu</v>
      </c>
      <c r="C341" s="276" t="str">
        <f>IFERROR(__xludf.DUMMYFUNCTION("""COMPUTED_VALUE"""),"Solve Technology")</f>
        <v>Solve Technology</v>
      </c>
      <c r="D341" s="276" t="str">
        <f>IFERROR(__xludf.DUMMYFUNCTION("""COMPUTED_VALUE"""),"Lost")</f>
        <v>Lost</v>
      </c>
      <c r="E341" s="276" t="str">
        <f>IFERROR(__xludf.DUMMYFUNCTION("""COMPUTED_VALUE"""),"Lower Parel")</f>
        <v>Lower Parel</v>
      </c>
      <c r="F341" s="276" t="str">
        <f>IFERROR(__xludf.DUMMYFUNCTION("""COMPUTED_VALUE"""),"Lower parel")</f>
        <v>Lower parel</v>
      </c>
      <c r="G341" s="276" t="str">
        <f>IFERROR(__xludf.DUMMYFUNCTION("""COMPUTED_VALUE"""),"Shravani")</f>
        <v>Shravani</v>
      </c>
      <c r="H341" s="276" t="str">
        <f>IFERROR(__xludf.DUMMYFUNCTION("""COMPUTED_VALUE"""),"5 Feb: She is not interested in Mafatlal Chambers as she needs a A + Grade Building and her budget is not more than 5.50 lacs. 3 Feb: She will visit today at 3 PM. 2 Feb: She will be visiting in the 2nd half today")</f>
        <v>5 Feb: She is not interested in Mafatlal Chambers as she needs a A + Grade Building and her budget is not more than 5.50 lacs. 3 Feb: She will visit today at 3 PM. 2 Feb: She will be visiting in the 2nd half today</v>
      </c>
    </row>
    <row r="342">
      <c r="A342" s="400">
        <f>IFERROR(__xludf.DUMMYFUNCTION("""COMPUTED_VALUE"""),46055.0)</f>
        <v>46055</v>
      </c>
      <c r="B342" s="276" t="str">
        <f>IFERROR(__xludf.DUMMYFUNCTION("""COMPUTED_VALUE"""),"Sarth Aaradhye")</f>
        <v>Sarth Aaradhye</v>
      </c>
      <c r="C342" s="276" t="str">
        <f>IFERROR(__xludf.DUMMYFUNCTION("""COMPUTED_VALUE"""),"Aradhye Tech")</f>
        <v>Aradhye Tech</v>
      </c>
      <c r="D342" s="276" t="str">
        <f>IFERROR(__xludf.DUMMYFUNCTION("""COMPUTED_VALUE"""),"Hold")</f>
        <v>Hold</v>
      </c>
      <c r="E342" s="276" t="str">
        <f>IFERROR(__xludf.DUMMYFUNCTION("""COMPUTED_VALUE"""),"Lower Parel")</f>
        <v>Lower Parel</v>
      </c>
      <c r="F342" s="276" t="str">
        <f>IFERROR(__xludf.DUMMYFUNCTION("""COMPUTED_VALUE"""),"Lower parel")</f>
        <v>Lower parel</v>
      </c>
      <c r="G342" s="276" t="str">
        <f>IFERROR(__xludf.DUMMYFUNCTION("""COMPUTED_VALUE"""),"Shravani")</f>
        <v>Shravani</v>
      </c>
      <c r="H342" s="276" t="str">
        <f>IFERROR(__xludf.DUMMYFUNCTION("""COMPUTED_VALUE"""),"26 May: He will call me back later. 3 Feb: He said he will call me back when he need a office. 2 Feb: He is busy and will call me back after sometime.")</f>
        <v>26 May: He will call me back later. 3 Feb: He said he will call me back when he need a office. 2 Feb: He is busy and will call me back after sometime.</v>
      </c>
    </row>
    <row r="343">
      <c r="A343" s="400">
        <f>IFERROR(__xludf.DUMMYFUNCTION("""COMPUTED_VALUE"""),46055.0)</f>
        <v>46055</v>
      </c>
      <c r="B343" s="276" t="str">
        <f>IFERROR(__xludf.DUMMYFUNCTION("""COMPUTED_VALUE"""),"Ketan  Vira")</f>
        <v>Ketan  Vira</v>
      </c>
      <c r="C343" s="276" t="str">
        <f>IFERROR(__xludf.DUMMYFUNCTION("""COMPUTED_VALUE"""),"K o packaging limited")</f>
        <v>K o packaging limited</v>
      </c>
      <c r="D343" s="276" t="str">
        <f>IFERROR(__xludf.DUMMYFUNCTION("""COMPUTED_VALUE"""),"Lost")</f>
        <v>Lost</v>
      </c>
      <c r="E343" s="276" t="str">
        <f>IFERROR(__xludf.DUMMYFUNCTION("""COMPUTED_VALUE"""),"Lower Parel")</f>
        <v>Lower Parel</v>
      </c>
      <c r="F343" s="276" t="str">
        <f>IFERROR(__xludf.DUMMYFUNCTION("""COMPUTED_VALUE"""),"Lower parel")</f>
        <v>Lower parel</v>
      </c>
      <c r="G343" s="276" t="str">
        <f>IFERROR(__xludf.DUMMYFUNCTION("""COMPUTED_VALUE"""),"Shravani")</f>
        <v>Shravani</v>
      </c>
      <c r="H343" s="276" t="str">
        <f>IFERROR(__xludf.DUMMYFUNCTION("""COMPUTED_VALUE"""),"16 Feb: Looking office for outright purpose. 3 Feb: Busy, will call me in a while. 2 Feb: He requested me to share the details on WhatsApp. He also mentioned that he is currently in Delhi and is most likely to return today. He will try to visit tomorrow; "&amp;"if not, he confirmed that he will visit sometime next week.")</f>
        <v>16 Feb: Looking office for outright purpose. 3 Feb: Busy, will call me in a while. 2 Feb: He requested me to share the details on WhatsApp. He also mentioned that he is currently in Delhi and is most likely to return today. He will try to visit tomorrow; if not, he confirmed that he will visit sometime next week.</v>
      </c>
    </row>
    <row r="344">
      <c r="A344" s="400">
        <f>IFERROR(__xludf.DUMMYFUNCTION("""COMPUTED_VALUE"""),46055.0)</f>
        <v>46055</v>
      </c>
      <c r="B344" s="276" t="str">
        <f>IFERROR(__xludf.DUMMYFUNCTION("""COMPUTED_VALUE"""),"Yash Lawate")</f>
        <v>Yash Lawate</v>
      </c>
      <c r="C344" s="276" t="str">
        <f>IFERROR(__xludf.DUMMYFUNCTION("""COMPUTED_VALUE"""),"Vida loca media")</f>
        <v>Vida loca media</v>
      </c>
      <c r="D344" s="276" t="str">
        <f>IFERROR(__xludf.DUMMYFUNCTION("""COMPUTED_VALUE"""),"Lost")</f>
        <v>Lost</v>
      </c>
      <c r="E344" s="276" t="str">
        <f>IFERROR(__xludf.DUMMYFUNCTION("""COMPUTED_VALUE"""),"Lower Parel")</f>
        <v>Lower Parel</v>
      </c>
      <c r="F344" s="276" t="str">
        <f>IFERROR(__xludf.DUMMYFUNCTION("""COMPUTED_VALUE"""),"Lower parel")</f>
        <v>Lower parel</v>
      </c>
      <c r="G344" s="276" t="str">
        <f>IFERROR(__xludf.DUMMYFUNCTION("""COMPUTED_VALUE"""),"Shravani")</f>
        <v>Shravani</v>
      </c>
      <c r="H344" s="276" t="str">
        <f>IFERROR(__xludf.DUMMYFUNCTION("""COMPUTED_VALUE"""),"2 Feb: He need a coworking space in Borivali")</f>
        <v>2 Feb: He need a coworking space in Borivali</v>
      </c>
    </row>
    <row r="345">
      <c r="A345" s="400">
        <f>IFERROR(__xludf.DUMMYFUNCTION("""COMPUTED_VALUE"""),46055.0)</f>
        <v>46055</v>
      </c>
      <c r="B345" s="276" t="str">
        <f>IFERROR(__xludf.DUMMYFUNCTION("""COMPUTED_VALUE"""),"Jawaharlal Panjabi")</f>
        <v>Jawaharlal Panjabi</v>
      </c>
      <c r="C345" s="276" t="str">
        <f>IFERROR(__xludf.DUMMYFUNCTION("""COMPUTED_VALUE"""),"Reliance International Holdings")</f>
        <v>Reliance International Holdings</v>
      </c>
      <c r="D345" s="276" t="str">
        <f>IFERROR(__xludf.DUMMYFUNCTION("""COMPUTED_VALUE"""),"Hold")</f>
        <v>Hold</v>
      </c>
      <c r="E345" s="276" t="str">
        <f>IFERROR(__xludf.DUMMYFUNCTION("""COMPUTED_VALUE"""),"Lower Parel")</f>
        <v>Lower Parel</v>
      </c>
      <c r="F345" s="276" t="str">
        <f>IFERROR(__xludf.DUMMYFUNCTION("""COMPUTED_VALUE"""),"Lower parel")</f>
        <v>Lower parel</v>
      </c>
      <c r="G345" s="276" t="str">
        <f>IFERROR(__xludf.DUMMYFUNCTION("""COMPUTED_VALUE"""),"Shravani")</f>
        <v>Shravani</v>
      </c>
      <c r="H345" s="276" t="str">
        <f>IFERROR(__xludf.DUMMYFUNCTION("""COMPUTED_VALUE"""),"26 May: Ringing. 16 Feb: Dropped his requirement. 3 Feb: Ringing. 2 Feb: Busy on call.")</f>
        <v>26 May: Ringing. 16 Feb: Dropped his requirement. 3 Feb: Ringing. 2 Feb: Busy on call.</v>
      </c>
    </row>
    <row r="346">
      <c r="A346" s="400">
        <f>IFERROR(__xludf.DUMMYFUNCTION("""COMPUTED_VALUE"""),46055.0)</f>
        <v>46055</v>
      </c>
      <c r="B346" s="276" t="str">
        <f>IFERROR(__xludf.DUMMYFUNCTION("""COMPUTED_VALUE"""),"Jay Manek")</f>
        <v>Jay Manek</v>
      </c>
      <c r="C346" s="276" t="str">
        <f>IFERROR(__xludf.DUMMYFUNCTION("""COMPUTED_VALUE"""),"Manek Ventures")</f>
        <v>Manek Ventures</v>
      </c>
      <c r="D346" s="276" t="str">
        <f>IFERROR(__xludf.DUMMYFUNCTION("""COMPUTED_VALUE"""),"Cold")</f>
        <v>Cold</v>
      </c>
      <c r="E346" s="276" t="str">
        <f>IFERROR(__xludf.DUMMYFUNCTION("""COMPUTED_VALUE"""),"Lower Parel")</f>
        <v>Lower Parel</v>
      </c>
      <c r="F346" s="276" t="str">
        <f>IFERROR(__xludf.DUMMYFUNCTION("""COMPUTED_VALUE"""),"Lower parel")</f>
        <v>Lower parel</v>
      </c>
      <c r="G346" s="276" t="str">
        <f>IFERROR(__xludf.DUMMYFUNCTION("""COMPUTED_VALUE"""),"Shravani")</f>
        <v>Shravani</v>
      </c>
      <c r="H346" s="276" t="str">
        <f>IFERROR(__xludf.DUMMYFUNCTION("""COMPUTED_VALUE"""),"26 May: Requirement is fulfilled. 9 March: Ringing. 21 Feb: Ringing. 16 Feb: Ringing. 3 Feb: Declined the call. 2 Feb: He has asked me to call tomorrow at 12pm")</f>
        <v>26 May: Requirement is fulfilled. 9 March: Ringing. 21 Feb: Ringing. 16 Feb: Ringing. 3 Feb: Declined the call. 2 Feb: He has asked me to call tomorrow at 12pm</v>
      </c>
    </row>
    <row r="347">
      <c r="A347" s="400">
        <f>IFERROR(__xludf.DUMMYFUNCTION("""COMPUTED_VALUE"""),46055.0)</f>
        <v>46055</v>
      </c>
      <c r="B347" s="276" t="str">
        <f>IFERROR(__xludf.DUMMYFUNCTION("""COMPUTED_VALUE"""),"Qazi Niyaz Haque")</f>
        <v>Qazi Niyaz Haque</v>
      </c>
      <c r="C347" s="276" t="str">
        <f>IFERROR(__xludf.DUMMYFUNCTION("""COMPUTED_VALUE"""),"Cotton Culture")</f>
        <v>Cotton Culture</v>
      </c>
      <c r="D347" s="276" t="str">
        <f>IFERROR(__xludf.DUMMYFUNCTION("""COMPUTED_VALUE"""),"Cold")</f>
        <v>Cold</v>
      </c>
      <c r="E347" s="276" t="str">
        <f>IFERROR(__xludf.DUMMYFUNCTION("""COMPUTED_VALUE"""),"Lower Parel")</f>
        <v>Lower Parel</v>
      </c>
      <c r="F347" s="276" t="str">
        <f>IFERROR(__xludf.DUMMYFUNCTION("""COMPUTED_VALUE"""),"Lower parel")</f>
        <v>Lower parel</v>
      </c>
      <c r="G347" s="276" t="str">
        <f>IFERROR(__xludf.DUMMYFUNCTION("""COMPUTED_VALUE"""),"Shravani")</f>
        <v>Shravani</v>
      </c>
      <c r="H347" s="276" t="str">
        <f>IFERROR(__xludf.DUMMYFUNCTION("""COMPUTED_VALUE"""),"26 May: Ringing. 9 March: Declined the call. 21 Feb: Declined the call. 16 Feb: Ringing. 3 Feb: Declined the cal. 2 Feb: Ringing")</f>
        <v>26 May: Ringing. 9 March: Declined the call. 21 Feb: Declined the call. 16 Feb: Ringing. 3 Feb: Declined the cal. 2 Feb: Ringing</v>
      </c>
    </row>
    <row r="348">
      <c r="A348" s="400">
        <f>IFERROR(__xludf.DUMMYFUNCTION("""COMPUTED_VALUE"""),46055.0)</f>
        <v>46055</v>
      </c>
      <c r="B348" s="276" t="str">
        <f>IFERROR(__xludf.DUMMYFUNCTION("""COMPUTED_VALUE"""),"Sudhir Kumar Sah")</f>
        <v>Sudhir Kumar Sah</v>
      </c>
      <c r="C348" s="276" t="str">
        <f>IFERROR(__xludf.DUMMYFUNCTION("""COMPUTED_VALUE"""),"Ansh Career Consultancy ")</f>
        <v>Ansh Career Consultancy </v>
      </c>
      <c r="D348" s="276" t="str">
        <f>IFERROR(__xludf.DUMMYFUNCTION("""COMPUTED_VALUE"""),"Lost")</f>
        <v>Lost</v>
      </c>
      <c r="E348" s="276" t="str">
        <f>IFERROR(__xludf.DUMMYFUNCTION("""COMPUTED_VALUE"""),"Lower Parel")</f>
        <v>Lower Parel</v>
      </c>
      <c r="F348" s="276" t="str">
        <f>IFERROR(__xludf.DUMMYFUNCTION("""COMPUTED_VALUE"""),"Lower parel")</f>
        <v>Lower parel</v>
      </c>
      <c r="G348" s="276" t="str">
        <f>IFERROR(__xludf.DUMMYFUNCTION("""COMPUTED_VALUE"""),"Shravani")</f>
        <v>Shravani</v>
      </c>
      <c r="H348" s="276" t="str">
        <f>IFERROR(__xludf.DUMMYFUNCTION("""COMPUTED_VALUE"""),"21 Feb: He already took an office. 16 Feb: Ringing. 3 Feb: Ringing. 2 Feb: Ringing")</f>
        <v>21 Feb: He already took an office. 16 Feb: Ringing. 3 Feb: Ringing. 2 Feb: Ringing</v>
      </c>
    </row>
    <row r="349">
      <c r="A349" s="400">
        <f>IFERROR(__xludf.DUMMYFUNCTION("""COMPUTED_VALUE"""),46055.0)</f>
        <v>46055</v>
      </c>
      <c r="B349" s="276" t="str">
        <f>IFERROR(__xludf.DUMMYFUNCTION("""COMPUTED_VALUE"""),"Rahul  Mehta")</f>
        <v>Rahul  Mehta</v>
      </c>
      <c r="C349" s="276" t="str">
        <f>IFERROR(__xludf.DUMMYFUNCTION("""COMPUTED_VALUE"""),"Diarah")</f>
        <v>Diarah</v>
      </c>
      <c r="D349" s="276" t="str">
        <f>IFERROR(__xludf.DUMMYFUNCTION("""COMPUTED_VALUE"""),"Hot")</f>
        <v>Hot</v>
      </c>
      <c r="E349" s="276" t="str">
        <f>IFERROR(__xludf.DUMMYFUNCTION("""COMPUTED_VALUE"""),"Lower Parel")</f>
        <v>Lower Parel</v>
      </c>
      <c r="F349" s="276" t="str">
        <f>IFERROR(__xludf.DUMMYFUNCTION("""COMPUTED_VALUE"""),"Lower parel")</f>
        <v>Lower parel</v>
      </c>
      <c r="G349" s="276" t="str">
        <f>IFERROR(__xludf.DUMMYFUNCTION("""COMPUTED_VALUE"""),"Shravani")</f>
        <v>Shravani</v>
      </c>
      <c r="H349" s="276" t="str">
        <f>IFERROR(__xludf.DUMMYFUNCTION("""COMPUTED_VALUE"""),"26 May: Ringing. 9 March: He will call me after few days. 26 Feb: He said he will call be back tomorrow. 17 Feb: He will get back to me by next week as he is out of India. 16 Feb: Sent a followup mail. 2 Feb: He has asked me to share details on mail.")</f>
        <v>26 May: Ringing. 9 March: He will call me after few days. 26 Feb: He said he will call be back tomorrow. 17 Feb: He will get back to me by next week as he is out of India. 16 Feb: Sent a followup mail. 2 Feb: He has asked me to share details on mail.</v>
      </c>
    </row>
    <row r="350">
      <c r="A350" s="400">
        <f>IFERROR(__xludf.DUMMYFUNCTION("""COMPUTED_VALUE"""),46055.0)</f>
        <v>46055</v>
      </c>
      <c r="B350" s="276" t="str">
        <f>IFERROR(__xludf.DUMMYFUNCTION("""COMPUTED_VALUE"""),"Rikin Doshi")</f>
        <v>Rikin Doshi</v>
      </c>
      <c r="C350" s="276" t="str">
        <f>IFERROR(__xludf.DUMMYFUNCTION("""COMPUTED_VALUE"""),"Flying Pencil")</f>
        <v>Flying Pencil</v>
      </c>
      <c r="D350" s="276" t="str">
        <f>IFERROR(__xludf.DUMMYFUNCTION("""COMPUTED_VALUE"""),"Lost")</f>
        <v>Lost</v>
      </c>
      <c r="E350" s="276" t="str">
        <f>IFERROR(__xludf.DUMMYFUNCTION("""COMPUTED_VALUE"""),"Lower Parel")</f>
        <v>Lower Parel</v>
      </c>
      <c r="F350" s="276" t="str">
        <f>IFERROR(__xludf.DUMMYFUNCTION("""COMPUTED_VALUE"""),"Lower parel")</f>
        <v>Lower parel</v>
      </c>
      <c r="G350" s="276" t="str">
        <f>IFERROR(__xludf.DUMMYFUNCTION("""COMPUTED_VALUE"""),"Shravani")</f>
        <v>Shravani</v>
      </c>
      <c r="H350" s="276" t="str">
        <f>IFERROR(__xludf.DUMMYFUNCTION("""COMPUTED_VALUE"""),"2 Feb: He is in touch with shubham as he is looking for an office in Andheri.")</f>
        <v>2 Feb: He is in touch with shubham as he is looking for an office in Andheri.</v>
      </c>
    </row>
    <row r="351">
      <c r="A351" s="400">
        <f>IFERROR(__xludf.DUMMYFUNCTION("""COMPUTED_VALUE"""),46055.0)</f>
        <v>46055</v>
      </c>
      <c r="B351" s="276" t="str">
        <f>IFERROR(__xludf.DUMMYFUNCTION("""COMPUTED_VALUE"""),"Yash Jhaveri")</f>
        <v>Yash Jhaveri</v>
      </c>
      <c r="C351" s="276" t="str">
        <f>IFERROR(__xludf.DUMMYFUNCTION("""COMPUTED_VALUE"""),"Lightalive Solution")</f>
        <v>Lightalive Solution</v>
      </c>
      <c r="D351" s="276" t="str">
        <f>IFERROR(__xludf.DUMMYFUNCTION("""COMPUTED_VALUE"""),"Lost")</f>
        <v>Lost</v>
      </c>
      <c r="E351" s="276" t="str">
        <f>IFERROR(__xludf.DUMMYFUNCTION("""COMPUTED_VALUE"""),"Lower Parel")</f>
        <v>Lower Parel</v>
      </c>
      <c r="F351" s="276" t="str">
        <f>IFERROR(__xludf.DUMMYFUNCTION("""COMPUTED_VALUE"""),"Lower parel")</f>
        <v>Lower parel</v>
      </c>
      <c r="G351" s="276" t="str">
        <f>IFERROR(__xludf.DUMMYFUNCTION("""COMPUTED_VALUE"""),"Shravani")</f>
        <v>Shravani</v>
      </c>
      <c r="H351" s="276" t="str">
        <f>IFERROR(__xludf.DUMMYFUNCTION("""COMPUTED_VALUE"""),"16 Feb: He is not looking for any space. 3 Feb: Ringing, dropped a text. 2 Feb: Declined the call.")</f>
        <v>16 Feb: He is not looking for any space. 3 Feb: Ringing, dropped a text. 2 Feb: Declined the call.</v>
      </c>
    </row>
    <row r="352">
      <c r="A352" s="400">
        <f>IFERROR(__xludf.DUMMYFUNCTION("""COMPUTED_VALUE"""),46056.0)</f>
        <v>46056</v>
      </c>
      <c r="B352" s="276" t="str">
        <f>IFERROR(__xludf.DUMMYFUNCTION("""COMPUTED_VALUE"""),"Indra Sheth")</f>
        <v>Indra Sheth</v>
      </c>
      <c r="C352" s="276" t="str">
        <f>IFERROR(__xludf.DUMMYFUNCTION("""COMPUTED_VALUE"""),"Nirmal")</f>
        <v>Nirmal</v>
      </c>
      <c r="D352" s="276" t="str">
        <f>IFERROR(__xludf.DUMMYFUNCTION("""COMPUTED_VALUE"""),"Warm")</f>
        <v>Warm</v>
      </c>
      <c r="E352" s="276" t="str">
        <f>IFERROR(__xludf.DUMMYFUNCTION("""COMPUTED_VALUE"""),"Lower Parel")</f>
        <v>Lower Parel</v>
      </c>
      <c r="F352" s="276" t="str">
        <f>IFERROR(__xludf.DUMMYFUNCTION("""COMPUTED_VALUE"""),"Lower parel")</f>
        <v>Lower parel</v>
      </c>
      <c r="G352" s="276" t="str">
        <f>IFERROR(__xludf.DUMMYFUNCTION("""COMPUTED_VALUE"""),"Shravani")</f>
        <v>Shravani</v>
      </c>
      <c r="H352" s="276" t="str">
        <f>IFERROR(__xludf.DUMMYFUNCTION("""COMPUTED_VALUE"""),"9 March: He have asked me to share the details on whatsapp. 16 Feb: Ringing. 3 Feb: He will call me back")</f>
        <v>9 March: He have asked me to share the details on whatsapp. 16 Feb: Ringing. 3 Feb: He will call me back</v>
      </c>
    </row>
    <row r="353">
      <c r="A353" s="400">
        <f>IFERROR(__xludf.DUMMYFUNCTION("""COMPUTED_VALUE"""),46056.0)</f>
        <v>46056</v>
      </c>
      <c r="B353" s="276" t="str">
        <f>IFERROR(__xludf.DUMMYFUNCTION("""COMPUTED_VALUE"""),"Niraj Shukla")</f>
        <v>Niraj Shukla</v>
      </c>
      <c r="C353" s="276" t="str">
        <f>IFERROR(__xludf.DUMMYFUNCTION("""COMPUTED_VALUE"""),"Auby Satellite Communications Pvt Ltd")</f>
        <v>Auby Satellite Communications Pvt Ltd</v>
      </c>
      <c r="D353" s="276" t="str">
        <f>IFERROR(__xludf.DUMMYFUNCTION("""COMPUTED_VALUE"""),"Warm")</f>
        <v>Warm</v>
      </c>
      <c r="E353" s="276" t="str">
        <f>IFERROR(__xludf.DUMMYFUNCTION("""COMPUTED_VALUE"""),"Lower Parel")</f>
        <v>Lower Parel</v>
      </c>
      <c r="F353" s="276" t="str">
        <f>IFERROR(__xludf.DUMMYFUNCTION("""COMPUTED_VALUE"""),"Lower parel")</f>
        <v>Lower parel</v>
      </c>
      <c r="G353" s="276" t="str">
        <f>IFERROR(__xludf.DUMMYFUNCTION("""COMPUTED_VALUE"""),"Shravani")</f>
        <v>Shravani</v>
      </c>
      <c r="H353" s="276" t="str">
        <f>IFERROR(__xludf.DUMMYFUNCTION("""COMPUTED_VALUE"""),"25 May: He have purchased a new space in borivali. 9 March: He will visit on Thursday. 16 Feb: He is singapore and will be back on 24 Feb post that he will be available for a visit. 3 Feb: He will be visiting on thursday or friday.")</f>
        <v>25 May: He have purchased a new space in borivali. 9 March: He will visit on Thursday. 16 Feb: He is singapore and will be back on 24 Feb post that he will be available for a visit. 3 Feb: He will be visiting on thursday or friday.</v>
      </c>
    </row>
    <row r="354">
      <c r="A354" s="400">
        <f>IFERROR(__xludf.DUMMYFUNCTION("""COMPUTED_VALUE"""),46057.0)</f>
        <v>46057</v>
      </c>
      <c r="B354" s="276" t="str">
        <f>IFERROR(__xludf.DUMMYFUNCTION("""COMPUTED_VALUE"""),"Nilima  Biswas")</f>
        <v>Nilima  Biswas</v>
      </c>
      <c r="C354" s="276" t="str">
        <f>IFERROR(__xludf.DUMMYFUNCTION("""COMPUTED_VALUE"""),"ICICI Bank")</f>
        <v>ICICI Bank</v>
      </c>
      <c r="D354" s="276" t="str">
        <f>IFERROR(__xludf.DUMMYFUNCTION("""COMPUTED_VALUE"""),"Hold")</f>
        <v>Hold</v>
      </c>
      <c r="E354" s="276" t="str">
        <f>IFERROR(__xludf.DUMMYFUNCTION("""COMPUTED_VALUE"""),"Lower Parel")</f>
        <v>Lower Parel</v>
      </c>
      <c r="F354" s="276" t="str">
        <f>IFERROR(__xludf.DUMMYFUNCTION("""COMPUTED_VALUE"""),"Lower parel")</f>
        <v>Lower parel</v>
      </c>
      <c r="G354" s="276" t="str">
        <f>IFERROR(__xludf.DUMMYFUNCTION("""COMPUTED_VALUE"""),"Shravani")</f>
        <v>Shravani</v>
      </c>
      <c r="H354" s="276" t="str">
        <f>IFERROR(__xludf.DUMMYFUNCTION("""COMPUTED_VALUE"""),"25 May: Ringing. 21 Feb: She is not looking for a  office currently. 16 Feb: Ringing. 5 Feb: She has asked me to share the details.")</f>
        <v>25 May: Ringing. 21 Feb: She is not looking for a  office currently. 16 Feb: Ringing. 5 Feb: She has asked me to share the details.</v>
      </c>
    </row>
    <row r="355">
      <c r="A355" s="400">
        <f>IFERROR(__xludf.DUMMYFUNCTION("""COMPUTED_VALUE"""),46057.0)</f>
        <v>46057</v>
      </c>
      <c r="B355" s="276" t="str">
        <f>IFERROR(__xludf.DUMMYFUNCTION("""COMPUTED_VALUE"""),"Ashit Doshi")</f>
        <v>Ashit Doshi</v>
      </c>
      <c r="C355" s="276"/>
      <c r="D355" s="276" t="str">
        <f>IFERROR(__xludf.DUMMYFUNCTION("""COMPUTED_VALUE"""),"Warm")</f>
        <v>Warm</v>
      </c>
      <c r="E355" s="276" t="str">
        <f>IFERROR(__xludf.DUMMYFUNCTION("""COMPUTED_VALUE"""),"Lower Parel")</f>
        <v>Lower Parel</v>
      </c>
      <c r="F355" s="276" t="str">
        <f>IFERROR(__xludf.DUMMYFUNCTION("""COMPUTED_VALUE"""),"Lower parel")</f>
        <v>Lower parel</v>
      </c>
      <c r="G355" s="276" t="str">
        <f>IFERROR(__xludf.DUMMYFUNCTION("""COMPUTED_VALUE"""),"Shravani")</f>
        <v>Shravani</v>
      </c>
      <c r="H355" s="276" t="str">
        <f>IFERROR(__xludf.DUMMYFUNCTION("""COMPUTED_VALUE"""),"25th May: 5 Seater Cabin. 9 March: Ringing, declined the call. 21 Feb: He will try to come today. 16 Feb: Busy on call. 5 Feb: He will try to visit on Monday. ")</f>
        <v>25th May: 5 Seater Cabin. 9 March: Ringing, declined the call. 21 Feb: He will try to come today. 16 Feb: Busy on call. 5 Feb: He will try to visit on Monday. </v>
      </c>
    </row>
    <row r="356">
      <c r="A356" s="400">
        <f>IFERROR(__xludf.DUMMYFUNCTION("""COMPUTED_VALUE"""),46057.0)</f>
        <v>46057</v>
      </c>
      <c r="B356" s="276" t="str">
        <f>IFERROR(__xludf.DUMMYFUNCTION("""COMPUTED_VALUE"""),"Maunil Modi")</f>
        <v>Maunil Modi</v>
      </c>
      <c r="C356" s="276" t="str">
        <f>IFERROR(__xludf.DUMMYFUNCTION("""COMPUTED_VALUE"""),"Veltora Technologies PVt Ltd")</f>
        <v>Veltora Technologies PVt Ltd</v>
      </c>
      <c r="D356" s="276" t="str">
        <f>IFERROR(__xludf.DUMMYFUNCTION("""COMPUTED_VALUE"""),"Warm")</f>
        <v>Warm</v>
      </c>
      <c r="E356" s="276" t="str">
        <f>IFERROR(__xludf.DUMMYFUNCTION("""COMPUTED_VALUE"""),"Lower Parel")</f>
        <v>Lower Parel</v>
      </c>
      <c r="F356" s="276" t="str">
        <f>IFERROR(__xludf.DUMMYFUNCTION("""COMPUTED_VALUE"""),"Lower parel")</f>
        <v>Lower parel</v>
      </c>
      <c r="G356" s="276" t="str">
        <f>IFERROR(__xludf.DUMMYFUNCTION("""COMPUTED_VALUE"""),"Shravani")</f>
        <v>Shravani</v>
      </c>
      <c r="H356" s="276" t="str">
        <f>IFERROR(__xludf.DUMMYFUNCTION("""COMPUTED_VALUE"""),"25th May: Ringing. 9 March: Ringing, dropped a text. 21 Feb: he will try to come today. 16 Feb: Ringing. 12 Feb: Switched off. 5 Feb: He is coming today for the visit. 4 Feb: Ringing.")</f>
        <v>25th May: Ringing. 9 March: Ringing, dropped a text. 21 Feb: he will try to come today. 16 Feb: Ringing. 12 Feb: Switched off. 5 Feb: He is coming today for the visit. 4 Feb: Ringing.</v>
      </c>
    </row>
    <row r="357">
      <c r="A357" s="400">
        <f>IFERROR(__xludf.DUMMYFUNCTION("""COMPUTED_VALUE"""),46057.0)</f>
        <v>46057</v>
      </c>
      <c r="B357" s="276" t="str">
        <f>IFERROR(__xludf.DUMMYFUNCTION("""COMPUTED_VALUE"""),"Bhavesh  Gandhi")</f>
        <v>Bhavesh  Gandhi</v>
      </c>
      <c r="C357" s="276" t="str">
        <f>IFERROR(__xludf.DUMMYFUNCTION("""COMPUTED_VALUE"""),"Career Counseler")</f>
        <v>Career Counseler</v>
      </c>
      <c r="D357" s="276" t="str">
        <f>IFERROR(__xludf.DUMMYFUNCTION("""COMPUTED_VALUE"""),"Warm")</f>
        <v>Warm</v>
      </c>
      <c r="E357" s="276" t="str">
        <f>IFERROR(__xludf.DUMMYFUNCTION("""COMPUTED_VALUE"""),"Lower Parel")</f>
        <v>Lower Parel</v>
      </c>
      <c r="F357" s="276" t="str">
        <f>IFERROR(__xludf.DUMMYFUNCTION("""COMPUTED_VALUE"""),"Lower parel")</f>
        <v>Lower parel</v>
      </c>
      <c r="G357" s="276" t="str">
        <f>IFERROR(__xludf.DUMMYFUNCTION("""COMPUTED_VALUE"""),"Shravani")</f>
        <v>Shravani</v>
      </c>
      <c r="H357" s="276" t="str">
        <f>IFERROR(__xludf.DUMMYFUNCTION("""COMPUTED_VALUE"""),"25th May: he got a office in Goregaon. 9 March: Ringing, Dropped a text. 21 Feb: Disconnected the call. 16 Feb: Ringing. 12 Feb: He will get back to me after 2 days. 5 Feb: Ringing, dropped a text. 4 Feb: He has asked me to share images and details on wha"&amp;"tsapp")</f>
        <v>25th May: he got a office in Goregaon. 9 March: Ringing, Dropped a text. 21 Feb: Disconnected the call. 16 Feb: Ringing. 12 Feb: He will get back to me after 2 days. 5 Feb: Ringing, dropped a text. 4 Feb: He has asked me to share images and details on whatsapp</v>
      </c>
    </row>
    <row r="358">
      <c r="A358" s="400">
        <f>IFERROR(__xludf.DUMMYFUNCTION("""COMPUTED_VALUE"""),46058.0)</f>
        <v>46058</v>
      </c>
      <c r="B358" s="276" t="str">
        <f>IFERROR(__xludf.DUMMYFUNCTION("""COMPUTED_VALUE"""),"Sonu  Gupta")</f>
        <v>Sonu  Gupta</v>
      </c>
      <c r="C358" s="276"/>
      <c r="D358" s="276" t="str">
        <f>IFERROR(__xludf.DUMMYFUNCTION("""COMPUTED_VALUE"""),"Lost")</f>
        <v>Lost</v>
      </c>
      <c r="E358" s="276" t="str">
        <f>IFERROR(__xludf.DUMMYFUNCTION("""COMPUTED_VALUE"""),"Lower Parel")</f>
        <v>Lower Parel</v>
      </c>
      <c r="F358" s="276" t="str">
        <f>IFERROR(__xludf.DUMMYFUNCTION("""COMPUTED_VALUE"""),"Lower parel")</f>
        <v>Lower parel</v>
      </c>
      <c r="G358" s="276" t="str">
        <f>IFERROR(__xludf.DUMMYFUNCTION("""COMPUTED_VALUE"""),"Shravani")</f>
        <v>Shravani</v>
      </c>
      <c r="H358" s="276" t="str">
        <f>IFERROR(__xludf.DUMMYFUNCTION("""COMPUTED_VALUE"""),"12 Feb: He has a budget of 1 lac. 5 Feb: He wants a office in Andheri. Sharing with him the details of Crescent.")</f>
        <v>12 Feb: He has a budget of 1 lac. 5 Feb: He wants a office in Andheri. Sharing with him the details of Crescent.</v>
      </c>
    </row>
    <row r="359">
      <c r="A359" s="400">
        <f>IFERROR(__xludf.DUMMYFUNCTION("""COMPUTED_VALUE"""),46058.0)</f>
        <v>46058</v>
      </c>
      <c r="B359" s="276" t="str">
        <f>IFERROR(__xludf.DUMMYFUNCTION("""COMPUTED_VALUE"""),"Piyush Rawat")</f>
        <v>Piyush Rawat</v>
      </c>
      <c r="C359" s="276" t="str">
        <f>IFERROR(__xludf.DUMMYFUNCTION("""COMPUTED_VALUE"""),"Urbanclap Technologies")</f>
        <v>Urbanclap Technologies</v>
      </c>
      <c r="D359" s="276" t="str">
        <f>IFERROR(__xludf.DUMMYFUNCTION("""COMPUTED_VALUE"""),"Warm")</f>
        <v>Warm</v>
      </c>
      <c r="E359" s="276" t="str">
        <f>IFERROR(__xludf.DUMMYFUNCTION("""COMPUTED_VALUE"""),"Lower Parel")</f>
        <v>Lower Parel</v>
      </c>
      <c r="F359" s="276" t="str">
        <f>IFERROR(__xludf.DUMMYFUNCTION("""COMPUTED_VALUE"""),"Lower parel")</f>
        <v>Lower parel</v>
      </c>
      <c r="G359" s="276" t="str">
        <f>IFERROR(__xludf.DUMMYFUNCTION("""COMPUTED_VALUE"""),"Shravani")</f>
        <v>Shravani</v>
      </c>
      <c r="H359" s="276" t="str">
        <f>IFERROR(__xludf.DUMMYFUNCTION("""COMPUTED_VALUE"""),"25th May: Ringing. 9 March: Ringing, dropped a text. 21 Feb: Ringing. 16 Feb: He will call me after few days. 13 Feb: Ringing. 12 Feb: he will call me back after some time. 5 Feb: Ringing")</f>
        <v>25th May: Ringing. 9 March: Ringing, dropped a text. 21 Feb: Ringing. 16 Feb: He will call me after few days. 13 Feb: Ringing. 12 Feb: he will call me back after some time. 5 Feb: Ringing</v>
      </c>
    </row>
    <row r="360">
      <c r="A360" s="400">
        <f>IFERROR(__xludf.DUMMYFUNCTION("""COMPUTED_VALUE"""),46060.0)</f>
        <v>46060</v>
      </c>
      <c r="B360" s="276" t="str">
        <f>IFERROR(__xludf.DUMMYFUNCTION("""COMPUTED_VALUE"""),"Dhawal  Jain ")</f>
        <v>Dhawal  Jain </v>
      </c>
      <c r="C360" s="276" t="str">
        <f>IFERROR(__xludf.DUMMYFUNCTION("""COMPUTED_VALUE"""),"Nuvama Wealth ")</f>
        <v>Nuvama Wealth </v>
      </c>
      <c r="D360" s="276" t="str">
        <f>IFERROR(__xludf.DUMMYFUNCTION("""COMPUTED_VALUE"""),"Hold")</f>
        <v>Hold</v>
      </c>
      <c r="E360" s="276" t="str">
        <f>IFERROR(__xludf.DUMMYFUNCTION("""COMPUTED_VALUE"""),"Lower Parel")</f>
        <v>Lower Parel</v>
      </c>
      <c r="F360" s="276" t="str">
        <f>IFERROR(__xludf.DUMMYFUNCTION("""COMPUTED_VALUE"""),"Lower parel")</f>
        <v>Lower parel</v>
      </c>
      <c r="G360" s="276" t="str">
        <f>IFERROR(__xludf.DUMMYFUNCTION("""COMPUTED_VALUE"""),"Shubham ")</f>
        <v>Shubham </v>
      </c>
      <c r="H360" s="276" t="str">
        <f>IFERROR(__xludf.DUMMYFUNCTION("""COMPUTED_VALUE"""),"9 March: His requirement is on hold and will be back post April. 21 Feb: Ringing. 18  Feb: Ringing. 16 Feb: Ringing. 13 Feb: He will call me tomorrow as he is occupied with some work. 12 Feb: He is in a meeting will call me back. 7 Feb: Spoke. He said cur"&amp;"rently in meeting drop a text ")</f>
        <v>9 March: His requirement is on hold and will be back post April. 21 Feb: Ringing. 18  Feb: Ringing. 16 Feb: Ringing. 13 Feb: He will call me tomorrow as he is occupied with some work. 12 Feb: He is in a meeting will call me back. 7 Feb: Spoke. He said currently in meeting drop a text </v>
      </c>
    </row>
    <row r="361">
      <c r="A361" s="400">
        <f>IFERROR(__xludf.DUMMYFUNCTION("""COMPUTED_VALUE"""),46060.0)</f>
        <v>46060</v>
      </c>
      <c r="B361" s="276" t="str">
        <f>IFERROR(__xludf.DUMMYFUNCTION("""COMPUTED_VALUE"""),"Malcolm Athaide ")</f>
        <v>Malcolm Athaide </v>
      </c>
      <c r="C361" s="276" t="str">
        <f>IFERROR(__xludf.DUMMYFUNCTION("""COMPUTED_VALUE"""),"Agrim Housing finance pvt LTD")</f>
        <v>Agrim Housing finance pvt LTD</v>
      </c>
      <c r="D361" s="276" t="str">
        <f>IFERROR(__xludf.DUMMYFUNCTION("""COMPUTED_VALUE"""),"Cold")</f>
        <v>Cold</v>
      </c>
      <c r="E361" s="276" t="str">
        <f>IFERROR(__xludf.DUMMYFUNCTION("""COMPUTED_VALUE"""),"Lower Parel")</f>
        <v>Lower Parel</v>
      </c>
      <c r="F361" s="276" t="str">
        <f>IFERROR(__xludf.DUMMYFUNCTION("""COMPUTED_VALUE"""),"Lower parel")</f>
        <v>Lower parel</v>
      </c>
      <c r="G361" s="276" t="str">
        <f>IFERROR(__xludf.DUMMYFUNCTION("""COMPUTED_VALUE"""),"Shubham ")</f>
        <v>Shubham </v>
      </c>
      <c r="H361" s="276" t="str">
        <f>IFERROR(__xludf.DUMMYFUNCTION("""COMPUTED_VALUE"""),"25th May: Ringing. 9 March: Declined the call, dropped a text. 21 Feb: Ringing. 16 Feb: Declined the call. 13 Feb: Ringing, Dropped a text. 12 Feb: Ringing. 7 Feb: He disconnected my call I have dropped a text ")</f>
        <v>25th May: Ringing. 9 March: Declined the call, dropped a text. 21 Feb: Ringing. 16 Feb: Declined the call. 13 Feb: Ringing, Dropped a text. 12 Feb: Ringing. 7 Feb: He disconnected my call I have dropped a text </v>
      </c>
    </row>
    <row r="362">
      <c r="A362" s="400">
        <f>IFERROR(__xludf.DUMMYFUNCTION("""COMPUTED_VALUE"""),46060.0)</f>
        <v>46060</v>
      </c>
      <c r="B362" s="276" t="str">
        <f>IFERROR(__xludf.DUMMYFUNCTION("""COMPUTED_VALUE"""),"Darshil  Shah ")</f>
        <v>Darshil  Shah </v>
      </c>
      <c r="C362" s="276" t="str">
        <f>IFERROR(__xludf.DUMMYFUNCTION("""COMPUTED_VALUE"""),"Blazonion")</f>
        <v>Blazonion</v>
      </c>
      <c r="D362" s="276" t="str">
        <f>IFERROR(__xludf.DUMMYFUNCTION("""COMPUTED_VALUE"""),"Cold")</f>
        <v>Cold</v>
      </c>
      <c r="E362" s="276" t="str">
        <f>IFERROR(__xludf.DUMMYFUNCTION("""COMPUTED_VALUE"""),"Lower Parel")</f>
        <v>Lower Parel</v>
      </c>
      <c r="F362" s="276" t="str">
        <f>IFERROR(__xludf.DUMMYFUNCTION("""COMPUTED_VALUE"""),"Lower parel")</f>
        <v>Lower parel</v>
      </c>
      <c r="G362" s="276" t="str">
        <f>IFERROR(__xludf.DUMMYFUNCTION("""COMPUTED_VALUE"""),"Shubham ")</f>
        <v>Shubham </v>
      </c>
      <c r="H362" s="276" t="str">
        <f>IFERROR(__xludf.DUMMYFUNCTION("""COMPUTED_VALUE"""),"7 Feb: Spoke to Darshil Shah. He is looking for a photo studio setup of about 500sqft along with 5 w.s. Current office is in Andheri West of about 2000 sqft and they pay around 3 lakhs there as a rental. Their Tenure is expiring in April and may. This guy"&amp;" is the founder and lives in Grant road. Not a super urgent requirement but he can come for a visit if we can structure something better")</f>
        <v>7 Feb: Spoke to Darshil Shah. He is looking for a photo studio setup of about 500sqft along with 5 w.s. Current office is in Andheri West of about 2000 sqft and they pay around 3 lakhs there as a rental. Their Tenure is expiring in April and may. This guy is the founder and lives in Grant road. Not a super urgent requirement but he can come for a visit if we can structure something better</v>
      </c>
    </row>
    <row r="363">
      <c r="A363" s="400">
        <f>IFERROR(__xludf.DUMMYFUNCTION("""COMPUTED_VALUE"""),46060.0)</f>
        <v>46060</v>
      </c>
      <c r="B363" s="276" t="str">
        <f>IFERROR(__xludf.DUMMYFUNCTION("""COMPUTED_VALUE"""),"Anant  Khamankar ")</f>
        <v>Anant  Khamankar </v>
      </c>
      <c r="C363" s="276" t="str">
        <f>IFERROR(__xludf.DUMMYFUNCTION("""COMPUTED_VALUE"""),"Anant B. Khamankar &amp; co. ")</f>
        <v>Anant B. Khamankar &amp; co. </v>
      </c>
      <c r="D363" s="276" t="str">
        <f>IFERROR(__xludf.DUMMYFUNCTION("""COMPUTED_VALUE"""),"Cold")</f>
        <v>Cold</v>
      </c>
      <c r="E363" s="276" t="str">
        <f>IFERROR(__xludf.DUMMYFUNCTION("""COMPUTED_VALUE"""),"Lower Parel")</f>
        <v>Lower Parel</v>
      </c>
      <c r="F363" s="276" t="str">
        <f>IFERROR(__xludf.DUMMYFUNCTION("""COMPUTED_VALUE"""),"Lower parel")</f>
        <v>Lower parel</v>
      </c>
      <c r="G363" s="276" t="str">
        <f>IFERROR(__xludf.DUMMYFUNCTION("""COMPUTED_VALUE"""),"Shubham ")</f>
        <v>Shubham </v>
      </c>
      <c r="H363" s="276" t="str">
        <f>IFERROR(__xludf.DUMMYFUNCTION("""COMPUTED_VALUE"""),"25th May: Ringing. 9 March: Ringing, dropped a text. 21 Feb: Ringing. 16 Feb: Ringing. 13 Feb: Ringing, dropped a text. 12 Feb: Ringing. 7 Feb: Ringing, dropped a voice note and Text ")</f>
        <v>25th May: Ringing. 9 March: Ringing, dropped a text. 21 Feb: Ringing. 16 Feb: Ringing. 13 Feb: Ringing, dropped a text. 12 Feb: Ringing. 7 Feb: Ringing, dropped a voice note and Text </v>
      </c>
    </row>
    <row r="364">
      <c r="A364" s="400">
        <f>IFERROR(__xludf.DUMMYFUNCTION("""COMPUTED_VALUE"""),46060.0)</f>
        <v>46060</v>
      </c>
      <c r="B364" s="276" t="str">
        <f>IFERROR(__xludf.DUMMYFUNCTION("""COMPUTED_VALUE"""),"Aniket  Tawde ")</f>
        <v>Aniket  Tawde </v>
      </c>
      <c r="C364" s="276" t="str">
        <f>IFERROR(__xludf.DUMMYFUNCTION("""COMPUTED_VALUE"""),"Neem Holidays ")</f>
        <v>Neem Holidays </v>
      </c>
      <c r="D364" s="276" t="str">
        <f>IFERROR(__xludf.DUMMYFUNCTION("""COMPUTED_VALUE"""),"Lost")</f>
        <v>Lost</v>
      </c>
      <c r="E364" s="276" t="str">
        <f>IFERROR(__xludf.DUMMYFUNCTION("""COMPUTED_VALUE"""),"Lower Parel")</f>
        <v>Lower Parel</v>
      </c>
      <c r="F364" s="276" t="str">
        <f>IFERROR(__xludf.DUMMYFUNCTION("""COMPUTED_VALUE"""),"Lower parel")</f>
        <v>Lower parel</v>
      </c>
      <c r="G364" s="276" t="str">
        <f>IFERROR(__xludf.DUMMYFUNCTION("""COMPUTED_VALUE"""),"Shubham ")</f>
        <v>Shubham </v>
      </c>
      <c r="H364" s="276" t="str">
        <f>IFERROR(__xludf.DUMMYFUNCTION("""COMPUTED_VALUE"""),"12 Feb: His budget is 5k to 6k. 7 Feb: Spoke to Aniket he wants 1 cabin and 2-3 w.s. Couldn't talk much as he was occupied and he asked me to drop a text")</f>
        <v>12 Feb: His budget is 5k to 6k. 7 Feb: Spoke to Aniket he wants 1 cabin and 2-3 w.s. Couldn't talk much as he was occupied and he asked me to drop a text</v>
      </c>
    </row>
    <row r="365">
      <c r="A365" s="400">
        <f>IFERROR(__xludf.DUMMYFUNCTION("""COMPUTED_VALUE"""),46060.0)</f>
        <v>46060</v>
      </c>
      <c r="B365" s="276" t="str">
        <f>IFERROR(__xludf.DUMMYFUNCTION("""COMPUTED_VALUE"""),"Jagrut  Japtiwale ")</f>
        <v>Jagrut  Japtiwale </v>
      </c>
      <c r="C365" s="276" t="str">
        <f>IFERROR(__xludf.DUMMYFUNCTION("""COMPUTED_VALUE"""),"DSP asset Manager Pvt Ltd")</f>
        <v>DSP asset Manager Pvt Ltd</v>
      </c>
      <c r="D365" s="276" t="str">
        <f>IFERROR(__xludf.DUMMYFUNCTION("""COMPUTED_VALUE"""),"Hot")</f>
        <v>Hot</v>
      </c>
      <c r="E365" s="276" t="str">
        <f>IFERROR(__xludf.DUMMYFUNCTION("""COMPUTED_VALUE"""),"Lower Parel")</f>
        <v>Lower Parel</v>
      </c>
      <c r="F365" s="276" t="str">
        <f>IFERROR(__xludf.DUMMYFUNCTION("""COMPUTED_VALUE"""),"Lower parel")</f>
        <v>Lower parel</v>
      </c>
      <c r="G365" s="276" t="str">
        <f>IFERROR(__xludf.DUMMYFUNCTION("""COMPUTED_VALUE"""),"Shubham ")</f>
        <v>Shubham </v>
      </c>
      <c r="H365" s="276" t="str">
        <f>IFERROR(__xludf.DUMMYFUNCTION("""COMPUTED_VALUE"""),"25th May: Ringing. 9 March: He have not received any feedback yet. 26 Feb: He have not received any feedback from his management. 21 Feb: Texted. 19 Feb: Dropped a text. 16 Feb: He have not received any update from his management. 12 Feb: He have shared t"&amp;"he details with his management but have not receieved any response yet. 7 Feb: Spoke he has shared the requirement and asked to share the details over mail sent pushing for a visit ")</f>
        <v>25th May: Ringing. 9 March: He have not received any feedback yet. 26 Feb: He have not received any feedback from his management. 21 Feb: Texted. 19 Feb: Dropped a text. 16 Feb: He have not received any update from his management. 12 Feb: He have shared the details with his management but have not receieved any response yet. 7 Feb: Spoke he has shared the requirement and asked to share the details over mail sent pushing for a visit </v>
      </c>
    </row>
    <row r="366">
      <c r="A366" s="400">
        <f>IFERROR(__xludf.DUMMYFUNCTION("""COMPUTED_VALUE"""),46062.0)</f>
        <v>46062</v>
      </c>
      <c r="B366" s="276" t="str">
        <f>IFERROR(__xludf.DUMMYFUNCTION("""COMPUTED_VALUE"""),"Shukhwinder Singh")</f>
        <v>Shukhwinder Singh</v>
      </c>
      <c r="C366" s="276" t="str">
        <f>IFERROR(__xludf.DUMMYFUNCTION("""COMPUTED_VALUE"""),"Armor Fire")</f>
        <v>Armor Fire</v>
      </c>
      <c r="D366" s="276" t="str">
        <f>IFERROR(__xludf.DUMMYFUNCTION("""COMPUTED_VALUE"""),"Warm")</f>
        <v>Warm</v>
      </c>
      <c r="E366" s="276" t="str">
        <f>IFERROR(__xludf.DUMMYFUNCTION("""COMPUTED_VALUE"""),"Lower Parel")</f>
        <v>Lower Parel</v>
      </c>
      <c r="F366" s="276" t="str">
        <f>IFERROR(__xludf.DUMMYFUNCTION("""COMPUTED_VALUE"""),"Lower parel")</f>
        <v>Lower parel</v>
      </c>
      <c r="G366" s="276" t="str">
        <f>IFERROR(__xludf.DUMMYFUNCTION("""COMPUTED_VALUE"""),"Shravani")</f>
        <v>Shravani</v>
      </c>
      <c r="H366" s="276" t="str">
        <f>IFERROR(__xludf.DUMMYFUNCTION("""COMPUTED_VALUE"""),"21 Feb: Ringing. 18 Feb: Ringing.  16 Feb: Ringing. 12 Feb: He will try to visit next week. 9 Feb: 1 seat and scalable up to 5, to visit in a day or 2")</f>
        <v>21 Feb: Ringing. 18 Feb: Ringing.  16 Feb: Ringing. 12 Feb: He will try to visit next week. 9 Feb: 1 seat and scalable up to 5, to visit in a day or 2</v>
      </c>
    </row>
    <row r="367">
      <c r="A367" s="400">
        <f>IFERROR(__xludf.DUMMYFUNCTION("""COMPUTED_VALUE"""),46062.0)</f>
        <v>46062</v>
      </c>
      <c r="B367" s="276" t="str">
        <f>IFERROR(__xludf.DUMMYFUNCTION("""COMPUTED_VALUE"""),"Yash Kumar Baid")</f>
        <v>Yash Kumar Baid</v>
      </c>
      <c r="C367" s="276" t="str">
        <f>IFERROR(__xludf.DUMMYFUNCTION("""COMPUTED_VALUE"""),"Node Bracket Media")</f>
        <v>Node Bracket Media</v>
      </c>
      <c r="D367" s="276" t="str">
        <f>IFERROR(__xludf.DUMMYFUNCTION("""COMPUTED_VALUE"""),"Lost")</f>
        <v>Lost</v>
      </c>
      <c r="E367" s="276" t="str">
        <f>IFERROR(__xludf.DUMMYFUNCTION("""COMPUTED_VALUE"""),"Lower Parel")</f>
        <v>Lower Parel</v>
      </c>
      <c r="F367" s="276" t="str">
        <f>IFERROR(__xludf.DUMMYFUNCTION("""COMPUTED_VALUE"""),"Lower parel")</f>
        <v>Lower parel</v>
      </c>
      <c r="G367" s="276" t="str">
        <f>IFERROR(__xludf.DUMMYFUNCTION("""COMPUTED_VALUE"""),"Shravani")</f>
        <v>Shravani</v>
      </c>
      <c r="H367" s="276" t="str">
        <f>IFERROR(__xludf.DUMMYFUNCTION("""COMPUTED_VALUE"""),"9 Feb: Budget too low, seeking 1 seat at about 4 to 5k and total requirement of 10 seats")</f>
        <v>9 Feb: Budget too low, seeking 1 seat at about 4 to 5k and total requirement of 10 seats</v>
      </c>
    </row>
    <row r="368">
      <c r="A368" s="400">
        <f>IFERROR(__xludf.DUMMYFUNCTION("""COMPUTED_VALUE"""),46062.0)</f>
        <v>46062</v>
      </c>
      <c r="B368" s="276" t="str">
        <f>IFERROR(__xludf.DUMMYFUNCTION("""COMPUTED_VALUE"""),"Paras Kothari")</f>
        <v>Paras Kothari</v>
      </c>
      <c r="C368" s="276" t="str">
        <f>IFERROR(__xludf.DUMMYFUNCTION("""COMPUTED_VALUE"""),"Ushaira Media")</f>
        <v>Ushaira Media</v>
      </c>
      <c r="D368" s="276" t="str">
        <f>IFERROR(__xludf.DUMMYFUNCTION("""COMPUTED_VALUE"""),"Lost")</f>
        <v>Lost</v>
      </c>
      <c r="E368" s="276" t="str">
        <f>IFERROR(__xludf.DUMMYFUNCTION("""COMPUTED_VALUE"""),"Lower Parel")</f>
        <v>Lower Parel</v>
      </c>
      <c r="F368" s="276" t="str">
        <f>IFERROR(__xludf.DUMMYFUNCTION("""COMPUTED_VALUE"""),"Lower parel")</f>
        <v>Lower parel</v>
      </c>
      <c r="G368" s="276" t="str">
        <f>IFERROR(__xludf.DUMMYFUNCTION("""COMPUTED_VALUE"""),"Shravani")</f>
        <v>Shravani</v>
      </c>
      <c r="H368" s="276" t="str">
        <f>IFERROR(__xludf.DUMMYFUNCTION("""COMPUTED_VALUE"""),"9 Feb: Seeking a co-working space in the suburbs")</f>
        <v>9 Feb: Seeking a co-working space in the suburbs</v>
      </c>
    </row>
    <row r="369">
      <c r="A369" s="400">
        <f>IFERROR(__xludf.DUMMYFUNCTION("""COMPUTED_VALUE"""),46062.0)</f>
        <v>46062</v>
      </c>
      <c r="B369" s="276" t="str">
        <f>IFERROR(__xludf.DUMMYFUNCTION("""COMPUTED_VALUE"""),"Tejasvi Sharma")</f>
        <v>Tejasvi Sharma</v>
      </c>
      <c r="C369" s="276" t="str">
        <f>IFERROR(__xludf.DUMMYFUNCTION("""COMPUTED_VALUE"""),"EPC World")</f>
        <v>EPC World</v>
      </c>
      <c r="D369" s="276" t="str">
        <f>IFERROR(__xludf.DUMMYFUNCTION("""COMPUTED_VALUE"""),"Cold")</f>
        <v>Cold</v>
      </c>
      <c r="E369" s="276" t="str">
        <f>IFERROR(__xludf.DUMMYFUNCTION("""COMPUTED_VALUE"""),"Lower Parel")</f>
        <v>Lower Parel</v>
      </c>
      <c r="F369" s="276" t="str">
        <f>IFERROR(__xludf.DUMMYFUNCTION("""COMPUTED_VALUE"""),"Lower parel")</f>
        <v>Lower parel</v>
      </c>
      <c r="G369" s="276" t="str">
        <f>IFERROR(__xludf.DUMMYFUNCTION("""COMPUTED_VALUE"""),"Shravani")</f>
        <v>Shravani</v>
      </c>
      <c r="H369" s="276" t="str">
        <f>IFERROR(__xludf.DUMMYFUNCTION("""COMPUTED_VALUE"""),"25th May: Ringing. 9 March: Dropped a text. 21 Feb: He has not yet sure about Lower Parel Location, he'll think on it and will call me back. 16 Feb: Busy on call.13 Feb: Dropped a text. 12 Feb: He is in a meeting rightnow and will get back to me in a whil"&amp;"e. 9 Feb: called but disconnected")</f>
        <v>25th May: Ringing. 9 March: Dropped a text. 21 Feb: He has not yet sure about Lower Parel Location, he'll think on it and will call me back. 16 Feb: Busy on call.13 Feb: Dropped a text. 12 Feb: He is in a meeting rightnow and will get back to me in a while. 9 Feb: called but disconnected</v>
      </c>
    </row>
    <row r="370">
      <c r="A370" s="400">
        <f>IFERROR(__xludf.DUMMYFUNCTION("""COMPUTED_VALUE"""),46062.0)</f>
        <v>46062</v>
      </c>
      <c r="B370" s="276" t="str">
        <f>IFERROR(__xludf.DUMMYFUNCTION("""COMPUTED_VALUE"""),"Sagar Nazirkar")</f>
        <v>Sagar Nazirkar</v>
      </c>
      <c r="C370" s="276" t="str">
        <f>IFERROR(__xludf.DUMMYFUNCTION("""COMPUTED_VALUE"""),"SMAIPL")</f>
        <v>SMAIPL</v>
      </c>
      <c r="D370" s="276"/>
      <c r="E370" s="276" t="str">
        <f>IFERROR(__xludf.DUMMYFUNCTION("""COMPUTED_VALUE"""),"Lower Parel")</f>
        <v>Lower Parel</v>
      </c>
      <c r="F370" s="276" t="str">
        <f>IFERROR(__xludf.DUMMYFUNCTION("""COMPUTED_VALUE"""),"Lower parel")</f>
        <v>Lower parel</v>
      </c>
      <c r="G370" s="276" t="str">
        <f>IFERROR(__xludf.DUMMYFUNCTION("""COMPUTED_VALUE"""),"Shravani")</f>
        <v>Shravani</v>
      </c>
      <c r="H370" s="276" t="str">
        <f>IFERROR(__xludf.DUMMYFUNCTION("""COMPUTED_VALUE"""),"9 Feb: 25 seats in Pune, 2 cabin, 1 conference, 3 to 4 cubicles, 25 workstations. Baner, kothrud and other outer areas. client was not aware /  interested in MOS. Client has connected with a prospected property.")</f>
        <v>9 Feb: 25 seats in Pune, 2 cabin, 1 conference, 3 to 4 cubicles, 25 workstations. Baner, kothrud and other outer areas. client was not aware /  interested in MOS. Client has connected with a prospected property.</v>
      </c>
    </row>
    <row r="371">
      <c r="A371" s="400">
        <f>IFERROR(__xludf.DUMMYFUNCTION("""COMPUTED_VALUE"""),46062.0)</f>
        <v>46062</v>
      </c>
      <c r="B371" s="276" t="str">
        <f>IFERROR(__xludf.DUMMYFUNCTION("""COMPUTED_VALUE"""),"Rahul Gupta")</f>
        <v>Rahul Gupta</v>
      </c>
      <c r="C371" s="276" t="str">
        <f>IFERROR(__xludf.DUMMYFUNCTION("""COMPUTED_VALUE"""),"srgg manpower pvt ltd")</f>
        <v>srgg manpower pvt ltd</v>
      </c>
      <c r="D371" s="276" t="str">
        <f>IFERROR(__xludf.DUMMYFUNCTION("""COMPUTED_VALUE"""),"Hot")</f>
        <v>Hot</v>
      </c>
      <c r="E371" s="276" t="str">
        <f>IFERROR(__xludf.DUMMYFUNCTION("""COMPUTED_VALUE"""),"Lower Parel")</f>
        <v>Lower Parel</v>
      </c>
      <c r="F371" s="276" t="str">
        <f>IFERROR(__xludf.DUMMYFUNCTION("""COMPUTED_VALUE"""),"Lower parel")</f>
        <v>Lower parel</v>
      </c>
      <c r="G371" s="276" t="str">
        <f>IFERROR(__xludf.DUMMYFUNCTION("""COMPUTED_VALUE"""),"Shravani")</f>
        <v>Shravani</v>
      </c>
      <c r="H371" s="276" t="str">
        <f>IFERROR(__xludf.DUMMYFUNCTION("""COMPUTED_VALUE"""),"9 March: He ha got a space in Dadar at 6000 per seat. 26 Feb: O.S. 21 Feb: Visit Done, he will update me in some time. 18 Feb: Dropped a text. 16 Feb: He is not currently in mumbai, he will call me tomorrow. 12 Feb: He will get back to me on Monday. 9 Feb"&amp;": 1 seat may visit on wednesday, confirmation pending and called by disconnected.")</f>
        <v>9 March: He ha got a space in Dadar at 6000 per seat. 26 Feb: O.S. 21 Feb: Visit Done, he will update me in some time. 18 Feb: Dropped a text. 16 Feb: He is not currently in mumbai, he will call me tomorrow. 12 Feb: He will get back to me on Monday. 9 Feb: 1 seat may visit on wednesday, confirmation pending and called by disconnected.</v>
      </c>
    </row>
    <row r="372">
      <c r="A372" s="400">
        <f>IFERROR(__xludf.DUMMYFUNCTION("""COMPUTED_VALUE"""),46065.0)</f>
        <v>46065</v>
      </c>
      <c r="B372" s="276" t="str">
        <f>IFERROR(__xludf.DUMMYFUNCTION("""COMPUTED_VALUE"""),"Chitra Jha")</f>
        <v>Chitra Jha</v>
      </c>
      <c r="C372" s="276"/>
      <c r="D372" s="276" t="str">
        <f>IFERROR(__xludf.DUMMYFUNCTION("""COMPUTED_VALUE"""),"Lost")</f>
        <v>Lost</v>
      </c>
      <c r="E372" s="276" t="str">
        <f>IFERROR(__xludf.DUMMYFUNCTION("""COMPUTED_VALUE"""),"Lower Parel")</f>
        <v>Lower Parel</v>
      </c>
      <c r="F372" s="276" t="str">
        <f>IFERROR(__xludf.DUMMYFUNCTION("""COMPUTED_VALUE"""),"Lower parel")</f>
        <v>Lower parel</v>
      </c>
      <c r="G372" s="276" t="str">
        <f>IFERROR(__xludf.DUMMYFUNCTION("""COMPUTED_VALUE"""),"Shravani")</f>
        <v>Shravani</v>
      </c>
      <c r="H372" s="276" t="str">
        <f>IFERROR(__xludf.DUMMYFUNCTION("""COMPUTED_VALUE"""),"12 Feb: She is not interested in Shared space")</f>
        <v>12 Feb: She is not interested in Shared space</v>
      </c>
    </row>
    <row r="373">
      <c r="A373" s="400">
        <f>IFERROR(__xludf.DUMMYFUNCTION("""COMPUTED_VALUE"""),46065.0)</f>
        <v>46065</v>
      </c>
      <c r="B373" s="276" t="str">
        <f>IFERROR(__xludf.DUMMYFUNCTION("""COMPUTED_VALUE"""),"Bhavesh  Parmar")</f>
        <v>Bhavesh  Parmar</v>
      </c>
      <c r="C373" s="276" t="str">
        <f>IFERROR(__xludf.DUMMYFUNCTION("""COMPUTED_VALUE"""),"Mediachondria")</f>
        <v>Mediachondria</v>
      </c>
      <c r="D373" s="276" t="str">
        <f>IFERROR(__xludf.DUMMYFUNCTION("""COMPUTED_VALUE"""),"Hot")</f>
        <v>Hot</v>
      </c>
      <c r="E373" s="276" t="str">
        <f>IFERROR(__xludf.DUMMYFUNCTION("""COMPUTED_VALUE"""),"Lower Parel")</f>
        <v>Lower Parel</v>
      </c>
      <c r="F373" s="276" t="str">
        <f>IFERROR(__xludf.DUMMYFUNCTION("""COMPUTED_VALUE"""),"Lower parel")</f>
        <v>Lower parel</v>
      </c>
      <c r="G373" s="276" t="str">
        <f>IFERROR(__xludf.DUMMYFUNCTION("""COMPUTED_VALUE"""),"Shravani")</f>
        <v>Shravani</v>
      </c>
      <c r="H373" s="276" t="str">
        <f>IFERROR(__xludf.DUMMYFUNCTION("""COMPUTED_VALUE"""),"25th May: He wants the space in July or August. 21 Feb: Layout will be shared on Monday and he wants to move in from April.19 Feb: Visit Schedueled for today at 6pm. 17 Feb: He will be visiting on thursday in the 2nd half. 12 Feb: He needs 20 Open Worksta"&amp;"tions and will visit on this coming tuesday and wednesday.")</f>
        <v>25th May: He wants the space in July or August. 21 Feb: Layout will be shared on Monday and he wants to move in from April.19 Feb: Visit Schedueled for today at 6pm. 17 Feb: He will be visiting on thursday in the 2nd half. 12 Feb: He needs 20 Open Workstations and will visit on this coming tuesday and wednesday.</v>
      </c>
    </row>
    <row r="374">
      <c r="A374" s="400">
        <f>IFERROR(__xludf.DUMMYFUNCTION("""COMPUTED_VALUE"""),46066.0)</f>
        <v>46066</v>
      </c>
      <c r="B374" s="276" t="str">
        <f>IFERROR(__xludf.DUMMYFUNCTION("""COMPUTED_VALUE"""),"Arden Dsouza")</f>
        <v>Arden Dsouza</v>
      </c>
      <c r="C374" s="276" t="str">
        <f>IFERROR(__xludf.DUMMYFUNCTION("""COMPUTED_VALUE"""),"Sheriden SA")</f>
        <v>Sheriden SA</v>
      </c>
      <c r="D374" s="276" t="str">
        <f>IFERROR(__xludf.DUMMYFUNCTION("""COMPUTED_VALUE"""),"Cold")</f>
        <v>Cold</v>
      </c>
      <c r="E374" s="276" t="str">
        <f>IFERROR(__xludf.DUMMYFUNCTION("""COMPUTED_VALUE"""),"Lower Parel")</f>
        <v>Lower Parel</v>
      </c>
      <c r="F374" s="276" t="str">
        <f>IFERROR(__xludf.DUMMYFUNCTION("""COMPUTED_VALUE"""),"Lower parel")</f>
        <v>Lower parel</v>
      </c>
      <c r="G374" s="276" t="str">
        <f>IFERROR(__xludf.DUMMYFUNCTION("""COMPUTED_VALUE"""),"Shravani")</f>
        <v>Shravani</v>
      </c>
      <c r="H374" s="276" t="str">
        <f>IFERROR(__xludf.DUMMYFUNCTION("""COMPUTED_VALUE"""),"9 March: He will get back to me. 21 Feb: Asked me to send the details on whatsapp. 18 Feb: He was in a meeting and will call me later. 16 Feb: Ringing. 13 Feb: Busy on call.")</f>
        <v>9 March: He will get back to me. 21 Feb: Asked me to send the details on whatsapp. 18 Feb: He was in a meeting and will call me later. 16 Feb: Ringing. 13 Feb: Busy on call.</v>
      </c>
    </row>
    <row r="375">
      <c r="A375" s="400">
        <f>IFERROR(__xludf.DUMMYFUNCTION("""COMPUTED_VALUE"""),46066.0)</f>
        <v>46066</v>
      </c>
      <c r="B375" s="276" t="str">
        <f>IFERROR(__xludf.DUMMYFUNCTION("""COMPUTED_VALUE"""),"Sarvangi Shah ")</f>
        <v>Sarvangi Shah </v>
      </c>
      <c r="C375" s="276" t="str">
        <f>IFERROR(__xludf.DUMMYFUNCTION("""COMPUTED_VALUE"""),"Noya Beauty Works")</f>
        <v>Noya Beauty Works</v>
      </c>
      <c r="D375" s="276" t="str">
        <f>IFERROR(__xludf.DUMMYFUNCTION("""COMPUTED_VALUE"""),"Lost")</f>
        <v>Lost</v>
      </c>
      <c r="E375" s="276" t="str">
        <f>IFERROR(__xludf.DUMMYFUNCTION("""COMPUTED_VALUE"""),"Lower Parel")</f>
        <v>Lower Parel</v>
      </c>
      <c r="F375" s="276" t="str">
        <f>IFERROR(__xludf.DUMMYFUNCTION("""COMPUTED_VALUE"""),"Lower parel")</f>
        <v>Lower parel</v>
      </c>
      <c r="G375" s="276" t="str">
        <f>IFERROR(__xludf.DUMMYFUNCTION("""COMPUTED_VALUE"""),"Shravani")</f>
        <v>Shravani</v>
      </c>
      <c r="H375" s="276" t="str">
        <f>IFERROR(__xludf.DUMMYFUNCTION("""COMPUTED_VALUE"""),"16th Feb: He needs a conventional office. 13 Feb: Ringing.")</f>
        <v>16th Feb: He needs a conventional office. 13 Feb: Ringing.</v>
      </c>
    </row>
    <row r="376">
      <c r="A376" s="400">
        <f>IFERROR(__xludf.DUMMYFUNCTION("""COMPUTED_VALUE"""),46066.0)</f>
        <v>46066</v>
      </c>
      <c r="B376" s="276" t="str">
        <f>IFERROR(__xludf.DUMMYFUNCTION("""COMPUTED_VALUE"""),"Museer Ansari")</f>
        <v>Museer Ansari</v>
      </c>
      <c r="C376" s="276" t="str">
        <f>IFERROR(__xludf.DUMMYFUNCTION("""COMPUTED_VALUE"""),"Anex Advisory")</f>
        <v>Anex Advisory</v>
      </c>
      <c r="D376" s="276" t="str">
        <f>IFERROR(__xludf.DUMMYFUNCTION("""COMPUTED_VALUE"""),"Lost")</f>
        <v>Lost</v>
      </c>
      <c r="E376" s="276" t="str">
        <f>IFERROR(__xludf.DUMMYFUNCTION("""COMPUTED_VALUE"""),"Lower Parel")</f>
        <v>Lower Parel</v>
      </c>
      <c r="F376" s="276" t="str">
        <f>IFERROR(__xludf.DUMMYFUNCTION("""COMPUTED_VALUE"""),"Lower parel")</f>
        <v>Lower parel</v>
      </c>
      <c r="G376" s="276" t="str">
        <f>IFERROR(__xludf.DUMMYFUNCTION("""COMPUTED_VALUE"""),"Shravani")</f>
        <v>Shravani</v>
      </c>
      <c r="H376" s="276" t="str">
        <f>IFERROR(__xludf.DUMMYFUNCTION("""COMPUTED_VALUE"""),"16th Feb: He is looking for conventional. 13 Feb: Ringing.")</f>
        <v>16th Feb: He is looking for conventional. 13 Feb: Ringing.</v>
      </c>
    </row>
    <row r="377">
      <c r="A377" s="400">
        <f>IFERROR(__xludf.DUMMYFUNCTION("""COMPUTED_VALUE"""),46066.0)</f>
        <v>46066</v>
      </c>
      <c r="B377" s="276" t="str">
        <f>IFERROR(__xludf.DUMMYFUNCTION("""COMPUTED_VALUE"""),"Deepak Maheswari")</f>
        <v>Deepak Maheswari</v>
      </c>
      <c r="C377" s="276" t="str">
        <f>IFERROR(__xludf.DUMMYFUNCTION("""COMPUTED_VALUE"""),"Amicorp Advisory")</f>
        <v>Amicorp Advisory</v>
      </c>
      <c r="D377" s="276" t="str">
        <f>IFERROR(__xludf.DUMMYFUNCTION("""COMPUTED_VALUE"""),"Lost")</f>
        <v>Lost</v>
      </c>
      <c r="E377" s="276" t="str">
        <f>IFERROR(__xludf.DUMMYFUNCTION("""COMPUTED_VALUE"""),"Lower Parel")</f>
        <v>Lower Parel</v>
      </c>
      <c r="F377" s="276" t="str">
        <f>IFERROR(__xludf.DUMMYFUNCTION("""COMPUTED_VALUE"""),"Lower parel")</f>
        <v>Lower parel</v>
      </c>
      <c r="G377" s="276" t="str">
        <f>IFERROR(__xludf.DUMMYFUNCTION("""COMPUTED_VALUE"""),"Shravani")</f>
        <v>Shravani</v>
      </c>
      <c r="H377" s="276" t="str">
        <f>IFERROR(__xludf.DUMMYFUNCTION("""COMPUTED_VALUE"""),"9 March: 26 Feb: Ringing. 21 Feb: He said his investor will get back to him by 15th March post that he can move ahead. 20 Feb: He liked the layout, waiting for his partner's response. 19 Feb: Not answering the call, followed up on whatsapp. 18 Feb: Shared"&amp;" wih him the updated layout as he needed some changes and awaiting for his response. 17 Feb: Shared the layouts and commercials. 16 Feb: deepak revisited the space with his partner, awaiting for the commercials. 13 Feb: Visit Done. Need to share layouts.")</f>
        <v>9 March: 26 Feb: Ringing. 21 Feb: He said his investor will get back to him by 15th March post that he can move ahead. 20 Feb: He liked the layout, waiting for his partner's response. 19 Feb: Not answering the call, followed up on whatsapp. 18 Feb: Shared wih him the updated layout as he needed some changes and awaiting for his response. 17 Feb: Shared the layouts and commercials. 16 Feb: deepak revisited the space with his partner, awaiting for the commercials. 13 Feb: Visit Done. Need to share layouts.</v>
      </c>
    </row>
    <row r="378">
      <c r="A378" s="400">
        <f>IFERROR(__xludf.DUMMYFUNCTION("""COMPUTED_VALUE"""),46069.0)</f>
        <v>46069</v>
      </c>
      <c r="B378" s="276" t="str">
        <f>IFERROR(__xludf.DUMMYFUNCTION("""COMPUTED_VALUE"""),"Amar Ajmera")</f>
        <v>Amar Ajmera</v>
      </c>
      <c r="C378" s="276" t="str">
        <f>IFERROR(__xludf.DUMMYFUNCTION("""COMPUTED_VALUE"""),"TEC")</f>
        <v>TEC</v>
      </c>
      <c r="D378" s="276" t="str">
        <f>IFERROR(__xludf.DUMMYFUNCTION("""COMPUTED_VALUE"""),"Hot")</f>
        <v>Hot</v>
      </c>
      <c r="E378" s="276" t="str">
        <f>IFERROR(__xludf.DUMMYFUNCTION("""COMPUTED_VALUE"""),"Lower Parel")</f>
        <v>Lower Parel</v>
      </c>
      <c r="F378" s="276" t="str">
        <f>IFERROR(__xludf.DUMMYFUNCTION("""COMPUTED_VALUE"""),"Lower parel")</f>
        <v>Lower parel</v>
      </c>
      <c r="G378" s="276" t="str">
        <f>IFERROR(__xludf.DUMMYFUNCTION("""COMPUTED_VALUE"""),"Shravani")</f>
        <v>Shravani</v>
      </c>
      <c r="H378" s="276" t="str">
        <f>IFERROR(__xludf.DUMMYFUNCTION("""COMPUTED_VALUE"""),"25th May: 20 Seats + 2 Cabin + Conference. 9 March: Dropped a text. 26 Feb: Ringing. 25 Feb: Ringing. 21 Feb: O.S 19 Feb: Dropped a text. 18 Feb: Dropped a text. 17 Feb: Ringing. 16 Feb: He will try to visit tomorrow in the 2nd half.")</f>
        <v>25th May: 20 Seats + 2 Cabin + Conference. 9 March: Dropped a text. 26 Feb: Ringing. 25 Feb: Ringing. 21 Feb: O.S 19 Feb: Dropped a text. 18 Feb: Dropped a text. 17 Feb: Ringing. 16 Feb: He will try to visit tomorrow in the 2nd half.</v>
      </c>
    </row>
    <row r="379">
      <c r="A379" s="400">
        <f>IFERROR(__xludf.DUMMYFUNCTION("""COMPUTED_VALUE"""),46069.0)</f>
        <v>46069</v>
      </c>
      <c r="B379" s="276" t="str">
        <f>IFERROR(__xludf.DUMMYFUNCTION("""COMPUTED_VALUE"""),"Jagirdar Seth")</f>
        <v>Jagirdar Seth</v>
      </c>
      <c r="C379" s="276" t="str">
        <f>IFERROR(__xludf.DUMMYFUNCTION("""COMPUTED_VALUE"""),"Damac")</f>
        <v>Damac</v>
      </c>
      <c r="D379" s="276" t="str">
        <f>IFERROR(__xludf.DUMMYFUNCTION("""COMPUTED_VALUE"""),"Warm")</f>
        <v>Warm</v>
      </c>
      <c r="E379" s="276" t="str">
        <f>IFERROR(__xludf.DUMMYFUNCTION("""COMPUTED_VALUE"""),"Lower Parel")</f>
        <v>Lower Parel</v>
      </c>
      <c r="F379" s="276" t="str">
        <f>IFERROR(__xludf.DUMMYFUNCTION("""COMPUTED_VALUE"""),"Lower parel")</f>
        <v>Lower parel</v>
      </c>
      <c r="G379" s="276" t="str">
        <f>IFERROR(__xludf.DUMMYFUNCTION("""COMPUTED_VALUE"""),"Shravani")</f>
        <v>Shravani</v>
      </c>
      <c r="H379" s="276" t="str">
        <f>IFERROR(__xludf.DUMMYFUNCTION("""COMPUTED_VALUE"""),"25 May: He will call me later. 9 March: Ringing, dropped him a text. 25 Feb: He said he will call me once he is available for a visit till then DND. 21 Feb: Dropped a text. 16 Feb: He is out of India will contact me once he is back.")</f>
        <v>25 May: He will call me later. 9 March: Ringing, dropped him a text. 25 Feb: He said he will call me once he is available for a visit till then DND. 21 Feb: Dropped a text. 16 Feb: He is out of India will contact me once he is back.</v>
      </c>
    </row>
    <row r="380">
      <c r="A380" s="400">
        <f>IFERROR(__xludf.DUMMYFUNCTION("""COMPUTED_VALUE"""),46069.0)</f>
        <v>46069</v>
      </c>
      <c r="B380" s="276" t="str">
        <f>IFERROR(__xludf.DUMMYFUNCTION("""COMPUTED_VALUE"""),"Prashant Agarwal")</f>
        <v>Prashant Agarwal</v>
      </c>
      <c r="C380" s="276" t="str">
        <f>IFERROR(__xludf.DUMMYFUNCTION("""COMPUTED_VALUE"""),"VNB Media")</f>
        <v>VNB Media</v>
      </c>
      <c r="D380" s="276" t="str">
        <f>IFERROR(__xludf.DUMMYFUNCTION("""COMPUTED_VALUE"""),"Hot")</f>
        <v>Hot</v>
      </c>
      <c r="E380" s="276" t="str">
        <f>IFERROR(__xludf.DUMMYFUNCTION("""COMPUTED_VALUE"""),"Lower Parel")</f>
        <v>Lower Parel</v>
      </c>
      <c r="F380" s="276" t="str">
        <f>IFERROR(__xludf.DUMMYFUNCTION("""COMPUTED_VALUE"""),"Lower parel")</f>
        <v>Lower parel</v>
      </c>
      <c r="G380" s="276" t="str">
        <f>IFERROR(__xludf.DUMMYFUNCTION("""COMPUTED_VALUE"""),"Shravani")</f>
        <v>Shravani</v>
      </c>
      <c r="H380" s="276" t="str">
        <f>IFERROR(__xludf.DUMMYFUNCTION("""COMPUTED_VALUE"""),"25 May: He need a 2 Seater Cabin. 9 March: He will get back to me by today. 26 Feb: He have shared the details with his team and awaiting for response. 25 Feb: Ringing. 23 Feb: Ringing. 21 Feb: Declined the call. 19: He have fowarded the details with his "&amp;"partner but since he is out of India he have not responded yet. 18 Feb: Dropped a text. 16 Feb: He wants me to share the images and location, post that he will discuss with his partner and will get back to me.")</f>
        <v>25 May: He need a 2 Seater Cabin. 9 March: He will get back to me by today. 26 Feb: He have shared the details with his team and awaiting for response. 25 Feb: Ringing. 23 Feb: Ringing. 21 Feb: Declined the call. 19: He have fowarded the details with his partner but since he is out of India he have not responded yet. 18 Feb: Dropped a text. 16 Feb: He wants me to share the images and location, post that he will discuss with his partner and will get back to me.</v>
      </c>
    </row>
    <row r="381">
      <c r="A381" s="400">
        <f>IFERROR(__xludf.DUMMYFUNCTION("""COMPUTED_VALUE"""),46069.0)</f>
        <v>46069</v>
      </c>
      <c r="B381" s="276" t="str">
        <f>IFERROR(__xludf.DUMMYFUNCTION("""COMPUTED_VALUE"""),"Shruti  ")</f>
        <v>Shruti  </v>
      </c>
      <c r="C381" s="276" t="str">
        <f>IFERROR(__xludf.DUMMYFUNCTION("""COMPUTED_VALUE"""),"Mihuru")</f>
        <v>Mihuru</v>
      </c>
      <c r="D381" s="276" t="str">
        <f>IFERROR(__xludf.DUMMYFUNCTION("""COMPUTED_VALUE"""),"Cold")</f>
        <v>Cold</v>
      </c>
      <c r="E381" s="276" t="str">
        <f>IFERROR(__xludf.DUMMYFUNCTION("""COMPUTED_VALUE"""),"Lower Parel")</f>
        <v>Lower Parel</v>
      </c>
      <c r="F381" s="276" t="str">
        <f>IFERROR(__xludf.DUMMYFUNCTION("""COMPUTED_VALUE"""),"Lower parel")</f>
        <v>Lower parel</v>
      </c>
      <c r="G381" s="276" t="str">
        <f>IFERROR(__xludf.DUMMYFUNCTION("""COMPUTED_VALUE"""),"Shravani")</f>
        <v>Shravani</v>
      </c>
      <c r="H381" s="276" t="str">
        <f>IFERROR(__xludf.DUMMYFUNCTION("""COMPUTED_VALUE"""),"25 May: Ringing. 23 Feb: She has asked me to call after a week as she is travelling. 20 Feb: Ringing. 18 Feb: Ringing. 16 Feb: Ringing")</f>
        <v>25 May: Ringing. 23 Feb: She has asked me to call after a week as she is travelling. 20 Feb: Ringing. 18 Feb: Ringing. 16 Feb: Ringing</v>
      </c>
    </row>
    <row r="382">
      <c r="A382" s="400">
        <f>IFERROR(__xludf.DUMMYFUNCTION("""COMPUTED_VALUE"""),46069.0)</f>
        <v>46069</v>
      </c>
      <c r="B382" s="276" t="str">
        <f>IFERROR(__xludf.DUMMYFUNCTION("""COMPUTED_VALUE"""),"Prashant  Bansal")</f>
        <v>Prashant  Bansal</v>
      </c>
      <c r="C382" s="276" t="str">
        <f>IFERROR(__xludf.DUMMYFUNCTION("""COMPUTED_VALUE"""),"India Dresswala")</f>
        <v>India Dresswala</v>
      </c>
      <c r="D382" s="276" t="str">
        <f>IFERROR(__xludf.DUMMYFUNCTION("""COMPUTED_VALUE"""),"Lost")</f>
        <v>Lost</v>
      </c>
      <c r="E382" s="276" t="str">
        <f>IFERROR(__xludf.DUMMYFUNCTION("""COMPUTED_VALUE"""),"Lower Parel")</f>
        <v>Lower Parel</v>
      </c>
      <c r="F382" s="276" t="str">
        <f>IFERROR(__xludf.DUMMYFUNCTION("""COMPUTED_VALUE"""),"Lower parel")</f>
        <v>Lower parel</v>
      </c>
      <c r="G382" s="276" t="str">
        <f>IFERROR(__xludf.DUMMYFUNCTION("""COMPUTED_VALUE"""),"Shravani")</f>
        <v>Shravani</v>
      </c>
      <c r="H382" s="276" t="str">
        <f>IFERROR(__xludf.DUMMYFUNCTION("""COMPUTED_VALUE"""),"18 Feb: He is going ahead with some other options. 16 Feb: Visit Done, he need 4 open workstation and will get back to me by thursday.")</f>
        <v>18 Feb: He is going ahead with some other options. 16 Feb: Visit Done, he need 4 open workstation and will get back to me by thursday.</v>
      </c>
    </row>
    <row r="383">
      <c r="A383" s="400">
        <f>IFERROR(__xludf.DUMMYFUNCTION("""COMPUTED_VALUE"""),46069.0)</f>
        <v>46069</v>
      </c>
      <c r="B383" s="276" t="str">
        <f>IFERROR(__xludf.DUMMYFUNCTION("""COMPUTED_VALUE"""),"Premal  Gandhi")</f>
        <v>Premal  Gandhi</v>
      </c>
      <c r="C383" s="276" t="str">
        <f>IFERROR(__xludf.DUMMYFUNCTION("""COMPUTED_VALUE"""),"PGS Associates")</f>
        <v>PGS Associates</v>
      </c>
      <c r="D383" s="276" t="str">
        <f>IFERROR(__xludf.DUMMYFUNCTION("""COMPUTED_VALUE"""),"Hold")</f>
        <v>Hold</v>
      </c>
      <c r="E383" s="276" t="str">
        <f>IFERROR(__xludf.DUMMYFUNCTION("""COMPUTED_VALUE"""),"Lower Parel")</f>
        <v>Lower Parel</v>
      </c>
      <c r="F383" s="276" t="str">
        <f>IFERROR(__xludf.DUMMYFUNCTION("""COMPUTED_VALUE"""),"Lower parel")</f>
        <v>Lower parel</v>
      </c>
      <c r="G383" s="276" t="str">
        <f>IFERROR(__xludf.DUMMYFUNCTION("""COMPUTED_VALUE"""),"Shravani")</f>
        <v>Shravani</v>
      </c>
      <c r="H383" s="276" t="str">
        <f>IFERROR(__xludf.DUMMYFUNCTION("""COMPUTED_VALUE"""),"20 Feb: He has not still finalised whether he wants to move out from his current office. 18 Feb: He is currently into a convetional office and would like to the commercials first before visiting. 16 Feb: Ringing")</f>
        <v>20 Feb: He has not still finalised whether he wants to move out from his current office. 18 Feb: He is currently into a convetional office and would like to the commercials first before visiting. 16 Feb: Ringing</v>
      </c>
    </row>
    <row r="384">
      <c r="A384" s="400">
        <f>IFERROR(__xludf.DUMMYFUNCTION("""COMPUTED_VALUE"""),46069.0)</f>
        <v>46069</v>
      </c>
      <c r="B384" s="276" t="str">
        <f>IFERROR(__xludf.DUMMYFUNCTION("""COMPUTED_VALUE"""),"Mitul ")</f>
        <v>Mitul </v>
      </c>
      <c r="C384" s="276"/>
      <c r="D384" s="276" t="str">
        <f>IFERROR(__xludf.DUMMYFUNCTION("""COMPUTED_VALUE"""),"Hot")</f>
        <v>Hot</v>
      </c>
      <c r="E384" s="276" t="str">
        <f>IFERROR(__xludf.DUMMYFUNCTION("""COMPUTED_VALUE"""),"Lower Parel")</f>
        <v>Lower Parel</v>
      </c>
      <c r="F384" s="276" t="str">
        <f>IFERROR(__xludf.DUMMYFUNCTION("""COMPUTED_VALUE"""),"Lower parel")</f>
        <v>Lower parel</v>
      </c>
      <c r="G384" s="276" t="str">
        <f>IFERROR(__xludf.DUMMYFUNCTION("""COMPUTED_VALUE"""),"Shravani")</f>
        <v>Shravani</v>
      </c>
      <c r="H384" s="276" t="str">
        <f>IFERROR(__xludf.DUMMYFUNCTION("""COMPUTED_VALUE"""),"25 May: Ringing. 9 March: Ringing, dropped him a text. 26 Feb: He will get back to me in a day or two. 25 Feb: Ringing. 23 Feb: Ringing. 20 Feb: he will get back to me on Monday. 17 Feb: Visit Done, He will get back to me in a day or two. 16 Feb: He needs"&amp;" 360 sq.ft area. He will be coming in tomorrow in the 2nd half")</f>
        <v>25 May: Ringing. 9 March: Ringing, dropped him a text. 26 Feb: He will get back to me in a day or two. 25 Feb: Ringing. 23 Feb: Ringing. 20 Feb: he will get back to me on Monday. 17 Feb: Visit Done, He will get back to me in a day or two. 16 Feb: He needs 360 sq.ft area. He will be coming in tomorrow in the 2nd half</v>
      </c>
    </row>
    <row r="385">
      <c r="A385" s="400">
        <f>IFERROR(__xludf.DUMMYFUNCTION("""COMPUTED_VALUE"""),46071.0)</f>
        <v>46071</v>
      </c>
      <c r="B385" s="276" t="str">
        <f>IFERROR(__xludf.DUMMYFUNCTION("""COMPUTED_VALUE"""),"Shreya  Kamble")</f>
        <v>Shreya  Kamble</v>
      </c>
      <c r="C385" s="276" t="str">
        <f>IFERROR(__xludf.DUMMYFUNCTION("""COMPUTED_VALUE"""),"Recon Marketing Services")</f>
        <v>Recon Marketing Services</v>
      </c>
      <c r="D385" s="276" t="str">
        <f>IFERROR(__xludf.DUMMYFUNCTION("""COMPUTED_VALUE"""),"Warm")</f>
        <v>Warm</v>
      </c>
      <c r="E385" s="276" t="str">
        <f>IFERROR(__xludf.DUMMYFUNCTION("""COMPUTED_VALUE"""),"Lower Parel")</f>
        <v>Lower Parel</v>
      </c>
      <c r="F385" s="276" t="str">
        <f>IFERROR(__xludf.DUMMYFUNCTION("""COMPUTED_VALUE"""),"Lower parel")</f>
        <v>Lower parel</v>
      </c>
      <c r="G385" s="276" t="str">
        <f>IFERROR(__xludf.DUMMYFUNCTION("""COMPUTED_VALUE"""),"Shravani")</f>
        <v>Shravani</v>
      </c>
      <c r="H385" s="276" t="str">
        <f>IFERROR(__xludf.DUMMYFUNCTION("""COMPUTED_VALUE"""),"25 May: Ringing. 9 March: Ringing, dropped a text. 21 Jan: Ringing. 19 Feb: Drooped a text. 18 Feb: Ringing.")</f>
        <v>25 May: Ringing. 9 March: Ringing, dropped a text. 21 Jan: Ringing. 19 Feb: Drooped a text. 18 Feb: Ringing.</v>
      </c>
    </row>
    <row r="386">
      <c r="A386" s="400">
        <f>IFERROR(__xludf.DUMMYFUNCTION("""COMPUTED_VALUE"""),46071.0)</f>
        <v>46071</v>
      </c>
      <c r="B386" s="276" t="str">
        <f>IFERROR(__xludf.DUMMYFUNCTION("""COMPUTED_VALUE"""),"Binal Nilesh Shah")</f>
        <v>Binal Nilesh Shah</v>
      </c>
      <c r="C386" s="276" t="str">
        <f>IFERROR(__xludf.DUMMYFUNCTION("""COMPUTED_VALUE"""),"Go stack analytics pvt ltd")</f>
        <v>Go stack analytics pvt ltd</v>
      </c>
      <c r="D386" s="276" t="str">
        <f>IFERROR(__xludf.DUMMYFUNCTION("""COMPUTED_VALUE"""),"Lost")</f>
        <v>Lost</v>
      </c>
      <c r="E386" s="276" t="str">
        <f>IFERROR(__xludf.DUMMYFUNCTION("""COMPUTED_VALUE"""),"Lower Parel")</f>
        <v>Lower Parel</v>
      </c>
      <c r="F386" s="276" t="str">
        <f>IFERROR(__xludf.DUMMYFUNCTION("""COMPUTED_VALUE"""),"Lower parel")</f>
        <v>Lower parel</v>
      </c>
      <c r="G386" s="276" t="str">
        <f>IFERROR(__xludf.DUMMYFUNCTION("""COMPUTED_VALUE"""),"Shravani")</f>
        <v>Shravani</v>
      </c>
      <c r="H386" s="276" t="str">
        <f>IFERROR(__xludf.DUMMYFUNCTION("""COMPUTED_VALUE"""),"23 Feb: She is not interested. 21 Jan: Switched off. 18 Feb: She will get back to me after few days.")</f>
        <v>23 Feb: She is not interested. 21 Jan: Switched off. 18 Feb: She will get back to me after few days.</v>
      </c>
    </row>
    <row r="387">
      <c r="A387" s="400">
        <f>IFERROR(__xludf.DUMMYFUNCTION("""COMPUTED_VALUE"""),46071.0)</f>
        <v>46071</v>
      </c>
      <c r="B387" s="276" t="str">
        <f>IFERROR(__xludf.DUMMYFUNCTION("""COMPUTED_VALUE"""),"Saksham Porwal")</f>
        <v>Saksham Porwal</v>
      </c>
      <c r="C387" s="276" t="str">
        <f>IFERROR(__xludf.DUMMYFUNCTION("""COMPUTED_VALUE"""),"Dotplot Media")</f>
        <v>Dotplot Media</v>
      </c>
      <c r="D387" s="276" t="str">
        <f>IFERROR(__xludf.DUMMYFUNCTION("""COMPUTED_VALUE"""),"Warm")</f>
        <v>Warm</v>
      </c>
      <c r="E387" s="276" t="str">
        <f>IFERROR(__xludf.DUMMYFUNCTION("""COMPUTED_VALUE"""),"Lower Parel")</f>
        <v>Lower Parel</v>
      </c>
      <c r="F387" s="276" t="str">
        <f>IFERROR(__xludf.DUMMYFUNCTION("""COMPUTED_VALUE"""),"Lower parel")</f>
        <v>Lower parel</v>
      </c>
      <c r="G387" s="276" t="str">
        <f>IFERROR(__xludf.DUMMYFUNCTION("""COMPUTED_VALUE"""),"Shravani")</f>
        <v>Shravani</v>
      </c>
      <c r="H387" s="276" t="str">
        <f>IFERROR(__xludf.DUMMYFUNCTION("""COMPUTED_VALUE"""),"25 May: 5 Seater Cabin. 9 March: He needs a 3 Seater cabin and is not interested in dedicated open workstation but still he will think about it and will get back to me in few days. 25 Feb: Ringing. 21 Feb: He has ask me to share the commercials. 20 Feb: H"&amp;"e has ask me to call tomorrow. 18 Feb: He needs 3 seater cabin and not interested in dedicated open workstations. I shared with him the pricing of 6 seater cabin and dedicated open workstations, he said he will get back to me after an internal discussion.")</f>
        <v>25 May: 5 Seater Cabin. 9 March: He needs a 3 Seater cabin and is not interested in dedicated open workstation but still he will think about it and will get back to me in few days. 25 Feb: Ringing. 21 Feb: He has ask me to share the commercials. 20 Feb: He has ask me to call tomorrow. 18 Feb: He needs 3 seater cabin and not interested in dedicated open workstations. I shared with him the pricing of 6 seater cabin and dedicated open workstations, he said he will get back to me after an internal discussion.</v>
      </c>
    </row>
    <row r="388">
      <c r="A388" s="400">
        <f>IFERROR(__xludf.DUMMYFUNCTION("""COMPUTED_VALUE"""),46071.0)</f>
        <v>46071</v>
      </c>
      <c r="B388" s="276" t="str">
        <f>IFERROR(__xludf.DUMMYFUNCTION("""COMPUTED_VALUE"""),"Kirtesh Jain")</f>
        <v>Kirtesh Jain</v>
      </c>
      <c r="C388" s="276" t="str">
        <f>IFERROR(__xludf.DUMMYFUNCTION("""COMPUTED_VALUE"""),"Kshipra Health Solutions")</f>
        <v>Kshipra Health Solutions</v>
      </c>
      <c r="D388" s="276" t="str">
        <f>IFERROR(__xludf.DUMMYFUNCTION("""COMPUTED_VALUE"""),"Hot")</f>
        <v>Hot</v>
      </c>
      <c r="E388" s="276" t="str">
        <f>IFERROR(__xludf.DUMMYFUNCTION("""COMPUTED_VALUE"""),"Lower Parel")</f>
        <v>Lower Parel</v>
      </c>
      <c r="F388" s="276" t="str">
        <f>IFERROR(__xludf.DUMMYFUNCTION("""COMPUTED_VALUE"""),"Lower parel")</f>
        <v>Lower parel</v>
      </c>
      <c r="G388" s="276" t="str">
        <f>IFERROR(__xludf.DUMMYFUNCTION("""COMPUTED_VALUE"""),"Shravani")</f>
        <v>Shravani</v>
      </c>
      <c r="H388" s="276" t="str">
        <f>IFERROR(__xludf.DUMMYFUNCTION("""COMPUTED_VALUE"""),"9 March: He will check with his partner and will get back to me by 4PM.. 25 Feb: He visited the space, he would be revisiting again o saturday with his partner. 23 Jan: Ringing. 21: He will try to visit on Monday. 19: Ringing. 18 Feb: He is currently into"&amp;" a conventional office in Pragati Industrial Estate.")</f>
        <v>9 March: He will check with his partner and will get back to me by 4PM.. 25 Feb: He visited the space, he would be revisiting again o saturday with his partner. 23 Jan: Ringing. 21: He will try to visit on Monday. 19: Ringing. 18 Feb: He is currently into a conventional office in Pragati Industrial Estate.</v>
      </c>
    </row>
    <row r="389">
      <c r="A389" s="400">
        <f>IFERROR(__xludf.DUMMYFUNCTION("""COMPUTED_VALUE"""),46071.0)</f>
        <v>46071</v>
      </c>
      <c r="B389" s="276" t="str">
        <f>IFERROR(__xludf.DUMMYFUNCTION("""COMPUTED_VALUE"""),"Yash ")</f>
        <v>Yash </v>
      </c>
      <c r="C389" s="276"/>
      <c r="D389" s="276" t="str">
        <f>IFERROR(__xludf.DUMMYFUNCTION("""COMPUTED_VALUE"""),"Lost")</f>
        <v>Lost</v>
      </c>
      <c r="E389" s="276" t="str">
        <f>IFERROR(__xludf.DUMMYFUNCTION("""COMPUTED_VALUE"""),"Lower Parel")</f>
        <v>Lower Parel</v>
      </c>
      <c r="F389" s="276" t="str">
        <f>IFERROR(__xludf.DUMMYFUNCTION("""COMPUTED_VALUE"""),"Lower parel")</f>
        <v>Lower parel</v>
      </c>
      <c r="G389" s="276" t="str">
        <f>IFERROR(__xludf.DUMMYFUNCTION("""COMPUTED_VALUE"""),"Shravani")</f>
        <v>Shravani</v>
      </c>
      <c r="H389" s="276" t="str">
        <f>IFERROR(__xludf.DUMMYFUNCTION("""COMPUTED_VALUE"""),"18 Feb: He is not interested in Lower Parel East")</f>
        <v>18 Feb: He is not interested in Lower Parel East</v>
      </c>
    </row>
    <row r="390">
      <c r="A390" s="400">
        <f>IFERROR(__xludf.DUMMYFUNCTION("""COMPUTED_VALUE"""),46072.0)</f>
        <v>46072</v>
      </c>
      <c r="B390" s="276" t="str">
        <f>IFERROR(__xludf.DUMMYFUNCTION("""COMPUTED_VALUE"""),"Mukesh Singla")</f>
        <v>Mukesh Singla</v>
      </c>
      <c r="C390" s="276"/>
      <c r="D390" s="276" t="str">
        <f>IFERROR(__xludf.DUMMYFUNCTION("""COMPUTED_VALUE"""),"Lost")</f>
        <v>Lost</v>
      </c>
      <c r="E390" s="276" t="str">
        <f>IFERROR(__xludf.DUMMYFUNCTION("""COMPUTED_VALUE"""),"Lower Parel")</f>
        <v>Lower Parel</v>
      </c>
      <c r="F390" s="276" t="str">
        <f>IFERROR(__xludf.DUMMYFUNCTION("""COMPUTED_VALUE"""),"Lower parel")</f>
        <v>Lower parel</v>
      </c>
      <c r="G390" s="276" t="str">
        <f>IFERROR(__xludf.DUMMYFUNCTION("""COMPUTED_VALUE"""),"Shravani")</f>
        <v>Shravani</v>
      </c>
      <c r="H390" s="276" t="str">
        <f>IFERROR(__xludf.DUMMYFUNCTION("""COMPUTED_VALUE"""),"19 Feb: He needs a space in Chandigarh")</f>
        <v>19 Feb: He needs a space in Chandigarh</v>
      </c>
    </row>
    <row r="391">
      <c r="A391" s="400">
        <f>IFERROR(__xludf.DUMMYFUNCTION("""COMPUTED_VALUE"""),46076.0)</f>
        <v>46076</v>
      </c>
      <c r="B391" s="276" t="str">
        <f>IFERROR(__xludf.DUMMYFUNCTION("""COMPUTED_VALUE"""),"Jayesh  Shah")</f>
        <v>Jayesh  Shah</v>
      </c>
      <c r="C391" s="276" t="str">
        <f>IFERROR(__xludf.DUMMYFUNCTION("""COMPUTED_VALUE"""),"Thrive360 Degrees Pvt Ltd")</f>
        <v>Thrive360 Degrees Pvt Ltd</v>
      </c>
      <c r="D391" s="276" t="str">
        <f>IFERROR(__xludf.DUMMYFUNCTION("""COMPUTED_VALUE"""),"Warm")</f>
        <v>Warm</v>
      </c>
      <c r="E391" s="276" t="str">
        <f>IFERROR(__xludf.DUMMYFUNCTION("""COMPUTED_VALUE"""),"Lower Parel")</f>
        <v>Lower Parel</v>
      </c>
      <c r="F391" s="276" t="str">
        <f>IFERROR(__xludf.DUMMYFUNCTION("""COMPUTED_VALUE"""),"Lower parel")</f>
        <v>Lower parel</v>
      </c>
      <c r="G391" s="276" t="str">
        <f>IFERROR(__xludf.DUMMYFUNCTION("""COMPUTED_VALUE"""),"Shravani")</f>
        <v>Shravani</v>
      </c>
      <c r="H391" s="276" t="str">
        <f>IFERROR(__xludf.DUMMYFUNCTION("""COMPUTED_VALUE"""),"25th May: He is looking for a 400 sq.ft space in Worli. 9 March: Ringing, Dropped a text. 23 Feb: He said the commercials are too expensive. He will think on it and get back to me")</f>
        <v>25th May: He is looking for a 400 sq.ft space in Worli. 9 March: Ringing, Dropped a text. 23 Feb: He said the commercials are too expensive. He will think on it and get back to me</v>
      </c>
    </row>
    <row r="392">
      <c r="A392" s="400">
        <f>IFERROR(__xludf.DUMMYFUNCTION("""COMPUTED_VALUE"""),46076.0)</f>
        <v>46076</v>
      </c>
      <c r="B392" s="276" t="str">
        <f>IFERROR(__xludf.DUMMYFUNCTION("""COMPUTED_VALUE"""),"Sushil Kothari")</f>
        <v>Sushil Kothari</v>
      </c>
      <c r="C392" s="276" t="str">
        <f>IFERROR(__xludf.DUMMYFUNCTION("""COMPUTED_VALUE"""),"Self Employed")</f>
        <v>Self Employed</v>
      </c>
      <c r="D392" s="276" t="str">
        <f>IFERROR(__xludf.DUMMYFUNCTION("""COMPUTED_VALUE"""),"Lost")</f>
        <v>Lost</v>
      </c>
      <c r="E392" s="276" t="str">
        <f>IFERROR(__xludf.DUMMYFUNCTION("""COMPUTED_VALUE"""),"Lower Parel")</f>
        <v>Lower Parel</v>
      </c>
      <c r="F392" s="276" t="str">
        <f>IFERROR(__xludf.DUMMYFUNCTION("""COMPUTED_VALUE"""),"Lower parel")</f>
        <v>Lower parel</v>
      </c>
      <c r="G392" s="276" t="str">
        <f>IFERROR(__xludf.DUMMYFUNCTION("""COMPUTED_VALUE"""),"Shravani")</f>
        <v>Shravani</v>
      </c>
      <c r="H392" s="276" t="str">
        <f>IFERROR(__xludf.DUMMYFUNCTION("""COMPUTED_VALUE"""),"26 Feb: He is not looking for any office space. 23 Feb: ringing")</f>
        <v>26 Feb: He is not looking for any office space. 23 Feb: ringing</v>
      </c>
    </row>
    <row r="393">
      <c r="A393" s="400">
        <f>IFERROR(__xludf.DUMMYFUNCTION("""COMPUTED_VALUE"""),46076.0)</f>
        <v>46076</v>
      </c>
      <c r="B393" s="276" t="str">
        <f>IFERROR(__xludf.DUMMYFUNCTION("""COMPUTED_VALUE"""),"Pranav  Shah")</f>
        <v>Pranav  Shah</v>
      </c>
      <c r="C393" s="276" t="str">
        <f>IFERROR(__xludf.DUMMYFUNCTION("""COMPUTED_VALUE"""),"Self Employed")</f>
        <v>Self Employed</v>
      </c>
      <c r="D393" s="276" t="str">
        <f>IFERROR(__xludf.DUMMYFUNCTION("""COMPUTED_VALUE"""),"Lost")</f>
        <v>Lost</v>
      </c>
      <c r="E393" s="276" t="str">
        <f>IFERROR(__xludf.DUMMYFUNCTION("""COMPUTED_VALUE"""),"Lower Parel")</f>
        <v>Lower Parel</v>
      </c>
      <c r="F393" s="276" t="str">
        <f>IFERROR(__xludf.DUMMYFUNCTION("""COMPUTED_VALUE"""),"Lower parel")</f>
        <v>Lower parel</v>
      </c>
      <c r="G393" s="276" t="str">
        <f>IFERROR(__xludf.DUMMYFUNCTION("""COMPUTED_VALUE"""),"Shravani")</f>
        <v>Shravani</v>
      </c>
      <c r="H393" s="276" t="str">
        <f>IFERROR(__xludf.DUMMYFUNCTION("""COMPUTED_VALUE"""),"26 Feb: He needs a space in Kandavli. 23 Feb: ringing")</f>
        <v>26 Feb: He needs a space in Kandavli. 23 Feb: ringing</v>
      </c>
    </row>
    <row r="394">
      <c r="A394" s="400">
        <f>IFERROR(__xludf.DUMMYFUNCTION("""COMPUTED_VALUE"""),46077.0)</f>
        <v>46077</v>
      </c>
      <c r="B394" s="276" t="str">
        <f>IFERROR(__xludf.DUMMYFUNCTION("""COMPUTED_VALUE"""),"Sameer  Shaikh")</f>
        <v>Sameer  Shaikh</v>
      </c>
      <c r="C394" s="276" t="str">
        <f>IFERROR(__xludf.DUMMYFUNCTION("""COMPUTED_VALUE"""),"Hallmark Gold Bazar")</f>
        <v>Hallmark Gold Bazar</v>
      </c>
      <c r="D394" s="276" t="str">
        <f>IFERROR(__xludf.DUMMYFUNCTION("""COMPUTED_VALUE"""),"Warm")</f>
        <v>Warm</v>
      </c>
      <c r="E394" s="276" t="str">
        <f>IFERROR(__xludf.DUMMYFUNCTION("""COMPUTED_VALUE"""),"Lower Parel")</f>
        <v>Lower Parel</v>
      </c>
      <c r="F394" s="276" t="str">
        <f>IFERROR(__xludf.DUMMYFUNCTION("""COMPUTED_VALUE"""),"Lower parel")</f>
        <v>Lower parel</v>
      </c>
      <c r="G394" s="276" t="str">
        <f>IFERROR(__xludf.DUMMYFUNCTION("""COMPUTED_VALUE"""),"Shravani")</f>
        <v>Shravani</v>
      </c>
      <c r="H394" s="276" t="str">
        <f>IFERROR(__xludf.DUMMYFUNCTION("""COMPUTED_VALUE"""),"25 May: Ringing. 9 March: He wants a space in zaveri bazar but he have asked me to share the images and commercials for lower parel. 26 Feb: Ringing")</f>
        <v>25 May: Ringing. 9 March: He wants a space in zaveri bazar but he have asked me to share the images and commercials for lower parel. 26 Feb: Ringing</v>
      </c>
    </row>
    <row r="395">
      <c r="A395" s="400">
        <f>IFERROR(__xludf.DUMMYFUNCTION("""COMPUTED_VALUE"""),46077.0)</f>
        <v>46077</v>
      </c>
      <c r="B395" s="276" t="str">
        <f>IFERROR(__xludf.DUMMYFUNCTION("""COMPUTED_VALUE"""),"Gaurav  Kambli")</f>
        <v>Gaurav  Kambli</v>
      </c>
      <c r="C395" s="276" t="str">
        <f>IFERROR(__xludf.DUMMYFUNCTION("""COMPUTED_VALUE"""),"GICL Sports LLP")</f>
        <v>GICL Sports LLP</v>
      </c>
      <c r="D395" s="276" t="str">
        <f>IFERROR(__xludf.DUMMYFUNCTION("""COMPUTED_VALUE"""),"Lost")</f>
        <v>Lost</v>
      </c>
      <c r="E395" s="276" t="str">
        <f>IFERROR(__xludf.DUMMYFUNCTION("""COMPUTED_VALUE"""),"Lower Parel")</f>
        <v>Lower Parel</v>
      </c>
      <c r="F395" s="276" t="str">
        <f>IFERROR(__xludf.DUMMYFUNCTION("""COMPUTED_VALUE"""),"Lower parel")</f>
        <v>Lower parel</v>
      </c>
      <c r="G395" s="276" t="str">
        <f>IFERROR(__xludf.DUMMYFUNCTION("""COMPUTED_VALUE"""),"Shravani")</f>
        <v>Shravani</v>
      </c>
      <c r="H395" s="276" t="str">
        <f>IFERROR(__xludf.DUMMYFUNCTION("""COMPUTED_VALUE"""),"9 March: His requiremet is fulfilled 2 months ago. 26 Feb: Ringing")</f>
        <v>9 March: His requiremet is fulfilled 2 months ago. 26 Feb: Ringing</v>
      </c>
    </row>
    <row r="396">
      <c r="A396" s="400">
        <f>IFERROR(__xludf.DUMMYFUNCTION("""COMPUTED_VALUE"""),46078.0)</f>
        <v>46078</v>
      </c>
      <c r="B396" s="276" t="str">
        <f>IFERROR(__xludf.DUMMYFUNCTION("""COMPUTED_VALUE"""),"Dr. Vishal Gabale")</f>
        <v>Dr. Vishal Gabale</v>
      </c>
      <c r="C396" s="276" t="str">
        <f>IFERROR(__xludf.DUMMYFUNCTION("""COMPUTED_VALUE"""),"Team health")</f>
        <v>Team health</v>
      </c>
      <c r="D396" s="276" t="str">
        <f>IFERROR(__xludf.DUMMYFUNCTION("""COMPUTED_VALUE"""),"Lost")</f>
        <v>Lost</v>
      </c>
      <c r="E396" s="276" t="str">
        <f>IFERROR(__xludf.DUMMYFUNCTION("""COMPUTED_VALUE"""),"Lower Parel")</f>
        <v>Lower Parel</v>
      </c>
      <c r="F396" s="276" t="str">
        <f>IFERROR(__xludf.DUMMYFUNCTION("""COMPUTED_VALUE"""),"Lower parel")</f>
        <v>Lower parel</v>
      </c>
      <c r="G396" s="276" t="str">
        <f>IFERROR(__xludf.DUMMYFUNCTION("""COMPUTED_VALUE"""),"Shravani")</f>
        <v>Shravani</v>
      </c>
      <c r="H396" s="276" t="str">
        <f>IFERROR(__xludf.DUMMYFUNCTION("""COMPUTED_VALUE"""),"9 March: The space is out of his budget. 26 Feb: He needs 1000sq.ft and his budget is 2 lacs")</f>
        <v>9 March: The space is out of his budget. 26 Feb: He needs 1000sq.ft and his budget is 2 lacs</v>
      </c>
    </row>
    <row r="397">
      <c r="A397" s="400">
        <f>IFERROR(__xludf.DUMMYFUNCTION("""COMPUTED_VALUE"""),46078.0)</f>
        <v>46078</v>
      </c>
      <c r="B397" s="276" t="str">
        <f>IFERROR(__xludf.DUMMYFUNCTION("""COMPUTED_VALUE"""),"Ashish Sihare")</f>
        <v>Ashish Sihare</v>
      </c>
      <c r="C397" s="276" t="str">
        <f>IFERROR(__xludf.DUMMYFUNCTION("""COMPUTED_VALUE"""),"24 Carrot E&amp;M Pvt Ltd")</f>
        <v>24 Carrot E&amp;M Pvt Ltd</v>
      </c>
      <c r="D397" s="276" t="str">
        <f>IFERROR(__xludf.DUMMYFUNCTION("""COMPUTED_VALUE"""),"Warm")</f>
        <v>Warm</v>
      </c>
      <c r="E397" s="276" t="str">
        <f>IFERROR(__xludf.DUMMYFUNCTION("""COMPUTED_VALUE"""),"Lower Parel")</f>
        <v>Lower Parel</v>
      </c>
      <c r="F397" s="276" t="str">
        <f>IFERROR(__xludf.DUMMYFUNCTION("""COMPUTED_VALUE"""),"Lower parel")</f>
        <v>Lower parel</v>
      </c>
      <c r="G397" s="276" t="str">
        <f>IFERROR(__xludf.DUMMYFUNCTION("""COMPUTED_VALUE"""),"Shravani")</f>
        <v>Shravani</v>
      </c>
      <c r="H397" s="276" t="str">
        <f>IFERROR(__xludf.DUMMYFUNCTION("""COMPUTED_VALUE"""),"25th May: Ringing. 9 March: Ringing, dropped a text. 26 Feb: He have asked me to share the details on whatsapp")</f>
        <v>25th May: Ringing. 9 March: Ringing, dropped a text. 26 Feb: He have asked me to share the details on whatsapp</v>
      </c>
    </row>
    <row r="398">
      <c r="A398" s="400">
        <f>IFERROR(__xludf.DUMMYFUNCTION("""COMPUTED_VALUE"""),46078.0)</f>
        <v>46078</v>
      </c>
      <c r="B398" s="276" t="str">
        <f>IFERROR(__xludf.DUMMYFUNCTION("""COMPUTED_VALUE"""),"Dimorra Club")</f>
        <v>Dimorra Club</v>
      </c>
      <c r="C398" s="276" t="str">
        <f>IFERROR(__xludf.DUMMYFUNCTION("""COMPUTED_VALUE"""),"Lard tales pvt ltd")</f>
        <v>Lard tales pvt ltd</v>
      </c>
      <c r="D398" s="276" t="str">
        <f>IFERROR(__xludf.DUMMYFUNCTION("""COMPUTED_VALUE"""),"Lost")</f>
        <v>Lost</v>
      </c>
      <c r="E398" s="276" t="str">
        <f>IFERROR(__xludf.DUMMYFUNCTION("""COMPUTED_VALUE"""),"Lower Parel")</f>
        <v>Lower Parel</v>
      </c>
      <c r="F398" s="276" t="str">
        <f>IFERROR(__xludf.DUMMYFUNCTION("""COMPUTED_VALUE"""),"Lower parel")</f>
        <v>Lower parel</v>
      </c>
      <c r="G398" s="276" t="str">
        <f>IFERROR(__xludf.DUMMYFUNCTION("""COMPUTED_VALUE"""),"Shravani")</f>
        <v>Shravani</v>
      </c>
      <c r="H398" s="276" t="str">
        <f>IFERROR(__xludf.DUMMYFUNCTION("""COMPUTED_VALUE"""),"9 March: They are not looking for any workspace. 26 Feb: Ringing")</f>
        <v>9 March: They are not looking for any workspace. 26 Feb: Ringing</v>
      </c>
    </row>
    <row r="399">
      <c r="A399" s="400">
        <f>IFERROR(__xludf.DUMMYFUNCTION("""COMPUTED_VALUE"""),46078.0)</f>
        <v>46078</v>
      </c>
      <c r="B399" s="276" t="str">
        <f>IFERROR(__xludf.DUMMYFUNCTION("""COMPUTED_VALUE"""),"Prabhu  Nadar")</f>
        <v>Prabhu  Nadar</v>
      </c>
      <c r="C399" s="276" t="str">
        <f>IFERROR(__xludf.DUMMYFUNCTION("""COMPUTED_VALUE"""),"White Leaf")</f>
        <v>White Leaf</v>
      </c>
      <c r="D399" s="276" t="str">
        <f>IFERROR(__xludf.DUMMYFUNCTION("""COMPUTED_VALUE"""),"Hot")</f>
        <v>Hot</v>
      </c>
      <c r="E399" s="276" t="str">
        <f>IFERROR(__xludf.DUMMYFUNCTION("""COMPUTED_VALUE"""),"Lower Parel")</f>
        <v>Lower Parel</v>
      </c>
      <c r="F399" s="276" t="str">
        <f>IFERROR(__xludf.DUMMYFUNCTION("""COMPUTED_VALUE"""),"Lower parel")</f>
        <v>Lower parel</v>
      </c>
      <c r="G399" s="276" t="str">
        <f>IFERROR(__xludf.DUMMYFUNCTION("""COMPUTED_VALUE"""),"Shravani")</f>
        <v>Shravani</v>
      </c>
      <c r="H399" s="276" t="str">
        <f>IFERROR(__xludf.DUMMYFUNCTION("""COMPUTED_VALUE"""),"25 May: 50 Seats + Cabins. 9 March: Ringing, Dropped a text. 26 Feb: Ringing")</f>
        <v>25 May: 50 Seats + Cabins. 9 March: Ringing, Dropped a text. 26 Feb: Ringing</v>
      </c>
    </row>
    <row r="400">
      <c r="A400" s="400">
        <f>IFERROR(__xludf.DUMMYFUNCTION("""COMPUTED_VALUE"""),46078.0)</f>
        <v>46078</v>
      </c>
      <c r="B400" s="276" t="str">
        <f>IFERROR(__xludf.DUMMYFUNCTION("""COMPUTED_VALUE"""),"Akshay Shah")</f>
        <v>Akshay Shah</v>
      </c>
      <c r="C400" s="276" t="str">
        <f>IFERROR(__xludf.DUMMYFUNCTION("""COMPUTED_VALUE"""),"Enterprenuer")</f>
        <v>Enterprenuer</v>
      </c>
      <c r="D400" s="276" t="str">
        <f>IFERROR(__xludf.DUMMYFUNCTION("""COMPUTED_VALUE"""),"Warm")</f>
        <v>Warm</v>
      </c>
      <c r="E400" s="276" t="str">
        <f>IFERROR(__xludf.DUMMYFUNCTION("""COMPUTED_VALUE"""),"Lower Parel")</f>
        <v>Lower Parel</v>
      </c>
      <c r="F400" s="276" t="str">
        <f>IFERROR(__xludf.DUMMYFUNCTION("""COMPUTED_VALUE"""),"Lower parel")</f>
        <v>Lower parel</v>
      </c>
      <c r="G400" s="276" t="str">
        <f>IFERROR(__xludf.DUMMYFUNCTION("""COMPUTED_VALUE"""),"Shravani")</f>
        <v>Shravani</v>
      </c>
      <c r="H400" s="276" t="str">
        <f>IFERROR(__xludf.DUMMYFUNCTION("""COMPUTED_VALUE"""),"25 May: Busy on call. 9 March: Dropped a text. 26 Feb: He has asked me to call tomorrow.")</f>
        <v>25 May: Busy on call. 9 March: Dropped a text. 26 Feb: He has asked me to call tomorrow.</v>
      </c>
    </row>
    <row r="401">
      <c r="A401" s="400">
        <f>IFERROR(__xludf.DUMMYFUNCTION("""COMPUTED_VALUE"""),46078.0)</f>
        <v>46078</v>
      </c>
      <c r="B401" s="276" t="str">
        <f>IFERROR(__xludf.DUMMYFUNCTION("""COMPUTED_VALUE"""),"Ankit Parab")</f>
        <v>Ankit Parab</v>
      </c>
      <c r="C401" s="276" t="str">
        <f>IFERROR(__xludf.DUMMYFUNCTION("""COMPUTED_VALUE"""),"Kasp advisory")</f>
        <v>Kasp advisory</v>
      </c>
      <c r="D401" s="276" t="str">
        <f>IFERROR(__xludf.DUMMYFUNCTION("""COMPUTED_VALUE"""),"Hot")</f>
        <v>Hot</v>
      </c>
      <c r="E401" s="276" t="str">
        <f>IFERROR(__xludf.DUMMYFUNCTION("""COMPUTED_VALUE"""),"Lower Parel")</f>
        <v>Lower Parel</v>
      </c>
      <c r="F401" s="276" t="str">
        <f>IFERROR(__xludf.DUMMYFUNCTION("""COMPUTED_VALUE"""),"Lower parel")</f>
        <v>Lower parel</v>
      </c>
      <c r="G401" s="276" t="str">
        <f>IFERROR(__xludf.DUMMYFUNCTION("""COMPUTED_VALUE"""),"Shravani")</f>
        <v>Shravani</v>
      </c>
      <c r="H401" s="276" t="str">
        <f>IFERROR(__xludf.DUMMYFUNCTION("""COMPUTED_VALUE"""),"25 May: Ringing. 9 March: He will visit today by 2 PM. 25 Feb: He needs 7 seats &amp; 1 conference and will able to visit next week")</f>
        <v>25 May: Ringing. 9 March: He will visit today by 2 PM. 25 Feb: He needs 7 seats &amp; 1 conference and will able to visit next week</v>
      </c>
    </row>
    <row r="402">
      <c r="A402" s="400">
        <f>IFERROR(__xludf.DUMMYFUNCTION("""COMPUTED_VALUE"""),46078.0)</f>
        <v>46078</v>
      </c>
      <c r="B402" s="276" t="str">
        <f>IFERROR(__xludf.DUMMYFUNCTION("""COMPUTED_VALUE"""),"Jyoti  Apte")</f>
        <v>Jyoti  Apte</v>
      </c>
      <c r="C402" s="276" t="str">
        <f>IFERROR(__xludf.DUMMYFUNCTION("""COMPUTED_VALUE"""),"Strat-Edgy")</f>
        <v>Strat-Edgy</v>
      </c>
      <c r="D402" s="276" t="str">
        <f>IFERROR(__xludf.DUMMYFUNCTION("""COMPUTED_VALUE"""),"Hot")</f>
        <v>Hot</v>
      </c>
      <c r="E402" s="276" t="str">
        <f>IFERROR(__xludf.DUMMYFUNCTION("""COMPUTED_VALUE"""),"Lower Parel")</f>
        <v>Lower Parel</v>
      </c>
      <c r="F402" s="276" t="str">
        <f>IFERROR(__xludf.DUMMYFUNCTION("""COMPUTED_VALUE"""),"Lower parel")</f>
        <v>Lower parel</v>
      </c>
      <c r="G402" s="276" t="str">
        <f>IFERROR(__xludf.DUMMYFUNCTION("""COMPUTED_VALUE"""),"Shravani")</f>
        <v>Shravani</v>
      </c>
      <c r="H402" s="276" t="str">
        <f>IFERROR(__xludf.DUMMYFUNCTION("""COMPUTED_VALUE"""),"25 May: She has asked me to share the details of the space. 9 March: Ringing. 25 Feb: She needs 2  Seater Cabin Space")</f>
        <v>25 May: She has asked me to share the details of the space. 9 March: Ringing. 25 Feb: She needs 2  Seater Cabin Space</v>
      </c>
    </row>
    <row r="403">
      <c r="A403" s="400">
        <f>IFERROR(__xludf.DUMMYFUNCTION("""COMPUTED_VALUE"""),46078.0)</f>
        <v>46078</v>
      </c>
      <c r="B403" s="276" t="str">
        <f>IFERROR(__xludf.DUMMYFUNCTION("""COMPUTED_VALUE"""),"Bharat  Phulsunge")</f>
        <v>Bharat  Phulsunge</v>
      </c>
      <c r="C403" s="276"/>
      <c r="D403" s="276" t="str">
        <f>IFERROR(__xludf.DUMMYFUNCTION("""COMPUTED_VALUE"""),"Warm")</f>
        <v>Warm</v>
      </c>
      <c r="E403" s="276" t="str">
        <f>IFERROR(__xludf.DUMMYFUNCTION("""COMPUTED_VALUE"""),"Lower Parel")</f>
        <v>Lower Parel</v>
      </c>
      <c r="F403" s="276" t="str">
        <f>IFERROR(__xludf.DUMMYFUNCTION("""COMPUTED_VALUE"""),"Lower parel")</f>
        <v>Lower parel</v>
      </c>
      <c r="G403" s="276" t="str">
        <f>IFERROR(__xludf.DUMMYFUNCTION("""COMPUTED_VALUE"""),"Shravani")</f>
        <v>Shravani</v>
      </c>
      <c r="H403" s="276" t="str">
        <f>IFERROR(__xludf.DUMMYFUNCTION("""COMPUTED_VALUE"""),"11 March: Not Interested. 9 March: Dropped him a text. 26 Feb: He says wework is charging 12k a seat in Vaswani Chambers. He will think about it and wil get back.")</f>
        <v>11 March: Not Interested. 9 March: Dropped him a text. 26 Feb: He says wework is charging 12k a seat in Vaswani Chambers. He will think about it and wil get back.</v>
      </c>
    </row>
    <row r="404">
      <c r="A404" s="400">
        <f>IFERROR(__xludf.DUMMYFUNCTION("""COMPUTED_VALUE"""),46079.0)</f>
        <v>46079</v>
      </c>
      <c r="B404" s="276" t="str">
        <f>IFERROR(__xludf.DUMMYFUNCTION("""COMPUTED_VALUE"""),"Amol  Gadhave")</f>
        <v>Amol  Gadhave</v>
      </c>
      <c r="C404" s="276"/>
      <c r="D404" s="276" t="str">
        <f>IFERROR(__xludf.DUMMYFUNCTION("""COMPUTED_VALUE"""),"Lost")</f>
        <v>Lost</v>
      </c>
      <c r="E404" s="276" t="str">
        <f>IFERROR(__xludf.DUMMYFUNCTION("""COMPUTED_VALUE"""),"Lower Parel")</f>
        <v>Lower Parel</v>
      </c>
      <c r="F404" s="276" t="str">
        <f>IFERROR(__xludf.DUMMYFUNCTION("""COMPUTED_VALUE"""),"Lower parel")</f>
        <v>Lower parel</v>
      </c>
      <c r="G404" s="276" t="str">
        <f>IFERROR(__xludf.DUMMYFUNCTION("""COMPUTED_VALUE"""),"Shravani")</f>
        <v>Shravani</v>
      </c>
      <c r="H404" s="276" t="str">
        <f>IFERROR(__xludf.DUMMYFUNCTION("""COMPUTED_VALUE"""),"26 Feb: He is looking for a space in Borivali")</f>
        <v>26 Feb: He is looking for a space in Borivali</v>
      </c>
    </row>
    <row r="405">
      <c r="A405" s="400">
        <f>IFERROR(__xludf.DUMMYFUNCTION("""COMPUTED_VALUE"""),46079.0)</f>
        <v>46079</v>
      </c>
      <c r="B405" s="276" t="str">
        <f>IFERROR(__xludf.DUMMYFUNCTION("""COMPUTED_VALUE"""),"Rian Jain")</f>
        <v>Rian Jain</v>
      </c>
      <c r="C405" s="276" t="str">
        <f>IFERROR(__xludf.DUMMYFUNCTION("""COMPUTED_VALUE"""),"Creokala")</f>
        <v>Creokala</v>
      </c>
      <c r="D405" s="276" t="str">
        <f>IFERROR(__xludf.DUMMYFUNCTION("""COMPUTED_VALUE"""),"Warm")</f>
        <v>Warm</v>
      </c>
      <c r="E405" s="276" t="str">
        <f>IFERROR(__xludf.DUMMYFUNCTION("""COMPUTED_VALUE"""),"Lower Parel")</f>
        <v>Lower Parel</v>
      </c>
      <c r="F405" s="276" t="str">
        <f>IFERROR(__xludf.DUMMYFUNCTION("""COMPUTED_VALUE"""),"Lower parel")</f>
        <v>Lower parel</v>
      </c>
      <c r="G405" s="276" t="str">
        <f>IFERROR(__xludf.DUMMYFUNCTION("""COMPUTED_VALUE"""),"Shravani")</f>
        <v>Shravani</v>
      </c>
      <c r="H405" s="276" t="str">
        <f>IFERROR(__xludf.DUMMYFUNCTION("""COMPUTED_VALUE"""),"25 May: Ringing. 9 March: He will get back to me once his management revert's back. 5 March: 26 Feb: Ringing")</f>
        <v>25 May: Ringing. 9 March: He will get back to me once his management revert's back. 5 March: 26 Feb: Ringing</v>
      </c>
    </row>
    <row r="406">
      <c r="A406" s="400">
        <f>IFERROR(__xludf.DUMMYFUNCTION("""COMPUTED_VALUE"""),46079.0)</f>
        <v>46079</v>
      </c>
      <c r="B406" s="276" t="str">
        <f>IFERROR(__xludf.DUMMYFUNCTION("""COMPUTED_VALUE"""),"Murtaza Tinwala")</f>
        <v>Murtaza Tinwala</v>
      </c>
      <c r="C406" s="276"/>
      <c r="D406" s="276" t="str">
        <f>IFERROR(__xludf.DUMMYFUNCTION("""COMPUTED_VALUE"""),"Cold")</f>
        <v>Cold</v>
      </c>
      <c r="E406" s="276" t="str">
        <f>IFERROR(__xludf.DUMMYFUNCTION("""COMPUTED_VALUE"""),"Lower Parel")</f>
        <v>Lower Parel</v>
      </c>
      <c r="F406" s="276" t="str">
        <f>IFERROR(__xludf.DUMMYFUNCTION("""COMPUTED_VALUE"""),"Lower parel")</f>
        <v>Lower parel</v>
      </c>
      <c r="G406" s="276" t="str">
        <f>IFERROR(__xludf.DUMMYFUNCTION("""COMPUTED_VALUE"""),"Shravani")</f>
        <v>Shravani</v>
      </c>
      <c r="H406" s="276" t="str">
        <f>IFERROR(__xludf.DUMMYFUNCTION("""COMPUTED_VALUE"""),"25 May: Not Interested. 9 March: Disconnected the call. 5 March: Busy on Call. 26 Feb: Declined the call")</f>
        <v>25 May: Not Interested. 9 March: Disconnected the call. 5 March: Busy on Call. 26 Feb: Declined the call</v>
      </c>
    </row>
    <row r="407">
      <c r="A407" s="400">
        <f>IFERROR(__xludf.DUMMYFUNCTION("""COMPUTED_VALUE"""),46079.0)</f>
        <v>46079</v>
      </c>
      <c r="B407" s="276" t="str">
        <f>IFERROR(__xludf.DUMMYFUNCTION("""COMPUTED_VALUE"""),"Amal Phatak")</f>
        <v>Amal Phatak</v>
      </c>
      <c r="C407" s="276"/>
      <c r="D407" s="276" t="str">
        <f>IFERROR(__xludf.DUMMYFUNCTION("""COMPUTED_VALUE"""),"Warm")</f>
        <v>Warm</v>
      </c>
      <c r="E407" s="276" t="str">
        <f>IFERROR(__xludf.DUMMYFUNCTION("""COMPUTED_VALUE"""),"Lower Parel")</f>
        <v>Lower Parel</v>
      </c>
      <c r="F407" s="276" t="str">
        <f>IFERROR(__xludf.DUMMYFUNCTION("""COMPUTED_VALUE"""),"Lower parel")</f>
        <v>Lower parel</v>
      </c>
      <c r="G407" s="276" t="str">
        <f>IFERROR(__xludf.DUMMYFUNCTION("""COMPUTED_VALUE"""),"Shravani")</f>
        <v>Shravani</v>
      </c>
      <c r="H407" s="276" t="str">
        <f>IFERROR(__xludf.DUMMYFUNCTION("""COMPUTED_VALUE"""),"25 May: Busy on call. 9 March: He is into a conventional office and is not sure about shared space. 5 March: Ringing. 26 Feb: He is currently into a conventional office in lalbaug. He will get back to me post 3 days")</f>
        <v>25 May: Busy on call. 9 March: He is into a conventional office and is not sure about shared space. 5 March: Ringing. 26 Feb: He is currently into a conventional office in lalbaug. He will get back to me post 3 days</v>
      </c>
    </row>
    <row r="408">
      <c r="A408" s="400">
        <f>IFERROR(__xludf.DUMMYFUNCTION("""COMPUTED_VALUE"""),46080.0)</f>
        <v>46080</v>
      </c>
      <c r="B408" s="276" t="str">
        <f>IFERROR(__xludf.DUMMYFUNCTION("""COMPUTED_VALUE"""),"Diksha Bagda")</f>
        <v>Diksha Bagda</v>
      </c>
      <c r="C408" s="276"/>
      <c r="D408" s="276" t="str">
        <f>IFERROR(__xludf.DUMMYFUNCTION("""COMPUTED_VALUE"""),"Lost")</f>
        <v>Lost</v>
      </c>
      <c r="E408" s="276" t="str">
        <f>IFERROR(__xludf.DUMMYFUNCTION("""COMPUTED_VALUE"""),"Lower Parel")</f>
        <v>Lower Parel</v>
      </c>
      <c r="F408" s="276" t="str">
        <f>IFERROR(__xludf.DUMMYFUNCTION("""COMPUTED_VALUE"""),"Lower parel")</f>
        <v>Lower parel</v>
      </c>
      <c r="G408" s="276" t="str">
        <f>IFERROR(__xludf.DUMMYFUNCTION("""COMPUTED_VALUE"""),"Shravani")</f>
        <v>Shravani</v>
      </c>
      <c r="H408" s="276" t="str">
        <f>IFERROR(__xludf.DUMMYFUNCTION("""COMPUTED_VALUE"""),"12 March: She don't need a office space. 9 March : Ringing. 5 March: Ringing. 28 Feb: Not answering the call. 27 Feb: Not answering the call. ")</f>
        <v>12 March: She don't need a office space. 9 March : Ringing. 5 March: Ringing. 28 Feb: Not answering the call. 27 Feb: Not answering the call. </v>
      </c>
    </row>
  </sheetData>
  <hyperlinks>
    <hyperlink r:id="rId1" ref="C43"/>
    <hyperlink r:id="rId2" ref="C185"/>
  </hyperlinks>
  <drawing r:id="rId3"/>
</worksheet>
</file>